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Naver MYBOX\★공유\업체제출자료양식\알러지리스트\콜마 요청\"/>
    </mc:Choice>
  </mc:AlternateContent>
  <xr:revisionPtr revIDLastSave="0" documentId="13_ncr:1_{A859426C-71B3-44AE-A8A1-C1976CD53B5A}" xr6:coauthVersionLast="47" xr6:coauthVersionMax="47" xr10:uidLastSave="{00000000-0000-0000-0000-000000000000}"/>
  <bookViews>
    <workbookView xWindow="9390" yWindow="765" windowWidth="40365" windowHeight="20115" xr2:uid="{00000000-000D-0000-FFFF-FFFF00000000}"/>
  </bookViews>
  <sheets>
    <sheet name="ALLERGY DATA_EU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" l="1"/>
  <c r="C69" i="1"/>
  <c r="C74" i="1"/>
  <c r="C61" i="1"/>
  <c r="C31" i="1"/>
  <c r="D31" i="1" s="1"/>
  <c r="C25" i="1"/>
  <c r="D25" i="1" s="1"/>
  <c r="C26" i="1"/>
  <c r="D26" i="1" s="1"/>
  <c r="C27" i="1"/>
  <c r="D27" i="1" s="1"/>
  <c r="C28" i="1"/>
  <c r="D28" i="1" s="1"/>
  <c r="C29" i="1"/>
  <c r="C30" i="1"/>
  <c r="C24" i="1"/>
  <c r="D24" i="1" s="1"/>
  <c r="C16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2" i="1"/>
  <c r="C63" i="1"/>
  <c r="C64" i="1"/>
  <c r="C65" i="1"/>
  <c r="C66" i="1"/>
  <c r="C67" i="1"/>
  <c r="C68" i="1"/>
  <c r="C70" i="1"/>
  <c r="C71" i="1"/>
  <c r="C72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D16" i="1" l="1"/>
  <c r="D29" i="1"/>
  <c r="D30" i="1"/>
  <c r="D32" i="1"/>
  <c r="D33" i="1"/>
  <c r="D34" i="1"/>
  <c r="D35" i="1"/>
  <c r="D36" i="1"/>
  <c r="C15" i="1" l="1"/>
  <c r="D15" i="1" s="1"/>
  <c r="F15" i="1" l="1"/>
  <c r="E16" i="1"/>
  <c r="F17" i="1"/>
  <c r="E18" i="1"/>
  <c r="E19" i="1"/>
  <c r="F20" i="1"/>
  <c r="F21" i="1"/>
  <c r="E22" i="1"/>
  <c r="F23" i="1"/>
  <c r="E24" i="1"/>
  <c r="E25" i="1"/>
  <c r="E26" i="1"/>
  <c r="E27" i="1"/>
  <c r="E28" i="1"/>
  <c r="F29" i="1"/>
  <c r="E30" i="1"/>
  <c r="E31" i="1"/>
  <c r="F32" i="1"/>
  <c r="F33" i="1"/>
  <c r="E34" i="1"/>
  <c r="F35" i="1"/>
  <c r="E36" i="1"/>
  <c r="D37" i="1"/>
  <c r="E37" i="1" s="1"/>
  <c r="D38" i="1"/>
  <c r="F38" i="1" s="1"/>
  <c r="D39" i="1"/>
  <c r="E39" i="1" s="1"/>
  <c r="D40" i="1"/>
  <c r="F40" i="1" s="1"/>
  <c r="D41" i="1"/>
  <c r="F41" i="1" s="1"/>
  <c r="D42" i="1"/>
  <c r="E42" i="1" s="1"/>
  <c r="D43" i="1"/>
  <c r="E43" i="1" s="1"/>
  <c r="D44" i="1"/>
  <c r="F44" i="1" s="1"/>
  <c r="D45" i="1"/>
  <c r="F45" i="1" s="1"/>
  <c r="D46" i="1"/>
  <c r="E46" i="1" s="1"/>
  <c r="D47" i="1"/>
  <c r="F47" i="1" s="1"/>
  <c r="D48" i="1"/>
  <c r="E48" i="1" s="1"/>
  <c r="D49" i="1"/>
  <c r="E49" i="1" s="1"/>
  <c r="D50" i="1"/>
  <c r="F50" i="1" s="1"/>
  <c r="D51" i="1"/>
  <c r="F51" i="1" s="1"/>
  <c r="D52" i="1"/>
  <c r="F52" i="1" s="1"/>
  <c r="D53" i="1"/>
  <c r="F53" i="1" s="1"/>
  <c r="D54" i="1"/>
  <c r="E54" i="1" s="1"/>
  <c r="D55" i="1"/>
  <c r="E55" i="1" s="1"/>
  <c r="D56" i="1"/>
  <c r="E56" i="1" s="1"/>
  <c r="D57" i="1"/>
  <c r="F57" i="1" s="1"/>
  <c r="D58" i="1"/>
  <c r="E58" i="1" s="1"/>
  <c r="D59" i="1"/>
  <c r="F59" i="1" s="1"/>
  <c r="D60" i="1"/>
  <c r="E60" i="1" s="1"/>
  <c r="D61" i="1"/>
  <c r="E61" i="1" s="1"/>
  <c r="D62" i="1"/>
  <c r="E62" i="1" s="1"/>
  <c r="D63" i="1"/>
  <c r="E63" i="1" s="1"/>
  <c r="D64" i="1"/>
  <c r="F64" i="1" s="1"/>
  <c r="D65" i="1"/>
  <c r="F65" i="1" s="1"/>
  <c r="D66" i="1"/>
  <c r="E66" i="1" s="1"/>
  <c r="D67" i="1"/>
  <c r="E67" i="1" s="1"/>
  <c r="D68" i="1"/>
  <c r="E68" i="1" s="1"/>
  <c r="D69" i="1"/>
  <c r="F69" i="1" s="1"/>
  <c r="D70" i="1"/>
  <c r="E70" i="1" s="1"/>
  <c r="D71" i="1"/>
  <c r="F71" i="1" s="1"/>
  <c r="D72" i="1"/>
  <c r="E72" i="1" s="1"/>
  <c r="D73" i="1"/>
  <c r="E73" i="1" s="1"/>
  <c r="D74" i="1"/>
  <c r="F74" i="1" s="1"/>
  <c r="D75" i="1"/>
  <c r="E75" i="1" s="1"/>
  <c r="D76" i="1"/>
  <c r="E76" i="1" s="1"/>
  <c r="D77" i="1"/>
  <c r="F77" i="1" s="1"/>
  <c r="D78" i="1"/>
  <c r="E78" i="1" s="1"/>
  <c r="D79" i="1"/>
  <c r="E79" i="1" s="1"/>
  <c r="D80" i="1"/>
  <c r="E80" i="1" s="1"/>
  <c r="D81" i="1"/>
  <c r="F81" i="1" s="1"/>
  <c r="D82" i="1"/>
  <c r="E82" i="1" s="1"/>
  <c r="D83" i="1"/>
  <c r="F83" i="1" s="1"/>
  <c r="D84" i="1"/>
  <c r="E84" i="1" s="1"/>
  <c r="D85" i="1"/>
  <c r="E85" i="1" s="1"/>
  <c r="D86" i="1"/>
  <c r="F86" i="1" s="1"/>
  <c r="D87" i="1"/>
  <c r="F87" i="1" s="1"/>
  <c r="D88" i="1"/>
  <c r="F88" i="1" s="1"/>
  <c r="D89" i="1"/>
  <c r="F89" i="1" s="1"/>
  <c r="D90" i="1"/>
  <c r="E90" i="1" s="1"/>
  <c r="D91" i="1"/>
  <c r="E91" i="1" s="1"/>
  <c r="D92" i="1"/>
  <c r="E92" i="1" s="1"/>
  <c r="D93" i="1"/>
  <c r="F93" i="1" s="1"/>
  <c r="D94" i="1"/>
  <c r="E94" i="1" s="1"/>
  <c r="D95" i="1"/>
  <c r="F95" i="1" s="1"/>
  <c r="D96" i="1"/>
  <c r="E96" i="1" s="1"/>
  <c r="D97" i="1"/>
  <c r="E97" i="1" s="1"/>
  <c r="F26" i="1"/>
  <c r="F27" i="1"/>
  <c r="F55" i="1" l="1"/>
  <c r="F85" i="1"/>
  <c r="E20" i="1"/>
  <c r="E45" i="1"/>
  <c r="E69" i="1"/>
  <c r="E81" i="1"/>
  <c r="E21" i="1"/>
  <c r="E38" i="1"/>
  <c r="E88" i="1"/>
  <c r="F76" i="1"/>
  <c r="E52" i="1"/>
  <c r="E64" i="1"/>
  <c r="F28" i="1"/>
  <c r="E40" i="1"/>
  <c r="F94" i="1"/>
  <c r="F67" i="1"/>
  <c r="F16" i="1"/>
  <c r="E44" i="1"/>
  <c r="F70" i="1"/>
  <c r="F43" i="1"/>
  <c r="F22" i="1"/>
  <c r="F82" i="1"/>
  <c r="F46" i="1"/>
  <c r="F58" i="1"/>
  <c r="F34" i="1"/>
  <c r="F91" i="1"/>
  <c r="F31" i="1"/>
  <c r="F19" i="1"/>
  <c r="F79" i="1"/>
  <c r="F63" i="1"/>
  <c r="F49" i="1"/>
  <c r="E93" i="1"/>
  <c r="E57" i="1"/>
  <c r="E33" i="1"/>
  <c r="F97" i="1"/>
  <c r="F37" i="1"/>
  <c r="F25" i="1"/>
  <c r="F73" i="1"/>
  <c r="F61" i="1"/>
  <c r="F62" i="1"/>
  <c r="E74" i="1"/>
  <c r="E50" i="1"/>
  <c r="E32" i="1"/>
  <c r="F68" i="1"/>
  <c r="E86" i="1"/>
  <c r="F80" i="1"/>
  <c r="F92" i="1"/>
  <c r="F56" i="1"/>
  <c r="F75" i="1"/>
  <c r="F39" i="1"/>
  <c r="E87" i="1"/>
  <c r="E51" i="1"/>
  <c r="E95" i="1"/>
  <c r="E83" i="1"/>
  <c r="E65" i="1"/>
  <c r="E53" i="1"/>
  <c r="E41" i="1"/>
  <c r="E29" i="1"/>
  <c r="E17" i="1"/>
  <c r="F96" i="1"/>
  <c r="F90" i="1"/>
  <c r="F84" i="1"/>
  <c r="F78" i="1"/>
  <c r="F72" i="1"/>
  <c r="F66" i="1"/>
  <c r="F60" i="1"/>
  <c r="F54" i="1"/>
  <c r="F48" i="1"/>
  <c r="F42" i="1"/>
  <c r="F36" i="1"/>
  <c r="F30" i="1"/>
  <c r="F24" i="1"/>
  <c r="F18" i="1"/>
  <c r="E89" i="1"/>
  <c r="E77" i="1"/>
  <c r="E71" i="1"/>
  <c r="E59" i="1"/>
  <c r="E47" i="1"/>
  <c r="E35" i="1"/>
  <c r="E23" i="1"/>
  <c r="E15" i="1"/>
</calcChain>
</file>

<file path=xl/sharedStrings.xml><?xml version="1.0" encoding="utf-8"?>
<sst xmlns="http://schemas.openxmlformats.org/spreadsheetml/2006/main" count="358" uniqueCount="317">
  <si>
    <t>INGREDIENTS</t>
    <phoneticPr fontId="3" type="noConversion"/>
  </si>
  <si>
    <t>104-46-1
4180-23-8</t>
    <phoneticPr fontId="3" type="noConversion"/>
  </si>
  <si>
    <t>76-22-2
464-48-2
464-49-3
21368-68-3</t>
    <phoneticPr fontId="3" type="noConversion"/>
  </si>
  <si>
    <t>99-49-0
2244-16-8
6485-40-1</t>
    <phoneticPr fontId="3" type="noConversion"/>
  </si>
  <si>
    <t>106-26-3
141-27-5
5392-40-5</t>
    <phoneticPr fontId="3" type="noConversion"/>
  </si>
  <si>
    <t>106-22-9
1117-61-9
7540-51-4
26489-01-0</t>
    <phoneticPr fontId="3" type="noConversion"/>
  </si>
  <si>
    <t>151-05-3</t>
    <phoneticPr fontId="3" type="noConversion"/>
  </si>
  <si>
    <t>93-28-7</t>
    <phoneticPr fontId="3" type="noConversion"/>
  </si>
  <si>
    <t>105-87-3</t>
    <phoneticPr fontId="3" type="noConversion"/>
  </si>
  <si>
    <t>109-29-5</t>
    <phoneticPr fontId="3" type="noConversion"/>
  </si>
  <si>
    <t>93-29-8</t>
    <phoneticPr fontId="3" type="noConversion"/>
  </si>
  <si>
    <t>8000-27-9
85085-41-2</t>
    <phoneticPr fontId="3" type="noConversion"/>
  </si>
  <si>
    <t>8000-28-0
8022-15-9
84776-65-8
90063-37-9
91722-69-9
92623-76-2
93455-96-0
93455-97-1</t>
    <phoneticPr fontId="3" type="noConversion"/>
  </si>
  <si>
    <t>8024-12-2
85116-63-8</t>
    <phoneticPr fontId="3" type="noConversion"/>
  </si>
  <si>
    <t>89-78-1
1490-04-6
2216-51-5
15356-60-2</t>
    <phoneticPr fontId="3" type="noConversion"/>
  </si>
  <si>
    <t>68917-12-4
90064-25-8
90064-26-9
90064-27-0</t>
    <phoneticPr fontId="3" type="noConversion"/>
  </si>
  <si>
    <t>8014-09-3
84238-39-1</t>
    <phoneticPr fontId="3" type="noConversion"/>
  </si>
  <si>
    <t>77-42-9
115-71-9
11031-45-1</t>
    <phoneticPr fontId="3" type="noConversion"/>
  </si>
  <si>
    <t>8006-87-9
84787-70-2</t>
    <phoneticPr fontId="3" type="noConversion"/>
  </si>
  <si>
    <t>515-03-7</t>
    <phoneticPr fontId="3" type="noConversion"/>
  </si>
  <si>
    <t>103694-68-4</t>
    <phoneticPr fontId="3" type="noConversion"/>
  </si>
  <si>
    <t>Application:</t>
  </si>
  <si>
    <t>Customer Name:</t>
  </si>
  <si>
    <t>Fragrance Name:</t>
  </si>
  <si>
    <t>Leave on or Rinse Off:</t>
  </si>
  <si>
    <t>Vendor:</t>
    <phoneticPr fontId="5" type="noConversion"/>
  </si>
  <si>
    <t>AROMAJUNE</t>
    <phoneticPr fontId="3" type="noConversion"/>
  </si>
  <si>
    <t>KOLMAR</t>
    <phoneticPr fontId="3" type="noConversion"/>
  </si>
  <si>
    <t>Usage Level:</t>
    <phoneticPr fontId="3" type="noConversion"/>
  </si>
  <si>
    <t>TULIP LOVE AU</t>
    <phoneticPr fontId="3" type="noConversion"/>
  </si>
  <si>
    <t>Date:</t>
    <phoneticPr fontId="3" type="noConversion"/>
  </si>
  <si>
    <t xml:space="preserve">   </t>
    <phoneticPr fontId="3" type="noConversion"/>
  </si>
  <si>
    <t>CAS #</t>
    <phoneticPr fontId="3" type="noConversion"/>
  </si>
  <si>
    <t>Total in 
Fragrance 
Oil(%)</t>
    <phoneticPr fontId="5" type="noConversion"/>
  </si>
  <si>
    <t>78-70-6</t>
    <phoneticPr fontId="3" type="noConversion"/>
  </si>
  <si>
    <t>8008-79-5
84696-51-5</t>
    <phoneticPr fontId="3" type="noConversion"/>
  </si>
  <si>
    <t>8000-46-2
90082-51-2</t>
    <phoneticPr fontId="3" type="noConversion"/>
  </si>
  <si>
    <t>8007-01-0
84604-12-6
84604-13-7
84696-47-9
90106-38-0
92347-25-6
93334-48-6</t>
    <phoneticPr fontId="3" type="noConversion"/>
  </si>
  <si>
    <t>54464-57-2
54464-59-4
68155-66-8
68155-67-9</t>
    <phoneticPr fontId="3" type="noConversion"/>
  </si>
  <si>
    <t>121-33-5</t>
    <phoneticPr fontId="3" type="noConversion"/>
  </si>
  <si>
    <r>
      <rPr>
        <b/>
        <sz val="10"/>
        <rFont val="굴림체"/>
        <family val="3"/>
        <charset val="129"/>
      </rPr>
      <t xml:space="preserve">표기여부
</t>
    </r>
    <r>
      <rPr>
        <b/>
        <sz val="10"/>
        <rFont val="Arial"/>
        <family val="2"/>
      </rPr>
      <t>(Leave on)</t>
    </r>
    <phoneticPr fontId="3" type="noConversion"/>
  </si>
  <si>
    <r>
      <rPr>
        <b/>
        <sz val="10"/>
        <rFont val="굴림체"/>
        <family val="3"/>
        <charset val="129"/>
      </rPr>
      <t xml:space="preserve">표기여부
</t>
    </r>
    <r>
      <rPr>
        <b/>
        <sz val="10"/>
        <rFont val="Arial"/>
        <family val="2"/>
      </rPr>
      <t>(Rinse off)</t>
    </r>
    <phoneticPr fontId="3" type="noConversion"/>
  </si>
  <si>
    <t xml:space="preserve">PRESENCE OF POTENTIAL FRAGRANCE </t>
    <phoneticPr fontId="3" type="noConversion"/>
  </si>
  <si>
    <t>Total 
Contribution from 
fragrance oil
for product</t>
    <phoneticPr fontId="3" type="noConversion"/>
  </si>
  <si>
    <t>ALLERGENS (83 SCCNFP INGREDIENT)</t>
    <phoneticPr fontId="3" type="noConversion"/>
  </si>
  <si>
    <t>INGREDIENT NAME</t>
    <phoneticPr fontId="3" type="noConversion"/>
  </si>
  <si>
    <t>Total 
Contribution 
from 
fragrance oil
for product</t>
    <phoneticPr fontId="3" type="noConversion"/>
  </si>
  <si>
    <r>
      <t xml:space="preserve">Labeling 
Required for 
Leave on
</t>
    </r>
    <r>
      <rPr>
        <sz val="7"/>
        <rFont val="Arial"/>
        <family val="2"/>
      </rPr>
      <t>Threshold limit</t>
    </r>
    <phoneticPr fontId="3" type="noConversion"/>
  </si>
  <si>
    <r>
      <t xml:space="preserve">Labeling
Required for 
Rinse off
</t>
    </r>
    <r>
      <rPr>
        <sz val="7"/>
        <rFont val="Arial"/>
        <family val="2"/>
      </rPr>
      <t>Threshold limit</t>
    </r>
    <phoneticPr fontId="3" type="noConversion"/>
  </si>
  <si>
    <t>6-Methyl Coumarin</t>
    <phoneticPr fontId="3" type="noConversion"/>
  </si>
  <si>
    <t>Limonene</t>
    <phoneticPr fontId="3" type="noConversion"/>
  </si>
  <si>
    <t>Methyl 2-Octynoate</t>
    <phoneticPr fontId="3" type="noConversion"/>
  </si>
  <si>
    <t>Alpha-Isomethyl Ionone</t>
    <phoneticPr fontId="3" type="noConversion"/>
  </si>
  <si>
    <t>Alpha-Terpinene</t>
    <phoneticPr fontId="3" type="noConversion"/>
  </si>
  <si>
    <t>3-Propylidenephthalide</t>
    <phoneticPr fontId="3" type="noConversion"/>
  </si>
  <si>
    <t>Acetyl Cedrene</t>
    <phoneticPr fontId="3" type="noConversion"/>
  </si>
  <si>
    <t>Anethole</t>
    <phoneticPr fontId="3" type="noConversion"/>
  </si>
  <si>
    <t>Beta-Caryophyllene</t>
    <phoneticPr fontId="3" type="noConversion"/>
  </si>
  <si>
    <t>Dimethyl Phenethyl Acetate</t>
    <phoneticPr fontId="3" type="noConversion"/>
  </si>
  <si>
    <t>Trimethylcyclopentenyl Methylisopentenol</t>
    <phoneticPr fontId="3" type="noConversion"/>
  </si>
  <si>
    <t>Salicylaldehyde</t>
    <phoneticPr fontId="3" type="noConversion"/>
  </si>
  <si>
    <t>Santalol</t>
    <phoneticPr fontId="3" type="noConversion"/>
  </si>
  <si>
    <t>Trimethylbenzenepropanol</t>
    <phoneticPr fontId="3" type="noConversion"/>
  </si>
  <si>
    <t>Isoeugenyl Acetate</t>
    <phoneticPr fontId="3" type="noConversion"/>
  </si>
  <si>
    <t>Pinene</t>
    <phoneticPr fontId="3" type="noConversion"/>
  </si>
  <si>
    <t>8006-81-3
68606-83-7
83863-30-3
93686-30-7</t>
    <phoneticPr fontId="3" type="noConversion"/>
  </si>
  <si>
    <t>8023-85-6
92201-55-3</t>
    <phoneticPr fontId="3" type="noConversion"/>
  </si>
  <si>
    <t>8007-80-5
84961-46-6</t>
    <phoneticPr fontId="3" type="noConversion"/>
  </si>
  <si>
    <t>8015-91-6
84649-98-9</t>
    <phoneticPr fontId="3" type="noConversion"/>
  </si>
  <si>
    <t>8007-75-8
68648-33-9
85049-52-1
89957-91-5</t>
    <phoneticPr fontId="3" type="noConversion"/>
  </si>
  <si>
    <t>8016-38-4
8028-48-6
72968-50-4</t>
    <phoneticPr fontId="3" type="noConversion"/>
  </si>
  <si>
    <t>8008-57-9
8028-48-6
68916-04-1
72968-50-4
97766-30-8</t>
    <phoneticPr fontId="3" type="noConversion"/>
  </si>
  <si>
    <t>8008-56-8
84929-31-7</t>
    <phoneticPr fontId="3" type="noConversion"/>
  </si>
  <si>
    <t>8007-02-1
89998-16-3
91844-92-7</t>
    <phoneticPr fontId="3" type="noConversion"/>
  </si>
  <si>
    <t>8000-48-4
97926-40-4</t>
    <phoneticPr fontId="3" type="noConversion"/>
  </si>
  <si>
    <t>8000-34-8
8015-97-2
84961-50-2</t>
    <phoneticPr fontId="3" type="noConversion"/>
  </si>
  <si>
    <t>90028-68-5</t>
    <phoneticPr fontId="3" type="noConversion"/>
  </si>
  <si>
    <t>97-54-1
5912-86-7
5932-68-3</t>
    <phoneticPr fontId="3" type="noConversion"/>
  </si>
  <si>
    <t>8022-96-6
8024-43-9
84776-64-7
90045-94-6</t>
    <phoneticPr fontId="3" type="noConversion"/>
  </si>
  <si>
    <t>8006-64-2
8052-14-0
9005-90-7</t>
    <phoneticPr fontId="3" type="noConversion"/>
  </si>
  <si>
    <t>23696-85-7
23726-91-2
23726-92-3
23726-94-5
24720-09-0
43052-87-5
57378-68-4
71048-82-3</t>
    <phoneticPr fontId="3" type="noConversion"/>
  </si>
  <si>
    <t>138-86-3
5989-27-5
5989-54-8
7705-14-8</t>
    <phoneticPr fontId="3" type="noConversion"/>
  </si>
  <si>
    <t>8002-41-3
8007-48-5
84603-73-6</t>
    <phoneticPr fontId="3" type="noConversion"/>
  </si>
  <si>
    <t>8006-90-4
84082-70-2</t>
    <phoneticPr fontId="3" type="noConversion"/>
  </si>
  <si>
    <t>1222-05-5</t>
    <phoneticPr fontId="3" type="noConversion"/>
  </si>
  <si>
    <t>115-95-7</t>
    <phoneticPr fontId="3" type="noConversion"/>
  </si>
  <si>
    <t>67801-20-1</t>
    <phoneticPr fontId="3" type="noConversion"/>
  </si>
  <si>
    <t>90-02-8</t>
    <phoneticPr fontId="3" type="noConversion"/>
  </si>
  <si>
    <t>98-55-5
138-87-4
586-81-2
8000-41-7</t>
    <phoneticPr fontId="3" type="noConversion"/>
  </si>
  <si>
    <t>80-56-8
127-91-3
7785-70-8
18172-67-3</t>
    <phoneticPr fontId="3" type="noConversion"/>
  </si>
  <si>
    <t>Even if the content is indicated blank, small amounts of allergic substances may be detected from production by-products or impurities of the raw materials used.</t>
    <phoneticPr fontId="2" type="noConversion"/>
  </si>
  <si>
    <t>3-PROPYLIDENEPHTHALIDE</t>
  </si>
  <si>
    <t>6-METHYL COUMARIN</t>
  </si>
  <si>
    <t>ACETYL CEDRENE</t>
  </si>
  <si>
    <t>ALPHA-ISOMETHYL IONONE</t>
  </si>
  <si>
    <t>ALPHA-TERPINENE</t>
  </si>
  <si>
    <t>AMYL CINNAMAL</t>
  </si>
  <si>
    <t>AMYL SALICYLATE</t>
  </si>
  <si>
    <t>AMYLCINNAMYL ALCOHOL</t>
  </si>
  <si>
    <t>ANETHOLE</t>
  </si>
  <si>
    <t>ANISE ALCOHOL</t>
  </si>
  <si>
    <t>BENZALDEHYDE</t>
  </si>
  <si>
    <t>BENZYL ALCOHOL</t>
  </si>
  <si>
    <t>BENZYL BENZOATE</t>
  </si>
  <si>
    <t>BENZYL CINNAMATE</t>
  </si>
  <si>
    <t>BENZYL SALICYLATE</t>
  </si>
  <si>
    <t>BETA-CARYOPHYLLENE</t>
  </si>
  <si>
    <t>BUTYLPHENYL METHYLPROPIONAL</t>
  </si>
  <si>
    <t>CANANGA ODORATA OIL/EXTRACT</t>
  </si>
  <si>
    <t>CARVONE</t>
  </si>
  <si>
    <t>CEDRUS ATLANTICA OIL/ EXTRACT</t>
  </si>
  <si>
    <t>CINNAMAL</t>
  </si>
  <si>
    <t>CINNAMOMUM CASSIA LEAF OIL</t>
  </si>
  <si>
    <t>CINNAMOMUM ZEYLANICUM BARK OIL</t>
  </si>
  <si>
    <t>CINNAMYL ALCOHOL</t>
  </si>
  <si>
    <t>CITRAL</t>
  </si>
  <si>
    <t>CITRONELLOL</t>
  </si>
  <si>
    <t>CITRUS AURANTIUM BERGAMIA PEEL OIL</t>
  </si>
  <si>
    <t>CITRUS AURANTIUM FLOWER OIL</t>
  </si>
  <si>
    <t>CITRUS AURANTIUM PEEL OIL</t>
  </si>
  <si>
    <t>CITRUS LIMON PEEL OIL</t>
  </si>
  <si>
    <t>COUMARIN</t>
  </si>
  <si>
    <t>DIMETHYL PHENETHYL ACETATE</t>
  </si>
  <si>
    <t>EUCALYPTUS GLOBULUS OIL</t>
  </si>
  <si>
    <t>EUGENIA CARYOPHYLLUS OIL</t>
  </si>
  <si>
    <t>EUGENOL</t>
  </si>
  <si>
    <t>EUGENYL ACETATE</t>
  </si>
  <si>
    <t>EVERNIA FURFURACEA (TREEMOSS) EXTRACT</t>
  </si>
  <si>
    <t>EVERNIA PRUNASTRI (OAKMOSS) EXTRACT</t>
  </si>
  <si>
    <t>FARNESOL</t>
  </si>
  <si>
    <t>GERANIOL</t>
  </si>
  <si>
    <t>GERANYL ACETATE</t>
  </si>
  <si>
    <t>HEXADECANOLACTONE</t>
  </si>
  <si>
    <t>HEXAMETHYLINDANOPYRAN</t>
  </si>
  <si>
    <t>HEXYL CINNAMAL</t>
  </si>
  <si>
    <t>HYDROXYCITRONELLAL</t>
  </si>
  <si>
    <t>HYDROXYISOHEXYL 3-CYCLOHEXENECARBOXALDEHYDE</t>
  </si>
  <si>
    <t>ISOEUGENOL</t>
  </si>
  <si>
    <t>ISOEUGENYL ACETATE</t>
  </si>
  <si>
    <t>JASMINE OIL/EXTRACT</t>
  </si>
  <si>
    <t>JUNIPERUS VIRGINIANA OIL</t>
  </si>
  <si>
    <t>LAURUS NOBILIS LEAF OIL</t>
  </si>
  <si>
    <t>LAVANDULA OIL/ EXTRACT</t>
  </si>
  <si>
    <t>LEMONGRASS OIL</t>
  </si>
  <si>
    <t>LIMONENE</t>
  </si>
  <si>
    <t>LINALOOL</t>
  </si>
  <si>
    <t>LINALYL ACETATE</t>
  </si>
  <si>
    <t>LIPPIA CITRIODORA ABSOLUTE</t>
  </si>
  <si>
    <t>MENTHA PIPERITA (PEPPERMINT) OIL</t>
  </si>
  <si>
    <t>MENTHA VIRIDIS (SPEARMINT) LEAF OIL</t>
  </si>
  <si>
    <t>MENTHOL</t>
  </si>
  <si>
    <t>METHYL 2-OCTYNOATE</t>
  </si>
  <si>
    <t>METHYL SALICYLATE</t>
  </si>
  <si>
    <t>MYROXYLON PEREIRAE OIL/ EXTRACT</t>
  </si>
  <si>
    <t>NARCISSUS EXTRACT</t>
  </si>
  <si>
    <t>PELARGONIUM GRAVEOLENS FLOWER OIL</t>
  </si>
  <si>
    <t>PINENE</t>
  </si>
  <si>
    <t>PINUS MUGO</t>
  </si>
  <si>
    <t>PINUS PUMILA</t>
  </si>
  <si>
    <t>POGOSTEMON CABLIN OIL</t>
  </si>
  <si>
    <t>ROSE FLOWER OIL/EXTRACT</t>
  </si>
  <si>
    <t>ROSE KETONES</t>
  </si>
  <si>
    <t>SALICYLALDEHYDE</t>
  </si>
  <si>
    <t>SANTALOL</t>
  </si>
  <si>
    <t>SANTALUM ALBUM (SANDALWOOD) OIL</t>
  </si>
  <si>
    <t>SCLAREOL</t>
  </si>
  <si>
    <t>TERPINEOL</t>
  </si>
  <si>
    <t>TERPINOLENE</t>
  </si>
  <si>
    <t>TETRAMETHYL ACETYLOCTAHYDRONAPHTHALENES</t>
  </si>
  <si>
    <t>TRIMETHYLBENZENEPROPANOL</t>
  </si>
  <si>
    <t>TRIMETHYLCYCLOPENTENYL METHYLISOPENTENOL</t>
  </si>
  <si>
    <t>TURPENTINE</t>
  </si>
  <si>
    <t>VANILLIN</t>
  </si>
  <si>
    <t>32388-55-9</t>
    <phoneticPr fontId="2" type="noConversion"/>
  </si>
  <si>
    <t>100-51-6</t>
    <phoneticPr fontId="2" type="noConversion"/>
  </si>
  <si>
    <t>17369-59-4</t>
    <phoneticPr fontId="2" type="noConversion"/>
  </si>
  <si>
    <t>92-48-8</t>
    <phoneticPr fontId="2" type="noConversion"/>
  </si>
  <si>
    <t>127-51-5</t>
    <phoneticPr fontId="2" type="noConversion"/>
  </si>
  <si>
    <t>99-86-5</t>
    <phoneticPr fontId="2" type="noConversion"/>
  </si>
  <si>
    <t>122-40-7</t>
    <phoneticPr fontId="2" type="noConversion"/>
  </si>
  <si>
    <t>2050-08-0</t>
    <phoneticPr fontId="2" type="noConversion"/>
  </si>
  <si>
    <t>101-85-9</t>
    <phoneticPr fontId="2" type="noConversion"/>
  </si>
  <si>
    <t>105-13-5</t>
    <phoneticPr fontId="2" type="noConversion"/>
  </si>
  <si>
    <t>100-52-7</t>
    <phoneticPr fontId="2" type="noConversion"/>
  </si>
  <si>
    <t>120-51-4</t>
    <phoneticPr fontId="2" type="noConversion"/>
  </si>
  <si>
    <t>103-41-3</t>
    <phoneticPr fontId="2" type="noConversion"/>
  </si>
  <si>
    <t>118-58-1</t>
    <phoneticPr fontId="2" type="noConversion"/>
  </si>
  <si>
    <t>87-44-5</t>
    <phoneticPr fontId="2" type="noConversion"/>
  </si>
  <si>
    <t>80-54-6</t>
    <phoneticPr fontId="2" type="noConversion"/>
  </si>
  <si>
    <t>104-55-2</t>
    <phoneticPr fontId="2" type="noConversion"/>
  </si>
  <si>
    <t>104-54-1</t>
    <phoneticPr fontId="2" type="noConversion"/>
  </si>
  <si>
    <t>91-64-5</t>
    <phoneticPr fontId="2" type="noConversion"/>
  </si>
  <si>
    <t>97-53-0</t>
    <phoneticPr fontId="2" type="noConversion"/>
  </si>
  <si>
    <t>93-28-7</t>
    <phoneticPr fontId="2" type="noConversion"/>
  </si>
  <si>
    <t>151-05-3</t>
    <phoneticPr fontId="2" type="noConversion"/>
  </si>
  <si>
    <t>90028-67-4</t>
    <phoneticPr fontId="2" type="noConversion"/>
  </si>
  <si>
    <t>90028-68-5</t>
    <phoneticPr fontId="2" type="noConversion"/>
  </si>
  <si>
    <t>4602-84-0</t>
    <phoneticPr fontId="2" type="noConversion"/>
  </si>
  <si>
    <t>106-24-1</t>
    <phoneticPr fontId="2" type="noConversion"/>
  </si>
  <si>
    <t>105-87-3</t>
    <phoneticPr fontId="2" type="noConversion"/>
  </si>
  <si>
    <t>109-29-5</t>
    <phoneticPr fontId="2" type="noConversion"/>
  </si>
  <si>
    <t>1222-05-5</t>
    <phoneticPr fontId="2" type="noConversion"/>
  </si>
  <si>
    <t>101-86-0</t>
    <phoneticPr fontId="2" type="noConversion"/>
  </si>
  <si>
    <t>107-75-5</t>
    <phoneticPr fontId="2" type="noConversion"/>
  </si>
  <si>
    <t>93-29-8</t>
    <phoneticPr fontId="2" type="noConversion"/>
  </si>
  <si>
    <t>78-70-6</t>
    <phoneticPr fontId="2" type="noConversion"/>
  </si>
  <si>
    <t>115-95-7</t>
    <phoneticPr fontId="2" type="noConversion"/>
  </si>
  <si>
    <t>111-12-6</t>
    <phoneticPr fontId="2" type="noConversion"/>
  </si>
  <si>
    <t>119-36-8</t>
    <phoneticPr fontId="2" type="noConversion"/>
  </si>
  <si>
    <t>8007-00-9</t>
    <phoneticPr fontId="2" type="noConversion"/>
  </si>
  <si>
    <t>90082-72-7</t>
    <phoneticPr fontId="2" type="noConversion"/>
  </si>
  <si>
    <t>97676-05-6</t>
    <phoneticPr fontId="2" type="noConversion"/>
  </si>
  <si>
    <t>515-03-7</t>
    <phoneticPr fontId="2" type="noConversion"/>
  </si>
  <si>
    <t>103694-68-4</t>
    <phoneticPr fontId="2" type="noConversion"/>
  </si>
  <si>
    <t>67801-20-1</t>
    <phoneticPr fontId="2" type="noConversion"/>
  </si>
  <si>
    <t>121-33-5</t>
    <phoneticPr fontId="2" type="noConversion"/>
  </si>
  <si>
    <t>CAMPHOR</t>
    <phoneticPr fontId="2" type="noConversion"/>
  </si>
  <si>
    <t>31906-04-4</t>
    <phoneticPr fontId="3" type="noConversion"/>
  </si>
  <si>
    <t>586-62-9</t>
    <phoneticPr fontId="3" type="noConversion"/>
  </si>
  <si>
    <t>17369-59-4</t>
    <phoneticPr fontId="3" type="noConversion"/>
  </si>
  <si>
    <t>92-48-8</t>
    <phoneticPr fontId="3" type="noConversion"/>
  </si>
  <si>
    <t>32388-55-9</t>
    <phoneticPr fontId="3" type="noConversion"/>
  </si>
  <si>
    <t>127-51-5</t>
    <phoneticPr fontId="3" type="noConversion"/>
  </si>
  <si>
    <t>99-86-5</t>
    <phoneticPr fontId="3" type="noConversion"/>
  </si>
  <si>
    <t>Amyl Cinnamal</t>
    <phoneticPr fontId="3" type="noConversion"/>
  </si>
  <si>
    <t>122-40-7</t>
    <phoneticPr fontId="3" type="noConversion"/>
  </si>
  <si>
    <t>Amyl Cinnamyl Alcohol</t>
    <phoneticPr fontId="3" type="noConversion"/>
  </si>
  <si>
    <t>101-85-9</t>
    <phoneticPr fontId="3" type="noConversion"/>
  </si>
  <si>
    <t>Amyl Salicylate</t>
    <phoneticPr fontId="3" type="noConversion"/>
  </si>
  <si>
    <t>2050-08-0</t>
    <phoneticPr fontId="3" type="noConversion"/>
  </si>
  <si>
    <t>Anisyl Alcohol</t>
    <phoneticPr fontId="3" type="noConversion"/>
  </si>
  <si>
    <t>105-13-5</t>
    <phoneticPr fontId="3" type="noConversion"/>
  </si>
  <si>
    <t>Benzaldehyde</t>
    <phoneticPr fontId="3" type="noConversion"/>
  </si>
  <si>
    <t>100-52-7</t>
    <phoneticPr fontId="3" type="noConversion"/>
  </si>
  <si>
    <t>Benzyl Alcohol</t>
    <phoneticPr fontId="3" type="noConversion"/>
  </si>
  <si>
    <t>100-51-6</t>
    <phoneticPr fontId="3" type="noConversion"/>
  </si>
  <si>
    <t>Benzyl Benzoate</t>
    <phoneticPr fontId="3" type="noConversion"/>
  </si>
  <si>
    <t>120-51-4</t>
    <phoneticPr fontId="3" type="noConversion"/>
  </si>
  <si>
    <t>Benzyl Cinnamate</t>
    <phoneticPr fontId="3" type="noConversion"/>
  </si>
  <si>
    <t>103-41-3</t>
    <phoneticPr fontId="3" type="noConversion"/>
  </si>
  <si>
    <t>Benzyl Salicylate</t>
    <phoneticPr fontId="3" type="noConversion"/>
  </si>
  <si>
    <t>118-58-1</t>
    <phoneticPr fontId="3" type="noConversion"/>
  </si>
  <si>
    <t>87-44-5</t>
    <phoneticPr fontId="3" type="noConversion"/>
  </si>
  <si>
    <t>Butylphenyl Methylpropional</t>
    <phoneticPr fontId="3" type="noConversion"/>
  </si>
  <si>
    <t>80-54-6</t>
    <phoneticPr fontId="3" type="noConversion"/>
  </si>
  <si>
    <t>Camphor</t>
    <phoneticPr fontId="3" type="noConversion"/>
  </si>
  <si>
    <t>Cananga Odorata Flower Oil</t>
    <phoneticPr fontId="3" type="noConversion"/>
  </si>
  <si>
    <t>Carvone</t>
    <phoneticPr fontId="3" type="noConversion"/>
  </si>
  <si>
    <t>Cedrus Atlantica Wood Oil</t>
    <phoneticPr fontId="3" type="noConversion"/>
  </si>
  <si>
    <t>Cinnamal</t>
    <phoneticPr fontId="3" type="noConversion"/>
  </si>
  <si>
    <t>104-55-2</t>
    <phoneticPr fontId="3" type="noConversion"/>
  </si>
  <si>
    <t>Cinnamomum Cassia Leaf Oil</t>
    <phoneticPr fontId="3" type="noConversion"/>
  </si>
  <si>
    <t>Cinnamomum Zeylanicum Bark Oil</t>
    <phoneticPr fontId="3" type="noConversion"/>
  </si>
  <si>
    <t>Cinnamyl Alcohol</t>
    <phoneticPr fontId="3" type="noConversion"/>
  </si>
  <si>
    <t>104-54-1</t>
    <phoneticPr fontId="3" type="noConversion"/>
  </si>
  <si>
    <t>Citral</t>
    <phoneticPr fontId="3" type="noConversion"/>
  </si>
  <si>
    <t>Citronellol</t>
    <phoneticPr fontId="3" type="noConversion"/>
  </si>
  <si>
    <t>Citrus Aurantium Bergamia Peel Oil</t>
    <phoneticPr fontId="3" type="noConversion"/>
  </si>
  <si>
    <t>Citrus Aurantium Dulcis Flower Oil</t>
    <phoneticPr fontId="3" type="noConversion"/>
  </si>
  <si>
    <t>Citrus Aurantium Dulcis Peel Oil</t>
    <phoneticPr fontId="3" type="noConversion"/>
  </si>
  <si>
    <t>Citrus Limon Peel Oil</t>
    <phoneticPr fontId="3" type="noConversion"/>
  </si>
  <si>
    <t>Coumarine</t>
    <phoneticPr fontId="3" type="noConversion"/>
  </si>
  <si>
    <t>91-64-5</t>
    <phoneticPr fontId="3" type="noConversion"/>
  </si>
  <si>
    <t>Cymbopogon Citratus Leaf Oil</t>
    <phoneticPr fontId="3" type="noConversion"/>
  </si>
  <si>
    <t>Eucalyptus Globulus Leaf Oil</t>
    <phoneticPr fontId="3" type="noConversion"/>
  </si>
  <si>
    <t>Eugenia Caryophyllus Leaf Oil</t>
    <phoneticPr fontId="3" type="noConversion"/>
  </si>
  <si>
    <t>Eugenol</t>
    <phoneticPr fontId="3" type="noConversion"/>
  </si>
  <si>
    <t>97-53-0</t>
    <phoneticPr fontId="3" type="noConversion"/>
  </si>
  <si>
    <t>Eugenyl Acetate</t>
    <phoneticPr fontId="3" type="noConversion"/>
  </si>
  <si>
    <t>Evernia Furfuracea (Treemoss) Extract</t>
    <phoneticPr fontId="3" type="noConversion"/>
  </si>
  <si>
    <t>90028-67-4</t>
    <phoneticPr fontId="3" type="noConversion"/>
  </si>
  <si>
    <t>Evernia Prunastri (Oakmoss) Extract</t>
    <phoneticPr fontId="3" type="noConversion"/>
  </si>
  <si>
    <t>Farnesol</t>
    <phoneticPr fontId="3" type="noConversion"/>
  </si>
  <si>
    <t>4602-84-0</t>
    <phoneticPr fontId="3" type="noConversion"/>
  </si>
  <si>
    <t>Geraniol</t>
    <phoneticPr fontId="3" type="noConversion"/>
  </si>
  <si>
    <t>106-24-1</t>
    <phoneticPr fontId="3" type="noConversion"/>
  </si>
  <si>
    <t>Geranyl Acetate</t>
    <phoneticPr fontId="3" type="noConversion"/>
  </si>
  <si>
    <t>Hexadecanolactone</t>
    <phoneticPr fontId="3" type="noConversion"/>
  </si>
  <si>
    <t>Hexamethylindanopyran</t>
    <phoneticPr fontId="3" type="noConversion"/>
  </si>
  <si>
    <t>Hexyl Cinnamal</t>
    <phoneticPr fontId="3" type="noConversion"/>
  </si>
  <si>
    <t>101-86-0</t>
    <phoneticPr fontId="3" type="noConversion"/>
  </si>
  <si>
    <t>Hydroxycitronellal</t>
    <phoneticPr fontId="3" type="noConversion"/>
  </si>
  <si>
    <t>107-75-5</t>
    <phoneticPr fontId="3" type="noConversion"/>
  </si>
  <si>
    <t>Isoeugenol</t>
    <phoneticPr fontId="3" type="noConversion"/>
  </si>
  <si>
    <t>Jasminum Officinale Oil</t>
    <phoneticPr fontId="3" type="noConversion"/>
  </si>
  <si>
    <t>Juniperus Virginiana Wood Oil</t>
    <phoneticPr fontId="3" type="noConversion"/>
  </si>
  <si>
    <t>Laurus Nobilis Leaf Oil</t>
    <phoneticPr fontId="3" type="noConversion"/>
  </si>
  <si>
    <t>Lavandula Hybrida Oil</t>
    <phoneticPr fontId="3" type="noConversion"/>
  </si>
  <si>
    <t>Linalool</t>
    <phoneticPr fontId="3" type="noConversion"/>
  </si>
  <si>
    <t>Linalyl Acetate</t>
    <phoneticPr fontId="3" type="noConversion"/>
  </si>
  <si>
    <t>Lippia Citriodora Absolute</t>
    <phoneticPr fontId="3" type="noConversion"/>
  </si>
  <si>
    <t>Lyral</t>
    <phoneticPr fontId="3" type="noConversion"/>
  </si>
  <si>
    <t>Mentha Piperita Oil</t>
    <phoneticPr fontId="3" type="noConversion"/>
  </si>
  <si>
    <t>Mentha Viridis Leaf Oil</t>
    <phoneticPr fontId="3" type="noConversion"/>
  </si>
  <si>
    <t>Menthol</t>
    <phoneticPr fontId="3" type="noConversion"/>
  </si>
  <si>
    <t>111-12-6</t>
    <phoneticPr fontId="3" type="noConversion"/>
  </si>
  <si>
    <t>Methyl Salicylate</t>
    <phoneticPr fontId="3" type="noConversion"/>
  </si>
  <si>
    <t>119-36-8</t>
    <phoneticPr fontId="3" type="noConversion"/>
  </si>
  <si>
    <t>Myroxylon Pereirae Resin</t>
    <phoneticPr fontId="3" type="noConversion"/>
  </si>
  <si>
    <t>8007-00-9</t>
    <phoneticPr fontId="3" type="noConversion"/>
  </si>
  <si>
    <t>Narcissus Poeticus Extract</t>
    <phoneticPr fontId="3" type="noConversion"/>
  </si>
  <si>
    <t>Pelargonium Graveolens Flower Oil</t>
    <phoneticPr fontId="3" type="noConversion"/>
  </si>
  <si>
    <t>Pinus Mugo Leaf Oil</t>
    <phoneticPr fontId="3" type="noConversion"/>
  </si>
  <si>
    <t>90082-72-7</t>
    <phoneticPr fontId="3" type="noConversion"/>
  </si>
  <si>
    <t>Pinus Pumila Twig Leaf Oil</t>
    <phoneticPr fontId="3" type="noConversion"/>
  </si>
  <si>
    <t>97676-05-6</t>
    <phoneticPr fontId="3" type="noConversion"/>
  </si>
  <si>
    <t>Pogostemon Cablin Oil</t>
    <phoneticPr fontId="3" type="noConversion"/>
  </si>
  <si>
    <t>Rosa Damascena Flower Oil</t>
    <phoneticPr fontId="3" type="noConversion"/>
  </si>
  <si>
    <t>Rose Ketone</t>
    <phoneticPr fontId="3" type="noConversion"/>
  </si>
  <si>
    <t>Santalum Album Oil</t>
    <phoneticPr fontId="3" type="noConversion"/>
  </si>
  <si>
    <t>Sclareol</t>
    <phoneticPr fontId="3" type="noConversion"/>
  </si>
  <si>
    <t>Terpineol</t>
    <phoneticPr fontId="3" type="noConversion"/>
  </si>
  <si>
    <t>Terpinolene</t>
    <phoneticPr fontId="3" type="noConversion"/>
  </si>
  <si>
    <t>Tetramethylacetyloctahydronaphthalenes</t>
    <phoneticPr fontId="3" type="noConversion"/>
  </si>
  <si>
    <t>Turpentine</t>
    <phoneticPr fontId="3" type="noConversion"/>
  </si>
  <si>
    <t>Vanillin</t>
    <phoneticPr fontId="3" type="noConversion"/>
  </si>
  <si>
    <t>8006-90-4
84082-70-2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</si>
</sst>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0%"/>
    <numFmt numFmtId="178" formatCode="0.000%"/>
    <numFmt numFmtId="179" formatCode="0.0000_);[Red]\(0.0000\)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0"/>
      <name val="Arial"/>
      <family val="2"/>
    </font>
    <font>
      <sz val="8"/>
      <name val="굴림체"/>
      <family val="3"/>
      <charset val="129"/>
    </font>
    <font>
      <b/>
      <sz val="12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name val="굴림체"/>
      <family val="3"/>
      <charset val="129"/>
    </font>
    <font>
      <b/>
      <sz val="9"/>
      <name val="Arial"/>
      <family val="2"/>
    </font>
    <font>
      <b/>
      <sz val="7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79" fontId="8" fillId="0" borderId="0" xfId="0" applyNumberFormat="1" applyFont="1">
      <alignment vertical="center"/>
    </xf>
    <xf numFmtId="0" fontId="9" fillId="0" borderId="0" xfId="0" applyFont="1">
      <alignment vertical="center"/>
    </xf>
    <xf numFmtId="179" fontId="9" fillId="0" borderId="0" xfId="0" applyNumberFormat="1" applyFont="1">
      <alignment vertical="center"/>
    </xf>
    <xf numFmtId="179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 applyAlignment="1">
      <alignment horizontal="left"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4" xfId="0" applyFont="1" applyBorder="1" applyAlignment="1">
      <alignment vertical="center" wrapText="1"/>
    </xf>
    <xf numFmtId="0" fontId="9" fillId="0" borderId="13" xfId="0" applyFont="1" applyBorder="1">
      <alignment vertical="center"/>
    </xf>
    <xf numFmtId="0" fontId="9" fillId="0" borderId="6" xfId="0" applyFont="1" applyBorder="1">
      <alignment vertical="center"/>
    </xf>
    <xf numFmtId="49" fontId="8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49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center" vertical="center"/>
    </xf>
    <xf numFmtId="177" fontId="5" fillId="0" borderId="15" xfId="0" applyNumberFormat="1" applyFont="1" applyBorder="1" applyAlignment="1">
      <alignment horizontal="center" vertical="center"/>
    </xf>
    <xf numFmtId="179" fontId="5" fillId="0" borderId="15" xfId="0" applyNumberFormat="1" applyFont="1" applyBorder="1" applyAlignment="1">
      <alignment horizontal="center" vertical="center"/>
    </xf>
    <xf numFmtId="178" fontId="13" fillId="0" borderId="20" xfId="0" applyNumberFormat="1" applyFont="1" applyBorder="1" applyAlignment="1">
      <alignment horizontal="center" vertical="center" wrapText="1"/>
    </xf>
    <xf numFmtId="10" fontId="13" fillId="0" borderId="21" xfId="0" applyNumberFormat="1" applyFont="1" applyBorder="1" applyAlignment="1">
      <alignment horizontal="center" vertical="center" wrapText="1"/>
    </xf>
    <xf numFmtId="0" fontId="16" fillId="0" borderId="1" xfId="0" applyFon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4" xfId="0" applyFont="1" applyBorder="1" applyAlignment="1">
      <alignment vertical="center" wrapText="1"/>
    </xf>
    <xf numFmtId="0" fontId="9" fillId="0" borderId="10" xfId="0" applyFont="1" applyBorder="1">
      <alignment vertical="center"/>
    </xf>
    <xf numFmtId="0" fontId="9" fillId="0" borderId="9" xfId="0" applyFont="1" applyBorder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9" fontId="9" fillId="0" borderId="1" xfId="1" applyNumberFormat="1" applyFont="1" applyBorder="1" applyAlignment="1" applyProtection="1">
      <alignment horizontal="center" vertical="center" wrapText="1"/>
    </xf>
    <xf numFmtId="179" fontId="9" fillId="0" borderId="2" xfId="1" applyNumberFormat="1" applyFont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>
      <alignment vertical="center"/>
    </xf>
    <xf numFmtId="0" fontId="9" fillId="0" borderId="4" xfId="0" applyFont="1" applyBorder="1">
      <alignment vertical="center"/>
    </xf>
    <xf numFmtId="177" fontId="10" fillId="0" borderId="4" xfId="0" applyNumberFormat="1" applyFont="1" applyBorder="1" applyAlignment="1">
      <alignment horizontal="left" vertical="center"/>
    </xf>
    <xf numFmtId="177" fontId="10" fillId="0" borderId="5" xfId="0" applyNumberFormat="1" applyFont="1" applyBorder="1" applyAlignment="1">
      <alignment horizontal="left" vertical="center"/>
    </xf>
    <xf numFmtId="14" fontId="9" fillId="0" borderId="4" xfId="0" applyNumberFormat="1" applyFont="1" applyBorder="1" applyAlignment="1">
      <alignment horizontal="left" vertical="center"/>
    </xf>
    <xf numFmtId="14" fontId="9" fillId="0" borderId="5" xfId="0" applyNumberFormat="1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4" fillId="0" borderId="18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>
      <alignment horizontal="center" vertical="center"/>
    </xf>
    <xf numFmtId="176" fontId="12" fillId="0" borderId="17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76" fontId="13" fillId="0" borderId="17" xfId="1" applyNumberFormat="1" applyFont="1" applyBorder="1" applyAlignment="1" applyProtection="1">
      <alignment horizontal="center" vertical="center" wrapText="1"/>
    </xf>
    <xf numFmtId="176" fontId="13" fillId="0" borderId="20" xfId="1" applyNumberFormat="1" applyFont="1" applyBorder="1" applyAlignment="1" applyProtection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458665</xdr:colOff>
      <xdr:row>1</xdr:row>
      <xdr:rowOff>71781</xdr:rowOff>
    </xdr:from>
    <xdr:to>
      <xdr:col>4</xdr:col>
      <xdr:colOff>914515</xdr:colOff>
      <xdr:row>2</xdr:row>
      <xdr:rowOff>203181</xdr:rowOff>
    </xdr:to>
    <xdr:pic>
      <xdr:nvPicPr>
        <xdr:cNvPr id="13" name="그림 4" descr="[아로마준] 로고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9740" y="338481"/>
          <a:ext cx="25704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421294</xdr:colOff>
      <xdr:row>3</xdr:row>
      <xdr:rowOff>39563</xdr:rowOff>
    </xdr:from>
    <xdr:ext cx="2902932" cy="71291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12369" y="839663"/>
          <a:ext cx="2902932" cy="712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altLang="ko-KR" sz="950"/>
            <a:t>1301, Ace Gwanggyo Tower 2, 91, Chang Yong Dae-ro 256, Young Tong-Goo, Soowon-Si, South Korea</a:t>
          </a:r>
        </a:p>
        <a:p>
          <a:r>
            <a:rPr lang="en-US" altLang="ko-KR" sz="950"/>
            <a:t>TEL: +82(0)31-8014-2626 FAX: +82(0)31-8014-2629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106"/>
  <sheetViews>
    <sheetView showZeros="0" tabSelected="1" topLeftCell="A86" workbookViewId="0">
      <selection activeCell="C96" sqref="C96"/>
    </sheetView>
  </sheetViews>
  <sheetFormatPr defaultRowHeight="16.5" x14ac:dyDescent="0.3"/>
  <cols>
    <col min="1" max="1" width="31.5" style="4" customWidth="1"/>
    <col min="2" max="2" width="30.75" style="18" customWidth="1"/>
    <col min="3" max="5" width="13.875" style="4" customWidth="1"/>
    <col min="6" max="6" width="12.75" style="4" customWidth="1"/>
  </cols>
  <sheetData>
    <row r="1" spans="1:6" ht="6" customHeight="1" x14ac:dyDescent="0.3">
      <c r="B1" s="5"/>
      <c r="C1" s="6"/>
    </row>
    <row r="2" spans="1:6" ht="18" customHeight="1" x14ac:dyDescent="0.3">
      <c r="B2" s="4"/>
      <c r="C2" s="6"/>
    </row>
    <row r="3" spans="1:6" ht="18" customHeight="1" x14ac:dyDescent="0.3">
      <c r="A3" s="3" t="s">
        <v>42</v>
      </c>
      <c r="B3" s="7"/>
      <c r="C3" s="6"/>
    </row>
    <row r="4" spans="1:6" ht="18" customHeight="1" x14ac:dyDescent="0.3">
      <c r="A4" s="3" t="s">
        <v>44</v>
      </c>
      <c r="B4" s="7"/>
      <c r="C4" s="8"/>
    </row>
    <row r="5" spans="1:6" ht="18" customHeight="1" x14ac:dyDescent="0.3">
      <c r="A5" s="7"/>
      <c r="B5" s="7"/>
      <c r="C5" s="9"/>
    </row>
    <row r="6" spans="1:6" ht="5.25" customHeight="1" x14ac:dyDescent="0.3">
      <c r="A6" s="10"/>
      <c r="B6" s="10"/>
      <c r="C6" s="9"/>
      <c r="D6" s="10"/>
      <c r="E6" s="10"/>
      <c r="F6" s="10"/>
    </row>
    <row r="7" spans="1:6" ht="7.5" customHeight="1" x14ac:dyDescent="0.3">
      <c r="A7" s="7"/>
      <c r="B7" s="7"/>
      <c r="C7" s="9"/>
      <c r="D7" s="10"/>
      <c r="E7" s="10"/>
      <c r="F7" s="10"/>
    </row>
    <row r="8" spans="1:6" ht="17.25" customHeight="1" x14ac:dyDescent="0.3">
      <c r="A8" s="11" t="s">
        <v>25</v>
      </c>
      <c r="B8" s="12" t="s">
        <v>26</v>
      </c>
      <c r="C8" s="38" t="s">
        <v>21</v>
      </c>
      <c r="D8" s="39"/>
      <c r="E8" s="55"/>
      <c r="F8" s="56"/>
    </row>
    <row r="9" spans="1:6" ht="17.25" customHeight="1" x14ac:dyDescent="0.3">
      <c r="A9" s="13" t="s">
        <v>22</v>
      </c>
      <c r="B9" s="14" t="s">
        <v>27</v>
      </c>
      <c r="C9" s="49" t="s">
        <v>28</v>
      </c>
      <c r="D9" s="50"/>
      <c r="E9" s="51">
        <v>1E-4</v>
      </c>
      <c r="F9" s="52"/>
    </row>
    <row r="10" spans="1:6" ht="17.25" customHeight="1" x14ac:dyDescent="0.3">
      <c r="A10" s="13" t="s">
        <v>23</v>
      </c>
      <c r="B10" s="15" t="s">
        <v>29</v>
      </c>
      <c r="C10" s="49" t="s">
        <v>30</v>
      </c>
      <c r="D10" s="50"/>
      <c r="E10" s="53">
        <v>46035</v>
      </c>
      <c r="F10" s="54"/>
    </row>
    <row r="11" spans="1:6" ht="17.25" customHeight="1" x14ac:dyDescent="0.3">
      <c r="A11" s="16" t="s">
        <v>24</v>
      </c>
      <c r="B11" s="17" t="s">
        <v>31</v>
      </c>
      <c r="C11" s="40"/>
      <c r="D11" s="41"/>
      <c r="E11" s="41"/>
      <c r="F11" s="42"/>
    </row>
    <row r="12" spans="1:6" ht="13.5" customHeight="1" x14ac:dyDescent="0.3"/>
    <row r="13" spans="1:6" s="2" customFormat="1" ht="30.75" customHeight="1" x14ac:dyDescent="0.3">
      <c r="A13" s="43" t="s">
        <v>0</v>
      </c>
      <c r="B13" s="43" t="s">
        <v>32</v>
      </c>
      <c r="C13" s="45" t="s">
        <v>33</v>
      </c>
      <c r="D13" s="47" t="s">
        <v>43</v>
      </c>
      <c r="E13" s="19" t="s">
        <v>40</v>
      </c>
      <c r="F13" s="19" t="s">
        <v>41</v>
      </c>
    </row>
    <row r="14" spans="1:6" s="2" customFormat="1" ht="30.75" customHeight="1" thickBot="1" x14ac:dyDescent="0.35">
      <c r="A14" s="44"/>
      <c r="B14" s="44"/>
      <c r="C14" s="46"/>
      <c r="D14" s="48"/>
      <c r="E14" s="20">
        <v>1.0000000000000001E-5</v>
      </c>
      <c r="F14" s="21">
        <v>1E-4</v>
      </c>
    </row>
    <row r="15" spans="1:6" s="2" customFormat="1" ht="23.25" customHeight="1" thickTop="1" x14ac:dyDescent="0.3">
      <c r="A15" s="22" t="s">
        <v>91</v>
      </c>
      <c r="B15" s="23" t="s">
        <v>175</v>
      </c>
      <c r="C15" s="31">
        <f>VLOOKUP(B15, Sheet2!B:C, 2, FALSE)</f>
        <v>0</v>
      </c>
      <c r="D15" s="30" t="str">
        <f>IF($E$9&lt;&gt;"",IF(C15&gt;0,$E$9*C15*0.01,""),"")</f>
        <v/>
      </c>
      <c r="E15" s="24" t="str">
        <f>IF($D15&lt;&gt;"",IF($D15&gt;E$14,"O","X"),"")</f>
        <v/>
      </c>
      <c r="F15" s="24" t="str">
        <f>IF($D15&lt;&gt;"",IF($D15&gt;F$14,"O","X"),"")</f>
        <v/>
      </c>
    </row>
    <row r="16" spans="1:6" s="2" customFormat="1" ht="23.25" customHeight="1" x14ac:dyDescent="0.3">
      <c r="A16" s="25" t="s">
        <v>92</v>
      </c>
      <c r="B16" s="26" t="s">
        <v>176</v>
      </c>
      <c r="C16" s="31">
        <f>VLOOKUP(B16, Sheet2!B:C, 2, FALSE)</f>
        <v>0</v>
      </c>
      <c r="D16" s="30" t="str">
        <f t="shared" ref="D16:D79" si="0">IF($E$9&lt;&gt;"",IF(C16&gt;0,$E$9*C16*0.01,""),"")</f>
        <v/>
      </c>
      <c r="E16" s="24" t="str">
        <f t="shared" ref="E16:F79" si="1">IF($D16&lt;&gt;"",IF($D16&gt;E$14,"O","X"),"")</f>
        <v/>
      </c>
      <c r="F16" s="24" t="str">
        <f t="shared" si="1"/>
        <v/>
      </c>
    </row>
    <row r="17" spans="1:6" s="2" customFormat="1" ht="23.25" customHeight="1" x14ac:dyDescent="0.3">
      <c r="A17" s="25" t="s">
        <v>93</v>
      </c>
      <c r="B17" s="26" t="s">
        <v>173</v>
      </c>
      <c r="C17" s="31">
        <f>VLOOKUP(B17, Sheet2!B:C, 2, FALSE)</f>
        <v>0</v>
      </c>
      <c r="D17" s="30" t="str">
        <f t="shared" si="0"/>
        <v/>
      </c>
      <c r="E17" s="24" t="str">
        <f t="shared" si="1"/>
        <v/>
      </c>
      <c r="F17" s="24" t="str">
        <f t="shared" si="1"/>
        <v/>
      </c>
    </row>
    <row r="18" spans="1:6" s="2" customFormat="1" ht="23.25" customHeight="1" x14ac:dyDescent="0.3">
      <c r="A18" s="25" t="s">
        <v>94</v>
      </c>
      <c r="B18" s="26" t="s">
        <v>177</v>
      </c>
      <c r="C18" s="31">
        <f>VLOOKUP(B18, Sheet2!B:C, 2, FALSE)</f>
        <v>0</v>
      </c>
      <c r="D18" s="30" t="str">
        <f t="shared" si="0"/>
        <v/>
      </c>
      <c r="E18" s="24" t="str">
        <f t="shared" si="1"/>
        <v/>
      </c>
      <c r="F18" s="24" t="str">
        <f t="shared" si="1"/>
        <v/>
      </c>
    </row>
    <row r="19" spans="1:6" s="2" customFormat="1" ht="23.25" customHeight="1" x14ac:dyDescent="0.3">
      <c r="A19" s="25" t="s">
        <v>95</v>
      </c>
      <c r="B19" s="26" t="s">
        <v>178</v>
      </c>
      <c r="C19" s="31">
        <f>VLOOKUP(B19, Sheet2!B:C, 2, FALSE)</f>
        <v>0</v>
      </c>
      <c r="D19" s="30" t="str">
        <f t="shared" si="0"/>
        <v/>
      </c>
      <c r="E19" s="24" t="str">
        <f t="shared" si="1"/>
        <v/>
      </c>
      <c r="F19" s="24" t="str">
        <f t="shared" si="1"/>
        <v/>
      </c>
    </row>
    <row r="20" spans="1:6" s="2" customFormat="1" ht="23.25" customHeight="1" x14ac:dyDescent="0.3">
      <c r="A20" s="25" t="s">
        <v>96</v>
      </c>
      <c r="B20" s="26" t="s">
        <v>179</v>
      </c>
      <c r="C20" s="31">
        <f>VLOOKUP(B20, Sheet2!B:C, 2, FALSE)</f>
        <v>0</v>
      </c>
      <c r="D20" s="30" t="str">
        <f t="shared" si="0"/>
        <v/>
      </c>
      <c r="E20" s="24" t="str">
        <f t="shared" si="1"/>
        <v/>
      </c>
      <c r="F20" s="24" t="str">
        <f t="shared" si="1"/>
        <v/>
      </c>
    </row>
    <row r="21" spans="1:6" s="2" customFormat="1" ht="23.25" customHeight="1" x14ac:dyDescent="0.3">
      <c r="A21" s="25" t="s">
        <v>97</v>
      </c>
      <c r="B21" s="26" t="s">
        <v>180</v>
      </c>
      <c r="C21" s="31">
        <f>VLOOKUP(B21, Sheet2!B:C, 2, FALSE)</f>
        <v>0</v>
      </c>
      <c r="D21" s="30" t="str">
        <f t="shared" si="0"/>
        <v/>
      </c>
      <c r="E21" s="24" t="str">
        <f t="shared" si="1"/>
        <v/>
      </c>
      <c r="F21" s="24" t="str">
        <f t="shared" si="1"/>
        <v/>
      </c>
    </row>
    <row r="22" spans="1:6" s="2" customFormat="1" ht="23.25" customHeight="1" x14ac:dyDescent="0.3">
      <c r="A22" s="25" t="s">
        <v>98</v>
      </c>
      <c r="B22" s="26" t="s">
        <v>181</v>
      </c>
      <c r="C22" s="31">
        <f>VLOOKUP(B22, Sheet2!B:C, 2, FALSE)</f>
        <v>0</v>
      </c>
      <c r="D22" s="30" t="str">
        <f t="shared" si="0"/>
        <v/>
      </c>
      <c r="E22" s="24" t="str">
        <f t="shared" si="1"/>
        <v/>
      </c>
      <c r="F22" s="24" t="str">
        <f t="shared" si="1"/>
        <v/>
      </c>
    </row>
    <row r="23" spans="1:6" s="2" customFormat="1" ht="33.75" customHeight="1" x14ac:dyDescent="0.3">
      <c r="A23" s="25" t="s">
        <v>99</v>
      </c>
      <c r="B23" s="27" t="s">
        <v>1</v>
      </c>
      <c r="C23" s="31">
        <f>VLOOKUP(B23, Sheet2!B:C, 2, FALSE)</f>
        <v>0</v>
      </c>
      <c r="D23" s="30" t="str">
        <f t="shared" si="0"/>
        <v/>
      </c>
      <c r="E23" s="24" t="str">
        <f t="shared" si="1"/>
        <v/>
      </c>
      <c r="F23" s="24" t="str">
        <f t="shared" si="1"/>
        <v/>
      </c>
    </row>
    <row r="24" spans="1:6" s="2" customFormat="1" ht="23.25" customHeight="1" x14ac:dyDescent="0.3">
      <c r="A24" s="25" t="s">
        <v>100</v>
      </c>
      <c r="B24" s="27" t="s">
        <v>182</v>
      </c>
      <c r="C24" s="31">
        <f>VLOOKUP(B24, Sheet2!B:C, 2, FALSE)</f>
        <v>0</v>
      </c>
      <c r="D24" s="30" t="str">
        <f t="shared" si="0"/>
        <v/>
      </c>
      <c r="E24" s="24" t="str">
        <f t="shared" si="1"/>
        <v/>
      </c>
      <c r="F24" s="24" t="str">
        <f t="shared" si="1"/>
        <v/>
      </c>
    </row>
    <row r="25" spans="1:6" s="2" customFormat="1" ht="23.25" customHeight="1" x14ac:dyDescent="0.3">
      <c r="A25" s="25" t="s">
        <v>101</v>
      </c>
      <c r="B25" s="27" t="s">
        <v>183</v>
      </c>
      <c r="C25" s="31">
        <f>VLOOKUP(B25, Sheet2!B:C, 2, FALSE)</f>
        <v>0</v>
      </c>
      <c r="D25" s="30" t="str">
        <f t="shared" si="0"/>
        <v/>
      </c>
      <c r="E25" s="24" t="str">
        <f t="shared" si="1"/>
        <v/>
      </c>
      <c r="F25" s="24" t="str">
        <f t="shared" si="1"/>
        <v/>
      </c>
    </row>
    <row r="26" spans="1:6" s="2" customFormat="1" ht="23.25" customHeight="1" x14ac:dyDescent="0.3">
      <c r="A26" s="25" t="s">
        <v>102</v>
      </c>
      <c r="B26" s="27" t="s">
        <v>174</v>
      </c>
      <c r="C26" s="31">
        <f>VLOOKUP(B26, Sheet2!B:C, 2, FALSE)</f>
        <v>0</v>
      </c>
      <c r="D26" s="30" t="str">
        <f t="shared" si="0"/>
        <v/>
      </c>
      <c r="E26" s="24" t="str">
        <f t="shared" si="1"/>
        <v/>
      </c>
      <c r="F26" s="24" t="str">
        <f t="shared" si="1"/>
        <v/>
      </c>
    </row>
    <row r="27" spans="1:6" s="2" customFormat="1" ht="23.25" customHeight="1" x14ac:dyDescent="0.3">
      <c r="A27" s="25" t="s">
        <v>103</v>
      </c>
      <c r="B27" s="27" t="s">
        <v>184</v>
      </c>
      <c r="C27" s="31">
        <f>VLOOKUP(B27, Sheet2!B:C, 2, FALSE)</f>
        <v>0</v>
      </c>
      <c r="D27" s="30" t="str">
        <f t="shared" si="0"/>
        <v/>
      </c>
      <c r="E27" s="24" t="str">
        <f t="shared" si="1"/>
        <v/>
      </c>
      <c r="F27" s="24" t="str">
        <f t="shared" si="1"/>
        <v/>
      </c>
    </row>
    <row r="28" spans="1:6" s="2" customFormat="1" ht="23.25" customHeight="1" x14ac:dyDescent="0.3">
      <c r="A28" s="25" t="s">
        <v>104</v>
      </c>
      <c r="B28" s="27" t="s">
        <v>185</v>
      </c>
      <c r="C28" s="31">
        <f>VLOOKUP(B28, Sheet2!B:C, 2, FALSE)</f>
        <v>0</v>
      </c>
      <c r="D28" s="30" t="str">
        <f t="shared" si="0"/>
        <v/>
      </c>
      <c r="E28" s="24" t="str">
        <f t="shared" si="1"/>
        <v/>
      </c>
      <c r="F28" s="24" t="str">
        <f t="shared" si="1"/>
        <v/>
      </c>
    </row>
    <row r="29" spans="1:6" s="2" customFormat="1" ht="23.25" customHeight="1" x14ac:dyDescent="0.3">
      <c r="A29" s="25" t="s">
        <v>105</v>
      </c>
      <c r="B29" s="27" t="s">
        <v>186</v>
      </c>
      <c r="C29" s="31">
        <f>VLOOKUP(B29, Sheet2!B:C, 2, FALSE)</f>
        <v>0</v>
      </c>
      <c r="D29" s="30" t="str">
        <f t="shared" si="0"/>
        <v/>
      </c>
      <c r="E29" s="24" t="str">
        <f t="shared" si="1"/>
        <v/>
      </c>
      <c r="F29" s="24" t="str">
        <f t="shared" si="1"/>
        <v/>
      </c>
    </row>
    <row r="30" spans="1:6" s="2" customFormat="1" ht="23.25" customHeight="1" x14ac:dyDescent="0.3">
      <c r="A30" s="25" t="s">
        <v>106</v>
      </c>
      <c r="B30" s="27" t="s">
        <v>187</v>
      </c>
      <c r="C30" s="31">
        <f>VLOOKUP(B30, Sheet2!B:C, 2, FALSE)</f>
        <v>0</v>
      </c>
      <c r="D30" s="30" t="str">
        <f t="shared" si="0"/>
        <v/>
      </c>
      <c r="E30" s="24" t="str">
        <f t="shared" si="1"/>
        <v/>
      </c>
      <c r="F30" s="24" t="str">
        <f t="shared" si="1"/>
        <v/>
      </c>
    </row>
    <row r="31" spans="1:6" s="2" customFormat="1" ht="23.25" customHeight="1" x14ac:dyDescent="0.3">
      <c r="A31" s="25" t="s">
        <v>107</v>
      </c>
      <c r="B31" s="27" t="s">
        <v>188</v>
      </c>
      <c r="C31" s="31">
        <f>VLOOKUP(B31, Sheet2!B:C, 2, FALSE)</f>
        <v>0</v>
      </c>
      <c r="D31" s="30" t="str">
        <f t="shared" si="0"/>
        <v/>
      </c>
      <c r="E31" s="24" t="str">
        <f t="shared" si="1"/>
        <v/>
      </c>
      <c r="F31" s="24" t="str">
        <f t="shared" si="1"/>
        <v/>
      </c>
    </row>
    <row r="32" spans="1:6" s="2" customFormat="1" ht="61.5" customHeight="1" x14ac:dyDescent="0.3">
      <c r="A32" s="25" t="s">
        <v>216</v>
      </c>
      <c r="B32" s="27" t="s">
        <v>2</v>
      </c>
      <c r="C32" s="31">
        <f>VLOOKUP(B32, Sheet2!B:C, 2, FALSE)</f>
        <v>0</v>
      </c>
      <c r="D32" s="30" t="str">
        <f t="shared" si="0"/>
        <v/>
      </c>
      <c r="E32" s="24" t="str">
        <f t="shared" si="1"/>
        <v/>
      </c>
      <c r="F32" s="24" t="str">
        <f t="shared" si="1"/>
        <v/>
      </c>
    </row>
    <row r="33" spans="1:6" s="2" customFormat="1" ht="61.5" customHeight="1" x14ac:dyDescent="0.3">
      <c r="A33" s="25" t="s">
        <v>108</v>
      </c>
      <c r="B33" s="27" t="s">
        <v>65</v>
      </c>
      <c r="C33" s="31">
        <f>VLOOKUP(B33, Sheet2!B:C, 2, FALSE)</f>
        <v>0</v>
      </c>
      <c r="D33" s="30" t="str">
        <f t="shared" si="0"/>
        <v/>
      </c>
      <c r="E33" s="24" t="str">
        <f t="shared" si="1"/>
        <v/>
      </c>
      <c r="F33" s="24" t="str">
        <f t="shared" si="1"/>
        <v/>
      </c>
    </row>
    <row r="34" spans="1:6" s="2" customFormat="1" ht="44.25" customHeight="1" x14ac:dyDescent="0.3">
      <c r="A34" s="25" t="s">
        <v>109</v>
      </c>
      <c r="B34" s="27" t="s">
        <v>3</v>
      </c>
      <c r="C34" s="31">
        <f>VLOOKUP(B34, Sheet2!B:C, 2, FALSE)</f>
        <v>0</v>
      </c>
      <c r="D34" s="30" t="str">
        <f t="shared" si="0"/>
        <v/>
      </c>
      <c r="E34" s="24" t="str">
        <f t="shared" si="1"/>
        <v/>
      </c>
      <c r="F34" s="24" t="str">
        <f t="shared" si="1"/>
        <v/>
      </c>
    </row>
    <row r="35" spans="1:6" s="2" customFormat="1" ht="33.75" customHeight="1" x14ac:dyDescent="0.3">
      <c r="A35" s="25" t="s">
        <v>110</v>
      </c>
      <c r="B35" s="27" t="s">
        <v>66</v>
      </c>
      <c r="C35" s="31">
        <f>VLOOKUP(B35, Sheet2!B:C, 2, FALSE)</f>
        <v>0</v>
      </c>
      <c r="D35" s="30" t="str">
        <f t="shared" si="0"/>
        <v/>
      </c>
      <c r="E35" s="24" t="str">
        <f t="shared" si="1"/>
        <v/>
      </c>
      <c r="F35" s="24" t="str">
        <f t="shared" si="1"/>
        <v/>
      </c>
    </row>
    <row r="36" spans="1:6" s="2" customFormat="1" ht="23.25" customHeight="1" x14ac:dyDescent="0.3">
      <c r="A36" s="25" t="s">
        <v>111</v>
      </c>
      <c r="B36" s="27" t="s">
        <v>189</v>
      </c>
      <c r="C36" s="31">
        <f>VLOOKUP(B36, Sheet2!B:C, 2, FALSE)</f>
        <v>0</v>
      </c>
      <c r="D36" s="30" t="str">
        <f t="shared" si="0"/>
        <v/>
      </c>
      <c r="E36" s="24" t="str">
        <f t="shared" si="1"/>
        <v/>
      </c>
      <c r="F36" s="24" t="str">
        <f t="shared" si="1"/>
        <v/>
      </c>
    </row>
    <row r="37" spans="1:6" s="2" customFormat="1" ht="33.75" customHeight="1" x14ac:dyDescent="0.3">
      <c r="A37" s="25" t="s">
        <v>112</v>
      </c>
      <c r="B37" s="27" t="s">
        <v>67</v>
      </c>
      <c r="C37" s="31">
        <f>VLOOKUP(B37, Sheet2!B:C, 2, FALSE)</f>
        <v>0</v>
      </c>
      <c r="D37" s="30" t="str">
        <f t="shared" si="0"/>
        <v/>
      </c>
      <c r="E37" s="24" t="str">
        <f t="shared" si="1"/>
        <v/>
      </c>
      <c r="F37" s="24" t="str">
        <f t="shared" si="1"/>
        <v/>
      </c>
    </row>
    <row r="38" spans="1:6" s="2" customFormat="1" ht="33.75" customHeight="1" x14ac:dyDescent="0.3">
      <c r="A38" s="25" t="s">
        <v>113</v>
      </c>
      <c r="B38" s="27" t="s">
        <v>68</v>
      </c>
      <c r="C38" s="31">
        <f>VLOOKUP(B38, Sheet2!B:C, 2, FALSE)</f>
        <v>0</v>
      </c>
      <c r="D38" s="30" t="str">
        <f t="shared" si="0"/>
        <v/>
      </c>
      <c r="E38" s="24" t="str">
        <f t="shared" si="1"/>
        <v/>
      </c>
      <c r="F38" s="24" t="str">
        <f t="shared" si="1"/>
        <v/>
      </c>
    </row>
    <row r="39" spans="1:6" s="2" customFormat="1" ht="23.25" customHeight="1" x14ac:dyDescent="0.3">
      <c r="A39" s="25" t="s">
        <v>114</v>
      </c>
      <c r="B39" s="27" t="s">
        <v>190</v>
      </c>
      <c r="C39" s="31">
        <f>VLOOKUP(B39, Sheet2!B:C, 2, FALSE)</f>
        <v>0</v>
      </c>
      <c r="D39" s="30" t="str">
        <f t="shared" si="0"/>
        <v/>
      </c>
      <c r="E39" s="24" t="str">
        <f t="shared" si="1"/>
        <v/>
      </c>
      <c r="F39" s="24" t="str">
        <f t="shared" si="1"/>
        <v/>
      </c>
    </row>
    <row r="40" spans="1:6" s="2" customFormat="1" ht="51.75" customHeight="1" x14ac:dyDescent="0.3">
      <c r="A40" s="25" t="s">
        <v>115</v>
      </c>
      <c r="B40" s="27" t="s">
        <v>4</v>
      </c>
      <c r="C40" s="31">
        <f>VLOOKUP(B40, Sheet2!B:C, 2, FALSE)</f>
        <v>0</v>
      </c>
      <c r="D40" s="30" t="str">
        <f t="shared" si="0"/>
        <v/>
      </c>
      <c r="E40" s="24" t="str">
        <f t="shared" si="1"/>
        <v/>
      </c>
      <c r="F40" s="24" t="str">
        <f t="shared" si="1"/>
        <v/>
      </c>
    </row>
    <row r="41" spans="1:6" s="2" customFormat="1" ht="61.5" customHeight="1" x14ac:dyDescent="0.3">
      <c r="A41" s="25" t="s">
        <v>116</v>
      </c>
      <c r="B41" s="27" t="s">
        <v>5</v>
      </c>
      <c r="C41" s="31">
        <f>VLOOKUP(B41, Sheet2!B:C, 2, FALSE)</f>
        <v>0</v>
      </c>
      <c r="D41" s="30" t="str">
        <f t="shared" si="0"/>
        <v/>
      </c>
      <c r="E41" s="24" t="str">
        <f t="shared" si="1"/>
        <v/>
      </c>
      <c r="F41" s="24" t="str">
        <f t="shared" si="1"/>
        <v/>
      </c>
    </row>
    <row r="42" spans="1:6" s="2" customFormat="1" ht="69.75" customHeight="1" x14ac:dyDescent="0.3">
      <c r="A42" s="25" t="s">
        <v>117</v>
      </c>
      <c r="B42" s="27" t="s">
        <v>69</v>
      </c>
      <c r="C42" s="31">
        <f>VLOOKUP(B42, Sheet2!B:C, 2, FALSE)</f>
        <v>0</v>
      </c>
      <c r="D42" s="30" t="str">
        <f t="shared" si="0"/>
        <v/>
      </c>
      <c r="E42" s="24" t="str">
        <f t="shared" si="1"/>
        <v/>
      </c>
      <c r="F42" s="24" t="str">
        <f t="shared" si="1"/>
        <v/>
      </c>
    </row>
    <row r="43" spans="1:6" s="2" customFormat="1" ht="54.75" customHeight="1" x14ac:dyDescent="0.3">
      <c r="A43" s="25" t="s">
        <v>118</v>
      </c>
      <c r="B43" s="27" t="s">
        <v>70</v>
      </c>
      <c r="C43" s="31">
        <f>VLOOKUP(B43, Sheet2!B:C, 2, FALSE)</f>
        <v>0</v>
      </c>
      <c r="D43" s="30" t="str">
        <f t="shared" si="0"/>
        <v/>
      </c>
      <c r="E43" s="24" t="str">
        <f t="shared" si="1"/>
        <v/>
      </c>
      <c r="F43" s="24" t="str">
        <f t="shared" si="1"/>
        <v/>
      </c>
    </row>
    <row r="44" spans="1:6" s="2" customFormat="1" ht="76.5" customHeight="1" x14ac:dyDescent="0.3">
      <c r="A44" s="25" t="s">
        <v>119</v>
      </c>
      <c r="B44" s="27" t="s">
        <v>71</v>
      </c>
      <c r="C44" s="31">
        <f>VLOOKUP(B44, Sheet2!B:C, 2, FALSE)</f>
        <v>0</v>
      </c>
      <c r="D44" s="30" t="str">
        <f t="shared" si="0"/>
        <v/>
      </c>
      <c r="E44" s="24" t="str">
        <f t="shared" si="1"/>
        <v/>
      </c>
      <c r="F44" s="24" t="str">
        <f t="shared" si="1"/>
        <v/>
      </c>
    </row>
    <row r="45" spans="1:6" s="2" customFormat="1" ht="33.75" customHeight="1" x14ac:dyDescent="0.3">
      <c r="A45" s="25" t="s">
        <v>120</v>
      </c>
      <c r="B45" s="27" t="s">
        <v>72</v>
      </c>
      <c r="C45" s="31">
        <f>VLOOKUP(B45, Sheet2!B:C, 2, FALSE)</f>
        <v>0</v>
      </c>
      <c r="D45" s="30" t="str">
        <f t="shared" si="0"/>
        <v/>
      </c>
      <c r="E45" s="24" t="str">
        <f t="shared" si="1"/>
        <v/>
      </c>
      <c r="F45" s="24" t="str">
        <f t="shared" si="1"/>
        <v/>
      </c>
    </row>
    <row r="46" spans="1:6" s="2" customFormat="1" ht="23.25" customHeight="1" x14ac:dyDescent="0.3">
      <c r="A46" s="25" t="s">
        <v>121</v>
      </c>
      <c r="B46" s="27" t="s">
        <v>191</v>
      </c>
      <c r="C46" s="31">
        <f>VLOOKUP(B46, Sheet2!B:C, 2, FALSE)</f>
        <v>0</v>
      </c>
      <c r="D46" s="30" t="str">
        <f t="shared" si="0"/>
        <v/>
      </c>
      <c r="E46" s="24" t="str">
        <f t="shared" si="1"/>
        <v/>
      </c>
      <c r="F46" s="24" t="str">
        <f t="shared" si="1"/>
        <v/>
      </c>
    </row>
    <row r="47" spans="1:6" s="2" customFormat="1" ht="51" customHeight="1" x14ac:dyDescent="0.3">
      <c r="A47" s="25" t="s">
        <v>122</v>
      </c>
      <c r="B47" s="27" t="s">
        <v>194</v>
      </c>
      <c r="C47" s="31">
        <f>VLOOKUP(B47, Sheet2!B:C, 2, FALSE)</f>
        <v>0</v>
      </c>
      <c r="D47" s="30" t="str">
        <f t="shared" si="0"/>
        <v/>
      </c>
      <c r="E47" s="24" t="str">
        <f t="shared" si="1"/>
        <v/>
      </c>
      <c r="F47" s="24" t="str">
        <f t="shared" si="1"/>
        <v/>
      </c>
    </row>
    <row r="48" spans="1:6" s="2" customFormat="1" ht="46.5" customHeight="1" x14ac:dyDescent="0.3">
      <c r="A48" s="25" t="s">
        <v>123</v>
      </c>
      <c r="B48" s="27" t="s">
        <v>74</v>
      </c>
      <c r="C48" s="31">
        <f>VLOOKUP(B48, Sheet2!B:C, 2, FALSE)</f>
        <v>0</v>
      </c>
      <c r="D48" s="30" t="str">
        <f t="shared" si="0"/>
        <v/>
      </c>
      <c r="E48" s="24" t="str">
        <f t="shared" si="1"/>
        <v/>
      </c>
      <c r="F48" s="24" t="str">
        <f t="shared" si="1"/>
        <v/>
      </c>
    </row>
    <row r="49" spans="1:6" s="2" customFormat="1" ht="58.5" customHeight="1" x14ac:dyDescent="0.3">
      <c r="A49" s="25" t="s">
        <v>124</v>
      </c>
      <c r="B49" s="27" t="s">
        <v>75</v>
      </c>
      <c r="C49" s="31">
        <f>VLOOKUP(B49, Sheet2!B:C, 2, FALSE)</f>
        <v>0</v>
      </c>
      <c r="D49" s="30" t="str">
        <f t="shared" si="0"/>
        <v/>
      </c>
      <c r="E49" s="24" t="str">
        <f t="shared" si="1"/>
        <v/>
      </c>
      <c r="F49" s="24" t="str">
        <f t="shared" si="1"/>
        <v/>
      </c>
    </row>
    <row r="50" spans="1:6" s="2" customFormat="1" ht="33.75" customHeight="1" x14ac:dyDescent="0.3">
      <c r="A50" s="25" t="s">
        <v>125</v>
      </c>
      <c r="B50" s="27" t="s">
        <v>192</v>
      </c>
      <c r="C50" s="31">
        <f>VLOOKUP(B50, Sheet2!B:C, 2, FALSE)</f>
        <v>0</v>
      </c>
      <c r="D50" s="30" t="str">
        <f t="shared" si="0"/>
        <v/>
      </c>
      <c r="E50" s="24" t="str">
        <f t="shared" si="1"/>
        <v/>
      </c>
      <c r="F50" s="24" t="str">
        <f t="shared" si="1"/>
        <v/>
      </c>
    </row>
    <row r="51" spans="1:6" s="2" customFormat="1" ht="44.25" customHeight="1" x14ac:dyDescent="0.3">
      <c r="A51" s="25" t="s">
        <v>126</v>
      </c>
      <c r="B51" s="27" t="s">
        <v>193</v>
      </c>
      <c r="C51" s="31">
        <f>VLOOKUP(B51, Sheet2!B:C, 2, FALSE)</f>
        <v>0</v>
      </c>
      <c r="D51" s="30" t="str">
        <f t="shared" si="0"/>
        <v/>
      </c>
      <c r="E51" s="24" t="str">
        <f t="shared" si="1"/>
        <v/>
      </c>
      <c r="F51" s="24" t="str">
        <f t="shared" si="1"/>
        <v/>
      </c>
    </row>
    <row r="52" spans="1:6" s="2" customFormat="1" ht="23.25" customHeight="1" x14ac:dyDescent="0.3">
      <c r="A52" s="25" t="s">
        <v>127</v>
      </c>
      <c r="B52" s="27" t="s">
        <v>195</v>
      </c>
      <c r="C52" s="31">
        <f>VLOOKUP(B52, Sheet2!B:C, 2, FALSE)</f>
        <v>0</v>
      </c>
      <c r="D52" s="30" t="str">
        <f t="shared" si="0"/>
        <v/>
      </c>
      <c r="E52" s="24" t="str">
        <f t="shared" si="1"/>
        <v/>
      </c>
      <c r="F52" s="24" t="str">
        <f t="shared" si="1"/>
        <v/>
      </c>
    </row>
    <row r="53" spans="1:6" s="2" customFormat="1" ht="23.25" customHeight="1" x14ac:dyDescent="0.3">
      <c r="A53" s="25" t="s">
        <v>128</v>
      </c>
      <c r="B53" s="27" t="s">
        <v>196</v>
      </c>
      <c r="C53" s="31">
        <f>VLOOKUP(B53, Sheet2!B:C, 2, FALSE)</f>
        <v>0</v>
      </c>
      <c r="D53" s="30" t="str">
        <f t="shared" si="0"/>
        <v/>
      </c>
      <c r="E53" s="24" t="str">
        <f t="shared" si="1"/>
        <v/>
      </c>
      <c r="F53" s="24" t="str">
        <f t="shared" si="1"/>
        <v/>
      </c>
    </row>
    <row r="54" spans="1:6" s="2" customFormat="1" ht="23.25" customHeight="1" x14ac:dyDescent="0.3">
      <c r="A54" s="25" t="s">
        <v>129</v>
      </c>
      <c r="B54" s="27" t="s">
        <v>197</v>
      </c>
      <c r="C54" s="31">
        <f>VLOOKUP(B54, Sheet2!B:C, 2, FALSE)</f>
        <v>0</v>
      </c>
      <c r="D54" s="30" t="str">
        <f t="shared" si="0"/>
        <v/>
      </c>
      <c r="E54" s="24" t="str">
        <f t="shared" si="1"/>
        <v/>
      </c>
      <c r="F54" s="24" t="str">
        <f t="shared" si="1"/>
        <v/>
      </c>
    </row>
    <row r="55" spans="1:6" s="2" customFormat="1" ht="23.25" customHeight="1" x14ac:dyDescent="0.3">
      <c r="A55" s="25" t="s">
        <v>130</v>
      </c>
      <c r="B55" s="27" t="s">
        <v>198</v>
      </c>
      <c r="C55" s="31">
        <f>VLOOKUP(B55, Sheet2!B:C, 2, FALSE)</f>
        <v>0</v>
      </c>
      <c r="D55" s="30" t="str">
        <f t="shared" si="0"/>
        <v/>
      </c>
      <c r="E55" s="24" t="str">
        <f t="shared" si="1"/>
        <v/>
      </c>
      <c r="F55" s="24" t="str">
        <f t="shared" si="1"/>
        <v/>
      </c>
    </row>
    <row r="56" spans="1:6" s="2" customFormat="1" ht="23.25" customHeight="1" x14ac:dyDescent="0.3">
      <c r="A56" s="25" t="s">
        <v>131</v>
      </c>
      <c r="B56" s="27" t="s">
        <v>199</v>
      </c>
      <c r="C56" s="31">
        <f>VLOOKUP(B56, Sheet2!B:C, 2, FALSE)</f>
        <v>0</v>
      </c>
      <c r="D56" s="30" t="str">
        <f t="shared" si="0"/>
        <v/>
      </c>
      <c r="E56" s="24" t="str">
        <f t="shared" si="1"/>
        <v/>
      </c>
      <c r="F56" s="24" t="str">
        <f t="shared" si="1"/>
        <v/>
      </c>
    </row>
    <row r="57" spans="1:6" s="2" customFormat="1" ht="23.25" customHeight="1" x14ac:dyDescent="0.3">
      <c r="A57" s="25" t="s">
        <v>132</v>
      </c>
      <c r="B57" s="27" t="s">
        <v>200</v>
      </c>
      <c r="C57" s="31">
        <f>VLOOKUP(B57, Sheet2!B:C, 2, FALSE)</f>
        <v>0</v>
      </c>
      <c r="D57" s="30" t="str">
        <f t="shared" si="0"/>
        <v/>
      </c>
      <c r="E57" s="24" t="str">
        <f t="shared" si="1"/>
        <v/>
      </c>
      <c r="F57" s="24" t="str">
        <f t="shared" si="1"/>
        <v/>
      </c>
    </row>
    <row r="58" spans="1:6" s="2" customFormat="1" ht="23.25" customHeight="1" x14ac:dyDescent="0.3">
      <c r="A58" s="25" t="s">
        <v>133</v>
      </c>
      <c r="B58" s="27" t="s">
        <v>201</v>
      </c>
      <c r="C58" s="31">
        <f>VLOOKUP(B58, Sheet2!B:C, 2, FALSE)</f>
        <v>0</v>
      </c>
      <c r="D58" s="30" t="str">
        <f t="shared" si="0"/>
        <v/>
      </c>
      <c r="E58" s="24" t="str">
        <f t="shared" si="1"/>
        <v/>
      </c>
      <c r="F58" s="24" t="str">
        <f t="shared" si="1"/>
        <v/>
      </c>
    </row>
    <row r="59" spans="1:6" s="2" customFormat="1" ht="23.25" customHeight="1" x14ac:dyDescent="0.3">
      <c r="A59" s="25" t="s">
        <v>134</v>
      </c>
      <c r="B59" s="27" t="s">
        <v>202</v>
      </c>
      <c r="C59" s="31">
        <f>VLOOKUP(B59, Sheet2!B:C, 2, FALSE)</f>
        <v>0</v>
      </c>
      <c r="D59" s="30" t="str">
        <f t="shared" si="0"/>
        <v/>
      </c>
      <c r="E59" s="24" t="str">
        <f t="shared" si="1"/>
        <v/>
      </c>
      <c r="F59" s="24" t="str">
        <f t="shared" si="1"/>
        <v/>
      </c>
    </row>
    <row r="60" spans="1:6" s="2" customFormat="1" ht="23.25" customHeight="1" x14ac:dyDescent="0.3">
      <c r="A60" s="25" t="s">
        <v>135</v>
      </c>
      <c r="B60" s="27" t="s">
        <v>203</v>
      </c>
      <c r="C60" s="31">
        <f>VLOOKUP(B60, Sheet2!B:C, 2, FALSE)</f>
        <v>0</v>
      </c>
      <c r="D60" s="30" t="str">
        <f t="shared" si="0"/>
        <v/>
      </c>
      <c r="E60" s="24" t="str">
        <f t="shared" si="1"/>
        <v/>
      </c>
      <c r="F60" s="24" t="str">
        <f t="shared" si="1"/>
        <v/>
      </c>
    </row>
    <row r="61" spans="1:6" s="2" customFormat="1" ht="54" customHeight="1" x14ac:dyDescent="0.3">
      <c r="A61" s="25" t="s">
        <v>136</v>
      </c>
      <c r="B61" s="27" t="s">
        <v>217</v>
      </c>
      <c r="C61" s="31">
        <f>VLOOKUP(B61, Sheet2!B:C, 2, FALSE)</f>
        <v>0</v>
      </c>
      <c r="D61" s="30" t="str">
        <f t="shared" si="0"/>
        <v/>
      </c>
      <c r="E61" s="24" t="str">
        <f t="shared" si="1"/>
        <v/>
      </c>
      <c r="F61" s="24" t="str">
        <f t="shared" si="1"/>
        <v/>
      </c>
    </row>
    <row r="62" spans="1:6" s="2" customFormat="1" ht="54.75" customHeight="1" x14ac:dyDescent="0.3">
      <c r="A62" s="25" t="s">
        <v>137</v>
      </c>
      <c r="B62" s="27" t="s">
        <v>77</v>
      </c>
      <c r="C62" s="31">
        <f>VLOOKUP(B62, Sheet2!B:C, 2, FALSE)</f>
        <v>0</v>
      </c>
      <c r="D62" s="30" t="str">
        <f t="shared" si="0"/>
        <v/>
      </c>
      <c r="E62" s="24" t="str">
        <f t="shared" si="1"/>
        <v/>
      </c>
      <c r="F62" s="24" t="str">
        <f t="shared" si="1"/>
        <v/>
      </c>
    </row>
    <row r="63" spans="1:6" s="2" customFormat="1" ht="55.5" customHeight="1" x14ac:dyDescent="0.3">
      <c r="A63" s="25" t="s">
        <v>138</v>
      </c>
      <c r="B63" s="27" t="s">
        <v>204</v>
      </c>
      <c r="C63" s="31">
        <f>VLOOKUP(B63, Sheet2!B:C, 2, FALSE)</f>
        <v>0</v>
      </c>
      <c r="D63" s="30" t="str">
        <f t="shared" si="0"/>
        <v/>
      </c>
      <c r="E63" s="24" t="str">
        <f t="shared" si="1"/>
        <v/>
      </c>
      <c r="F63" s="24" t="str">
        <f t="shared" si="1"/>
        <v/>
      </c>
    </row>
    <row r="64" spans="1:6" s="2" customFormat="1" ht="108.75" customHeight="1" x14ac:dyDescent="0.3">
      <c r="A64" s="25" t="s">
        <v>139</v>
      </c>
      <c r="B64" s="27" t="s">
        <v>78</v>
      </c>
      <c r="C64" s="31">
        <f>VLOOKUP(B64, Sheet2!B:C, 2, FALSE)</f>
        <v>0</v>
      </c>
      <c r="D64" s="30" t="str">
        <f t="shared" si="0"/>
        <v/>
      </c>
      <c r="E64" s="24" t="str">
        <f t="shared" si="1"/>
        <v/>
      </c>
      <c r="F64" s="24" t="str">
        <f t="shared" si="1"/>
        <v/>
      </c>
    </row>
    <row r="65" spans="1:6" s="2" customFormat="1" ht="65.25" customHeight="1" x14ac:dyDescent="0.3">
      <c r="A65" s="25" t="s">
        <v>140</v>
      </c>
      <c r="B65" s="27" t="s">
        <v>11</v>
      </c>
      <c r="C65" s="31">
        <f>VLOOKUP(B65, Sheet2!B:C, 2, FALSE)</f>
        <v>0</v>
      </c>
      <c r="D65" s="30" t="str">
        <f t="shared" si="0"/>
        <v/>
      </c>
      <c r="E65" s="24" t="str">
        <f t="shared" si="1"/>
        <v/>
      </c>
      <c r="F65" s="24" t="str">
        <f t="shared" si="1"/>
        <v/>
      </c>
    </row>
    <row r="66" spans="1:6" s="2" customFormat="1" ht="80.25" customHeight="1" x14ac:dyDescent="0.3">
      <c r="A66" s="25" t="s">
        <v>141</v>
      </c>
      <c r="B66" s="27" t="s">
        <v>82</v>
      </c>
      <c r="C66" s="31">
        <f>VLOOKUP(B66, Sheet2!B:C, 2, FALSE)</f>
        <v>0</v>
      </c>
      <c r="D66" s="30" t="str">
        <f t="shared" si="0"/>
        <v/>
      </c>
      <c r="E66" s="24" t="str">
        <f t="shared" si="1"/>
        <v/>
      </c>
      <c r="F66" s="24" t="str">
        <f t="shared" si="1"/>
        <v/>
      </c>
    </row>
    <row r="67" spans="1:6" s="2" customFormat="1" ht="126" customHeight="1" x14ac:dyDescent="0.3">
      <c r="A67" s="25" t="s">
        <v>142</v>
      </c>
      <c r="B67" s="27" t="s">
        <v>12</v>
      </c>
      <c r="C67" s="31">
        <f>VLOOKUP(B67, Sheet2!B:C, 2, FALSE)</f>
        <v>0</v>
      </c>
      <c r="D67" s="30" t="str">
        <f t="shared" si="0"/>
        <v/>
      </c>
      <c r="E67" s="24" t="str">
        <f t="shared" si="1"/>
        <v/>
      </c>
      <c r="F67" s="24" t="str">
        <f t="shared" si="1"/>
        <v/>
      </c>
    </row>
    <row r="68" spans="1:6" s="2" customFormat="1" ht="115.5" customHeight="1" x14ac:dyDescent="0.3">
      <c r="A68" s="25" t="s">
        <v>143</v>
      </c>
      <c r="B68" s="27" t="s">
        <v>73</v>
      </c>
      <c r="C68" s="31">
        <f>VLOOKUP(B68, Sheet2!B:C, 2, FALSE)</f>
        <v>0</v>
      </c>
      <c r="D68" s="30" t="str">
        <f t="shared" si="0"/>
        <v/>
      </c>
      <c r="E68" s="24" t="str">
        <f t="shared" si="1"/>
        <v/>
      </c>
      <c r="F68" s="24" t="str">
        <f t="shared" si="1"/>
        <v/>
      </c>
    </row>
    <row r="69" spans="1:6" s="2" customFormat="1" ht="64.5" customHeight="1" x14ac:dyDescent="0.3">
      <c r="A69" s="25" t="s">
        <v>144</v>
      </c>
      <c r="B69" s="27" t="s">
        <v>81</v>
      </c>
      <c r="C69" s="31">
        <f>VLOOKUP(B69, Sheet2!B:C, 2, FALSE)</f>
        <v>0</v>
      </c>
      <c r="D69" s="30" t="str">
        <f t="shared" si="0"/>
        <v/>
      </c>
      <c r="E69" s="24" t="str">
        <f t="shared" si="1"/>
        <v/>
      </c>
      <c r="F69" s="24" t="str">
        <f t="shared" si="1"/>
        <v/>
      </c>
    </row>
    <row r="70" spans="1:6" s="2" customFormat="1" ht="23.25" customHeight="1" x14ac:dyDescent="0.3">
      <c r="A70" s="25" t="s">
        <v>145</v>
      </c>
      <c r="B70" s="27" t="s">
        <v>205</v>
      </c>
      <c r="C70" s="31">
        <f>VLOOKUP(B70, Sheet2!B:C, 2, FALSE)</f>
        <v>0</v>
      </c>
      <c r="D70" s="30" t="str">
        <f t="shared" si="0"/>
        <v/>
      </c>
      <c r="E70" s="24" t="str">
        <f t="shared" si="1"/>
        <v/>
      </c>
      <c r="F70" s="24" t="str">
        <f t="shared" si="1"/>
        <v/>
      </c>
    </row>
    <row r="71" spans="1:6" s="2" customFormat="1" ht="23.25" customHeight="1" x14ac:dyDescent="0.3">
      <c r="A71" s="25" t="s">
        <v>146</v>
      </c>
      <c r="B71" s="27" t="s">
        <v>206</v>
      </c>
      <c r="C71" s="31">
        <f>VLOOKUP(B71, Sheet2!B:C, 2, FALSE)</f>
        <v>0</v>
      </c>
      <c r="D71" s="30" t="str">
        <f t="shared" si="0"/>
        <v/>
      </c>
      <c r="E71" s="24" t="str">
        <f t="shared" si="1"/>
        <v/>
      </c>
      <c r="F71" s="24" t="str">
        <f t="shared" si="1"/>
        <v/>
      </c>
    </row>
    <row r="72" spans="1:6" s="2" customFormat="1" ht="33.75" customHeight="1" x14ac:dyDescent="0.3">
      <c r="A72" s="25" t="s">
        <v>147</v>
      </c>
      <c r="B72" s="27" t="s">
        <v>13</v>
      </c>
      <c r="C72" s="31">
        <f>VLOOKUP(B72, Sheet2!B:C, 2, FALSE)</f>
        <v>0</v>
      </c>
      <c r="D72" s="30" t="str">
        <f t="shared" si="0"/>
        <v/>
      </c>
      <c r="E72" s="24" t="str">
        <f t="shared" si="1"/>
        <v/>
      </c>
      <c r="F72" s="24" t="str">
        <f t="shared" si="1"/>
        <v/>
      </c>
    </row>
    <row r="73" spans="1:6" s="2" customFormat="1" ht="42.75" customHeight="1" x14ac:dyDescent="0.3">
      <c r="A73" s="25" t="s">
        <v>148</v>
      </c>
      <c r="B73" s="27" t="s">
        <v>316</v>
      </c>
      <c r="C73" s="31">
        <f>VLOOKUP(B73, Sheet2!B:C, 2, FALSE)</f>
        <v>0</v>
      </c>
      <c r="D73" s="30" t="str">
        <f t="shared" si="0"/>
        <v/>
      </c>
      <c r="E73" s="24" t="str">
        <f t="shared" si="1"/>
        <v/>
      </c>
      <c r="F73" s="24" t="str">
        <f t="shared" si="1"/>
        <v/>
      </c>
    </row>
    <row r="74" spans="1:6" s="2" customFormat="1" ht="42.75" customHeight="1" x14ac:dyDescent="0.3">
      <c r="A74" s="25" t="s">
        <v>149</v>
      </c>
      <c r="B74" s="27" t="s">
        <v>35</v>
      </c>
      <c r="C74" s="31">
        <f>VLOOKUP(B74, Sheet2!B:C, 2, FALSE)</f>
        <v>0</v>
      </c>
      <c r="D74" s="30" t="str">
        <f t="shared" si="0"/>
        <v/>
      </c>
      <c r="E74" s="24" t="str">
        <f t="shared" si="1"/>
        <v/>
      </c>
      <c r="F74" s="24" t="str">
        <f t="shared" si="1"/>
        <v/>
      </c>
    </row>
    <row r="75" spans="1:6" s="2" customFormat="1" ht="78.75" customHeight="1" x14ac:dyDescent="0.3">
      <c r="A75" s="25" t="s">
        <v>150</v>
      </c>
      <c r="B75" s="27" t="s">
        <v>14</v>
      </c>
      <c r="C75" s="31">
        <f>VLOOKUP(B75, Sheet2!B:C, 2, FALSE)</f>
        <v>0</v>
      </c>
      <c r="D75" s="30" t="str">
        <f t="shared" si="0"/>
        <v/>
      </c>
      <c r="E75" s="24" t="str">
        <f t="shared" si="1"/>
        <v/>
      </c>
      <c r="F75" s="24" t="str">
        <f t="shared" si="1"/>
        <v/>
      </c>
    </row>
    <row r="76" spans="1:6" s="2" customFormat="1" ht="62.25" customHeight="1" x14ac:dyDescent="0.3">
      <c r="A76" s="25" t="s">
        <v>151</v>
      </c>
      <c r="B76" s="27" t="s">
        <v>207</v>
      </c>
      <c r="C76" s="31">
        <f>VLOOKUP(B76, Sheet2!B:C, 2, FALSE)</f>
        <v>0</v>
      </c>
      <c r="D76" s="30" t="str">
        <f t="shared" si="0"/>
        <v/>
      </c>
      <c r="E76" s="24" t="str">
        <f t="shared" si="1"/>
        <v/>
      </c>
      <c r="F76" s="24" t="str">
        <f t="shared" si="1"/>
        <v/>
      </c>
    </row>
    <row r="77" spans="1:6" s="2" customFormat="1" ht="23.25" customHeight="1" x14ac:dyDescent="0.3">
      <c r="A77" s="25" t="s">
        <v>152</v>
      </c>
      <c r="B77" s="27" t="s">
        <v>208</v>
      </c>
      <c r="C77" s="31">
        <f>VLOOKUP(B77, Sheet2!B:C, 2, FALSE)</f>
        <v>0</v>
      </c>
      <c r="D77" s="30" t="str">
        <f t="shared" si="0"/>
        <v/>
      </c>
      <c r="E77" s="24" t="str">
        <f t="shared" si="1"/>
        <v/>
      </c>
      <c r="F77" s="24" t="str">
        <f t="shared" si="1"/>
        <v/>
      </c>
    </row>
    <row r="78" spans="1:6" s="2" customFormat="1" ht="23.25" customHeight="1" x14ac:dyDescent="0.3">
      <c r="A78" s="25" t="s">
        <v>153</v>
      </c>
      <c r="B78" s="27" t="s">
        <v>209</v>
      </c>
      <c r="C78" s="31">
        <f>VLOOKUP(B78, Sheet2!B:C, 2, FALSE)</f>
        <v>0</v>
      </c>
      <c r="D78" s="30" t="str">
        <f t="shared" si="0"/>
        <v/>
      </c>
      <c r="E78" s="24" t="str">
        <f t="shared" si="1"/>
        <v/>
      </c>
      <c r="F78" s="24" t="str">
        <f t="shared" si="1"/>
        <v/>
      </c>
    </row>
    <row r="79" spans="1:6" s="2" customFormat="1" ht="85.5" customHeight="1" x14ac:dyDescent="0.3">
      <c r="A79" s="25" t="s">
        <v>154</v>
      </c>
      <c r="B79" s="27" t="s">
        <v>15</v>
      </c>
      <c r="C79" s="31">
        <f>VLOOKUP(B79, Sheet2!B:C, 2, FALSE)</f>
        <v>0</v>
      </c>
      <c r="D79" s="30" t="str">
        <f t="shared" si="0"/>
        <v/>
      </c>
      <c r="E79" s="24" t="str">
        <f t="shared" si="1"/>
        <v/>
      </c>
      <c r="F79" s="24" t="str">
        <f t="shared" si="1"/>
        <v/>
      </c>
    </row>
    <row r="80" spans="1:6" s="2" customFormat="1" ht="54.75" customHeight="1" x14ac:dyDescent="0.3">
      <c r="A80" s="25" t="s">
        <v>155</v>
      </c>
      <c r="B80" s="27" t="s">
        <v>36</v>
      </c>
      <c r="C80" s="31">
        <f>VLOOKUP(B80, Sheet2!B:C, 2, FALSE)</f>
        <v>0</v>
      </c>
      <c r="D80" s="30" t="str">
        <f t="shared" ref="D80:D97" si="2">IF($E$9&lt;&gt;"",IF(C80&gt;0,$E$9*C80*0.01,""),"")</f>
        <v/>
      </c>
      <c r="E80" s="24" t="str">
        <f t="shared" ref="E80:F97" si="3">IF($D80&lt;&gt;"",IF($D80&gt;E$14,"O","X"),"")</f>
        <v/>
      </c>
      <c r="F80" s="24" t="str">
        <f t="shared" si="3"/>
        <v/>
      </c>
    </row>
    <row r="81" spans="1:6" s="2" customFormat="1" ht="72" customHeight="1" x14ac:dyDescent="0.3">
      <c r="A81" s="25" t="s">
        <v>156</v>
      </c>
      <c r="B81" s="27" t="s">
        <v>89</v>
      </c>
      <c r="C81" s="31">
        <f>VLOOKUP(B81, Sheet2!B:C, 2, FALSE)</f>
        <v>0</v>
      </c>
      <c r="D81" s="30" t="str">
        <f t="shared" si="2"/>
        <v/>
      </c>
      <c r="E81" s="24" t="str">
        <f t="shared" si="3"/>
        <v/>
      </c>
      <c r="F81" s="24" t="str">
        <f t="shared" si="3"/>
        <v/>
      </c>
    </row>
    <row r="82" spans="1:6" s="2" customFormat="1" ht="54.75" customHeight="1" x14ac:dyDescent="0.3">
      <c r="A82" s="25" t="s">
        <v>157</v>
      </c>
      <c r="B82" s="27" t="s">
        <v>210</v>
      </c>
      <c r="C82" s="31">
        <f>VLOOKUP(B82, Sheet2!B:C, 2, FALSE)</f>
        <v>0</v>
      </c>
      <c r="D82" s="30" t="str">
        <f t="shared" si="2"/>
        <v/>
      </c>
      <c r="E82" s="24" t="str">
        <f t="shared" si="3"/>
        <v/>
      </c>
      <c r="F82" s="24" t="str">
        <f t="shared" si="3"/>
        <v/>
      </c>
    </row>
    <row r="83" spans="1:6" s="2" customFormat="1" ht="23.25" customHeight="1" x14ac:dyDescent="0.3">
      <c r="A83" s="25" t="s">
        <v>158</v>
      </c>
      <c r="B83" s="27" t="s">
        <v>211</v>
      </c>
      <c r="C83" s="31">
        <f>VLOOKUP(B83, Sheet2!B:C, 2, FALSE)</f>
        <v>0</v>
      </c>
      <c r="D83" s="30" t="str">
        <f t="shared" si="2"/>
        <v/>
      </c>
      <c r="E83" s="24" t="str">
        <f t="shared" si="3"/>
        <v/>
      </c>
      <c r="F83" s="24" t="str">
        <f t="shared" si="3"/>
        <v/>
      </c>
    </row>
    <row r="84" spans="1:6" s="2" customFormat="1" ht="41.25" customHeight="1" x14ac:dyDescent="0.3">
      <c r="A84" s="25" t="s">
        <v>159</v>
      </c>
      <c r="B84" s="27" t="s">
        <v>16</v>
      </c>
      <c r="C84" s="31">
        <f>VLOOKUP(B84, Sheet2!B:C, 2, FALSE)</f>
        <v>0</v>
      </c>
      <c r="D84" s="30" t="str">
        <f t="shared" si="2"/>
        <v/>
      </c>
      <c r="E84" s="24" t="str">
        <f t="shared" si="3"/>
        <v/>
      </c>
      <c r="F84" s="24" t="str">
        <f t="shared" si="3"/>
        <v/>
      </c>
    </row>
    <row r="85" spans="1:6" s="2" customFormat="1" ht="157.5" customHeight="1" x14ac:dyDescent="0.3">
      <c r="A85" s="25" t="s">
        <v>160</v>
      </c>
      <c r="B85" s="27" t="s">
        <v>37</v>
      </c>
      <c r="C85" s="31">
        <f>VLOOKUP(B85, Sheet2!B:C, 2, FALSE)</f>
        <v>0</v>
      </c>
      <c r="D85" s="30" t="str">
        <f t="shared" si="2"/>
        <v/>
      </c>
      <c r="E85" s="24" t="str">
        <f t="shared" si="3"/>
        <v/>
      </c>
      <c r="F85" s="24" t="str">
        <f t="shared" si="3"/>
        <v/>
      </c>
    </row>
    <row r="86" spans="1:6" s="2" customFormat="1" ht="105" customHeight="1" x14ac:dyDescent="0.3">
      <c r="A86" s="25" t="s">
        <v>161</v>
      </c>
      <c r="B86" s="27" t="s">
        <v>80</v>
      </c>
      <c r="C86" s="31">
        <f>VLOOKUP(B86, Sheet2!B:C, 2, FALSE)</f>
        <v>0</v>
      </c>
      <c r="D86" s="30" t="str">
        <f t="shared" si="2"/>
        <v/>
      </c>
      <c r="E86" s="24" t="str">
        <f t="shared" si="3"/>
        <v/>
      </c>
      <c r="F86" s="24" t="str">
        <f t="shared" si="3"/>
        <v/>
      </c>
    </row>
    <row r="87" spans="1:6" s="2" customFormat="1" ht="110.25" customHeight="1" x14ac:dyDescent="0.3">
      <c r="A87" s="25" t="s">
        <v>162</v>
      </c>
      <c r="B87" s="27" t="s">
        <v>87</v>
      </c>
      <c r="C87" s="31">
        <f>VLOOKUP(B87, Sheet2!B:C, 2, FALSE)</f>
        <v>0</v>
      </c>
      <c r="D87" s="30" t="str">
        <f t="shared" si="2"/>
        <v/>
      </c>
      <c r="E87" s="24" t="str">
        <f t="shared" si="3"/>
        <v/>
      </c>
      <c r="F87" s="24" t="str">
        <f t="shared" si="3"/>
        <v/>
      </c>
    </row>
    <row r="88" spans="1:6" s="2" customFormat="1" ht="43.5" customHeight="1" x14ac:dyDescent="0.3">
      <c r="A88" s="25" t="s">
        <v>163</v>
      </c>
      <c r="B88" s="27" t="s">
        <v>17</v>
      </c>
      <c r="C88" s="31">
        <f>VLOOKUP(B88, Sheet2!B:C, 2, FALSE)</f>
        <v>0</v>
      </c>
      <c r="D88" s="30" t="str">
        <f t="shared" si="2"/>
        <v/>
      </c>
      <c r="E88" s="24" t="str">
        <f t="shared" si="3"/>
        <v/>
      </c>
      <c r="F88" s="24" t="str">
        <f t="shared" si="3"/>
        <v/>
      </c>
    </row>
    <row r="89" spans="1:6" s="2" customFormat="1" ht="44.25" customHeight="1" x14ac:dyDescent="0.3">
      <c r="A89" s="25" t="s">
        <v>164</v>
      </c>
      <c r="B89" s="27" t="s">
        <v>18</v>
      </c>
      <c r="C89" s="31">
        <f>VLOOKUP(B89, Sheet2!B:C, 2, FALSE)</f>
        <v>0</v>
      </c>
      <c r="D89" s="30" t="str">
        <f t="shared" si="2"/>
        <v/>
      </c>
      <c r="E89" s="24" t="str">
        <f t="shared" si="3"/>
        <v/>
      </c>
      <c r="F89" s="24" t="str">
        <f t="shared" si="3"/>
        <v/>
      </c>
    </row>
    <row r="90" spans="1:6" s="2" customFormat="1" ht="33.75" customHeight="1" x14ac:dyDescent="0.3">
      <c r="A90" s="25" t="s">
        <v>165</v>
      </c>
      <c r="B90" s="27" t="s">
        <v>212</v>
      </c>
      <c r="C90" s="31">
        <f>VLOOKUP(B90, Sheet2!B:C, 2, FALSE)</f>
        <v>0</v>
      </c>
      <c r="D90" s="30" t="str">
        <f t="shared" si="2"/>
        <v/>
      </c>
      <c r="E90" s="24" t="str">
        <f t="shared" si="3"/>
        <v/>
      </c>
      <c r="F90" s="24" t="str">
        <f t="shared" si="3"/>
        <v/>
      </c>
    </row>
    <row r="91" spans="1:6" s="2" customFormat="1" ht="81" customHeight="1" x14ac:dyDescent="0.3">
      <c r="A91" s="25" t="s">
        <v>166</v>
      </c>
      <c r="B91" s="27" t="s">
        <v>88</v>
      </c>
      <c r="C91" s="31">
        <f>VLOOKUP(B91, Sheet2!B:C, 2, FALSE)</f>
        <v>0</v>
      </c>
      <c r="D91" s="30" t="str">
        <f t="shared" si="2"/>
        <v/>
      </c>
      <c r="E91" s="24" t="str">
        <f t="shared" si="3"/>
        <v/>
      </c>
      <c r="F91" s="24" t="str">
        <f t="shared" si="3"/>
        <v/>
      </c>
    </row>
    <row r="92" spans="1:6" s="2" customFormat="1" ht="54.75" customHeight="1" x14ac:dyDescent="0.3">
      <c r="A92" s="25" t="s">
        <v>167</v>
      </c>
      <c r="B92" s="27" t="s">
        <v>218</v>
      </c>
      <c r="C92" s="31">
        <f>VLOOKUP(B92, Sheet2!B:C, 2, FALSE)</f>
        <v>0</v>
      </c>
      <c r="D92" s="30" t="str">
        <f t="shared" si="2"/>
        <v/>
      </c>
      <c r="E92" s="24" t="str">
        <f t="shared" si="3"/>
        <v/>
      </c>
      <c r="F92" s="24" t="str">
        <f t="shared" si="3"/>
        <v/>
      </c>
    </row>
    <row r="93" spans="1:6" s="2" customFormat="1" ht="125.25" customHeight="1" x14ac:dyDescent="0.3">
      <c r="A93" s="25" t="s">
        <v>168</v>
      </c>
      <c r="B93" s="27" t="s">
        <v>38</v>
      </c>
      <c r="C93" s="31">
        <f>VLOOKUP(B93, Sheet2!B:C, 2, FALSE)</f>
        <v>0</v>
      </c>
      <c r="D93" s="30" t="str">
        <f t="shared" si="2"/>
        <v/>
      </c>
      <c r="E93" s="24" t="str">
        <f t="shared" si="3"/>
        <v/>
      </c>
      <c r="F93" s="24" t="str">
        <f t="shared" si="3"/>
        <v/>
      </c>
    </row>
    <row r="94" spans="1:6" s="2" customFormat="1" ht="54.75" customHeight="1" x14ac:dyDescent="0.3">
      <c r="A94" s="25" t="s">
        <v>169</v>
      </c>
      <c r="B94" s="27" t="s">
        <v>213</v>
      </c>
      <c r="C94" s="31">
        <f>VLOOKUP(B94, Sheet2!B:C, 2, FALSE)</f>
        <v>0</v>
      </c>
      <c r="D94" s="30" t="str">
        <f t="shared" si="2"/>
        <v/>
      </c>
      <c r="E94" s="24" t="str">
        <f t="shared" si="3"/>
        <v/>
      </c>
      <c r="F94" s="24" t="str">
        <f t="shared" si="3"/>
        <v/>
      </c>
    </row>
    <row r="95" spans="1:6" s="2" customFormat="1" ht="23.25" customHeight="1" x14ac:dyDescent="0.3">
      <c r="A95" s="25" t="s">
        <v>170</v>
      </c>
      <c r="B95" s="27" t="s">
        <v>214</v>
      </c>
      <c r="C95" s="31">
        <f>VLOOKUP(B95, Sheet2!B:C, 2, FALSE)</f>
        <v>0</v>
      </c>
      <c r="D95" s="30" t="str">
        <f t="shared" si="2"/>
        <v/>
      </c>
      <c r="E95" s="24" t="str">
        <f t="shared" si="3"/>
        <v/>
      </c>
      <c r="F95" s="24" t="str">
        <f t="shared" si="3"/>
        <v/>
      </c>
    </row>
    <row r="96" spans="1:6" s="2" customFormat="1" ht="44.25" customHeight="1" x14ac:dyDescent="0.3">
      <c r="A96" s="25" t="s">
        <v>171</v>
      </c>
      <c r="B96" s="27" t="s">
        <v>79</v>
      </c>
      <c r="C96" s="31">
        <f>VLOOKUP(B96, Sheet2!B:C, 2, FALSE)</f>
        <v>0</v>
      </c>
      <c r="D96" s="30" t="str">
        <f t="shared" si="2"/>
        <v/>
      </c>
      <c r="E96" s="24" t="str">
        <f t="shared" si="3"/>
        <v/>
      </c>
      <c r="F96" s="24" t="str">
        <f t="shared" si="3"/>
        <v/>
      </c>
    </row>
    <row r="97" spans="1:6" s="2" customFormat="1" ht="23.25" customHeight="1" x14ac:dyDescent="0.3">
      <c r="A97" s="25" t="s">
        <v>172</v>
      </c>
      <c r="B97" s="26" t="s">
        <v>215</v>
      </c>
      <c r="C97" s="31">
        <f>VLOOKUP(B97, Sheet2!B:C, 2, FALSE)</f>
        <v>0</v>
      </c>
      <c r="D97" s="30" t="str">
        <f t="shared" si="2"/>
        <v/>
      </c>
      <c r="E97" s="24" t="str">
        <f t="shared" si="3"/>
        <v/>
      </c>
      <c r="F97" s="24" t="str">
        <f t="shared" si="3"/>
        <v/>
      </c>
    </row>
    <row r="98" spans="1:6" s="1" customFormat="1" ht="33.75" customHeight="1" x14ac:dyDescent="0.3">
      <c r="A98" s="37" t="s">
        <v>90</v>
      </c>
      <c r="B98" s="37"/>
      <c r="C98" s="37"/>
      <c r="D98" s="37"/>
      <c r="E98" s="37"/>
      <c r="F98" s="37"/>
    </row>
    <row r="99" spans="1:6" s="1" customFormat="1" ht="13.5" x14ac:dyDescent="0.3">
      <c r="A99" s="28"/>
      <c r="B99" s="28"/>
      <c r="C99" s="10"/>
      <c r="D99" s="10"/>
      <c r="E99" s="10"/>
      <c r="F99" s="10"/>
    </row>
    <row r="100" spans="1:6" s="1" customFormat="1" ht="13.5" x14ac:dyDescent="0.3">
      <c r="A100" s="10"/>
      <c r="B100" s="29"/>
      <c r="C100" s="10"/>
      <c r="D100" s="10"/>
      <c r="E100" s="10"/>
      <c r="F100" s="10"/>
    </row>
    <row r="101" spans="1:6" s="1" customFormat="1" ht="13.5" x14ac:dyDescent="0.3">
      <c r="A101" s="10"/>
      <c r="B101" s="29"/>
      <c r="C101" s="10"/>
      <c r="D101" s="10"/>
      <c r="E101" s="10"/>
      <c r="F101" s="10"/>
    </row>
    <row r="102" spans="1:6" s="1" customFormat="1" ht="13.5" x14ac:dyDescent="0.3">
      <c r="A102" s="10"/>
      <c r="B102" s="29"/>
      <c r="C102" s="10"/>
      <c r="D102" s="10"/>
      <c r="E102" s="10"/>
      <c r="F102" s="10"/>
    </row>
    <row r="103" spans="1:6" s="1" customFormat="1" ht="13.5" x14ac:dyDescent="0.3">
      <c r="A103" s="10"/>
      <c r="B103" s="29"/>
      <c r="C103" s="10"/>
      <c r="D103" s="10"/>
      <c r="E103" s="10"/>
      <c r="F103" s="10"/>
    </row>
    <row r="104" spans="1:6" s="1" customFormat="1" ht="13.5" x14ac:dyDescent="0.3">
      <c r="A104" s="10"/>
      <c r="B104" s="29"/>
      <c r="C104" s="10"/>
      <c r="D104" s="10"/>
      <c r="E104" s="10"/>
      <c r="F104" s="10"/>
    </row>
    <row r="105" spans="1:6" s="1" customFormat="1" ht="13.5" x14ac:dyDescent="0.3">
      <c r="A105" s="10"/>
      <c r="B105" s="29"/>
      <c r="C105" s="10"/>
      <c r="D105" s="10"/>
      <c r="E105" s="10"/>
      <c r="F105" s="10"/>
    </row>
    <row r="106" spans="1:6" x14ac:dyDescent="0.3">
      <c r="A106" s="10"/>
      <c r="B106" s="29"/>
      <c r="C106" s="10"/>
      <c r="D106" s="10"/>
      <c r="E106" s="10"/>
      <c r="F106" s="10"/>
    </row>
  </sheetData>
  <mergeCells count="12">
    <mergeCell ref="A98:F98"/>
    <mergeCell ref="C8:D8"/>
    <mergeCell ref="C11:F11"/>
    <mergeCell ref="A13:A14"/>
    <mergeCell ref="B13:B14"/>
    <mergeCell ref="C13:C14"/>
    <mergeCell ref="D13:D14"/>
    <mergeCell ref="C9:D9"/>
    <mergeCell ref="E9:F9"/>
    <mergeCell ref="C10:D10"/>
    <mergeCell ref="E10:F10"/>
    <mergeCell ref="E8:F8"/>
  </mergeCells>
  <phoneticPr fontId="2" type="noConversion"/>
  <pageMargins left="0.25" right="0.25" top="0.75" bottom="0.75" header="0.3" footer="0.3"/>
  <pageSetup paperSize="9" scale="75" orientation="portrait" r:id="rId1"/>
  <ignoredErrors>
    <ignoredError sqref="C24 C87 D61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"/>
  <sheetViews>
    <sheetView topLeftCell="A65" zoomScale="115" zoomScaleNormal="115" workbookViewId="0">
      <selection activeCell="B52" sqref="B52"/>
    </sheetView>
  </sheetViews>
  <sheetFormatPr defaultRowHeight="16.5" x14ac:dyDescent="0.3"/>
  <cols>
    <col min="1" max="1" width="34.875" customWidth="1"/>
    <col min="2" max="2" width="33" customWidth="1"/>
    <col min="3" max="3" width="9" style="36"/>
  </cols>
  <sheetData>
    <row r="1" spans="1:6" x14ac:dyDescent="0.3">
      <c r="A1" s="59" t="s">
        <v>45</v>
      </c>
      <c r="B1" s="62" t="s">
        <v>32</v>
      </c>
      <c r="C1" s="65" t="s">
        <v>33</v>
      </c>
      <c r="D1" s="67" t="s">
        <v>46</v>
      </c>
      <c r="E1" s="69" t="s">
        <v>47</v>
      </c>
      <c r="F1" s="57" t="s">
        <v>48</v>
      </c>
    </row>
    <row r="2" spans="1:6" x14ac:dyDescent="0.3">
      <c r="A2" s="60"/>
      <c r="B2" s="63"/>
      <c r="C2" s="66"/>
      <c r="D2" s="68"/>
      <c r="E2" s="70"/>
      <c r="F2" s="58"/>
    </row>
    <row r="3" spans="1:6" ht="17.25" thickBot="1" x14ac:dyDescent="0.35">
      <c r="A3" s="61"/>
      <c r="B3" s="64"/>
      <c r="C3" s="66"/>
      <c r="D3" s="68"/>
      <c r="E3" s="32">
        <v>1.0000000000000001E-5</v>
      </c>
      <c r="F3" s="33">
        <v>1E-4</v>
      </c>
    </row>
    <row r="4" spans="1:6" ht="17.25" thickTop="1" x14ac:dyDescent="0.3">
      <c r="A4" s="22" t="s">
        <v>54</v>
      </c>
      <c r="B4" s="23" t="s">
        <v>219</v>
      </c>
      <c r="C4" s="35"/>
      <c r="D4" s="34"/>
      <c r="E4" s="34"/>
      <c r="F4" s="34"/>
    </row>
    <row r="5" spans="1:6" x14ac:dyDescent="0.3">
      <c r="A5" s="25" t="s">
        <v>49</v>
      </c>
      <c r="B5" s="26" t="s">
        <v>220</v>
      </c>
      <c r="C5" s="35"/>
      <c r="D5" s="34"/>
      <c r="E5" s="34"/>
      <c r="F5" s="34"/>
    </row>
    <row r="6" spans="1:6" x14ac:dyDescent="0.3">
      <c r="A6" s="25" t="s">
        <v>55</v>
      </c>
      <c r="B6" s="26" t="s">
        <v>221</v>
      </c>
      <c r="C6" s="35"/>
      <c r="D6" s="34"/>
      <c r="E6" s="34"/>
      <c r="F6" s="34"/>
    </row>
    <row r="7" spans="1:6" x14ac:dyDescent="0.3">
      <c r="A7" s="25" t="s">
        <v>52</v>
      </c>
      <c r="B7" s="26" t="s">
        <v>222</v>
      </c>
      <c r="C7" s="35"/>
      <c r="D7" s="34"/>
      <c r="E7" s="34"/>
      <c r="F7" s="34"/>
    </row>
    <row r="8" spans="1:6" x14ac:dyDescent="0.3">
      <c r="A8" s="25" t="s">
        <v>53</v>
      </c>
      <c r="B8" s="26" t="s">
        <v>223</v>
      </c>
      <c r="C8" s="35"/>
      <c r="D8" s="34"/>
      <c r="E8" s="34"/>
      <c r="F8" s="34"/>
    </row>
    <row r="9" spans="1:6" x14ac:dyDescent="0.3">
      <c r="A9" s="25" t="s">
        <v>224</v>
      </c>
      <c r="B9" s="26" t="s">
        <v>225</v>
      </c>
      <c r="C9" s="35"/>
      <c r="D9" s="34"/>
      <c r="E9" s="34"/>
      <c r="F9" s="34"/>
    </row>
    <row r="10" spans="1:6" x14ac:dyDescent="0.3">
      <c r="A10" s="25" t="s">
        <v>226</v>
      </c>
      <c r="B10" s="26" t="s">
        <v>227</v>
      </c>
      <c r="C10" s="35"/>
      <c r="D10" s="34"/>
      <c r="E10" s="34"/>
      <c r="F10" s="34"/>
    </row>
    <row r="11" spans="1:6" x14ac:dyDescent="0.3">
      <c r="A11" s="25" t="s">
        <v>228</v>
      </c>
      <c r="B11" s="26" t="s">
        <v>229</v>
      </c>
      <c r="C11" s="35"/>
      <c r="D11" s="34"/>
      <c r="E11" s="34"/>
      <c r="F11" s="34"/>
    </row>
    <row r="12" spans="1:6" ht="25.5" x14ac:dyDescent="0.3">
      <c r="A12" s="25" t="s">
        <v>56</v>
      </c>
      <c r="B12" s="27" t="s">
        <v>1</v>
      </c>
      <c r="C12" s="35"/>
      <c r="D12" s="34"/>
      <c r="E12" s="34"/>
      <c r="F12" s="34"/>
    </row>
    <row r="13" spans="1:6" x14ac:dyDescent="0.3">
      <c r="A13" s="25" t="s">
        <v>230</v>
      </c>
      <c r="B13" s="27" t="s">
        <v>231</v>
      </c>
      <c r="C13" s="35"/>
      <c r="D13" s="34"/>
      <c r="E13" s="34"/>
      <c r="F13" s="34"/>
    </row>
    <row r="14" spans="1:6" x14ac:dyDescent="0.3">
      <c r="A14" s="25" t="s">
        <v>232</v>
      </c>
      <c r="B14" s="27" t="s">
        <v>233</v>
      </c>
      <c r="C14" s="35"/>
      <c r="D14" s="34"/>
      <c r="E14" s="34"/>
      <c r="F14" s="34"/>
    </row>
    <row r="15" spans="1:6" x14ac:dyDescent="0.3">
      <c r="A15" s="25" t="s">
        <v>234</v>
      </c>
      <c r="B15" s="27" t="s">
        <v>235</v>
      </c>
      <c r="C15" s="35"/>
      <c r="D15" s="34"/>
      <c r="E15" s="34"/>
      <c r="F15" s="34"/>
    </row>
    <row r="16" spans="1:6" x14ac:dyDescent="0.3">
      <c r="A16" s="25" t="s">
        <v>236</v>
      </c>
      <c r="B16" s="27" t="s">
        <v>237</v>
      </c>
      <c r="C16" s="35"/>
      <c r="D16" s="34"/>
      <c r="E16" s="34"/>
      <c r="F16" s="34"/>
    </row>
    <row r="17" spans="1:6" x14ac:dyDescent="0.3">
      <c r="A17" s="25" t="s">
        <v>238</v>
      </c>
      <c r="B17" s="27" t="s">
        <v>239</v>
      </c>
      <c r="C17" s="35"/>
      <c r="D17" s="34"/>
      <c r="E17" s="34"/>
      <c r="F17" s="34"/>
    </row>
    <row r="18" spans="1:6" x14ac:dyDescent="0.3">
      <c r="A18" s="25" t="s">
        <v>240</v>
      </c>
      <c r="B18" s="27" t="s">
        <v>241</v>
      </c>
      <c r="C18" s="35"/>
      <c r="D18" s="34"/>
      <c r="E18" s="34"/>
      <c r="F18" s="34"/>
    </row>
    <row r="19" spans="1:6" x14ac:dyDescent="0.3">
      <c r="A19" s="25" t="s">
        <v>57</v>
      </c>
      <c r="B19" s="27" t="s">
        <v>242</v>
      </c>
      <c r="C19" s="35"/>
      <c r="D19" s="34"/>
      <c r="E19" s="34"/>
      <c r="F19" s="34"/>
    </row>
    <row r="20" spans="1:6" x14ac:dyDescent="0.3">
      <c r="A20" s="25" t="s">
        <v>243</v>
      </c>
      <c r="B20" s="27" t="s">
        <v>244</v>
      </c>
      <c r="C20" s="35"/>
      <c r="D20" s="34"/>
      <c r="E20" s="34"/>
      <c r="F20" s="34"/>
    </row>
    <row r="21" spans="1:6" ht="51" x14ac:dyDescent="0.3">
      <c r="A21" s="25" t="s">
        <v>245</v>
      </c>
      <c r="B21" s="27" t="s">
        <v>2</v>
      </c>
      <c r="C21" s="35"/>
      <c r="D21" s="34"/>
      <c r="E21" s="34"/>
      <c r="F21" s="34"/>
    </row>
    <row r="22" spans="1:6" ht="51" x14ac:dyDescent="0.3">
      <c r="A22" s="25" t="s">
        <v>246</v>
      </c>
      <c r="B22" s="27" t="s">
        <v>65</v>
      </c>
      <c r="C22" s="35"/>
      <c r="D22" s="34"/>
      <c r="E22" s="34"/>
      <c r="F22" s="34"/>
    </row>
    <row r="23" spans="1:6" ht="38.25" x14ac:dyDescent="0.3">
      <c r="A23" s="25" t="s">
        <v>247</v>
      </c>
      <c r="B23" s="27" t="s">
        <v>3</v>
      </c>
      <c r="C23" s="35"/>
      <c r="D23" s="34"/>
      <c r="E23" s="34"/>
      <c r="F23" s="34"/>
    </row>
    <row r="24" spans="1:6" ht="25.5" x14ac:dyDescent="0.3">
      <c r="A24" s="25" t="s">
        <v>248</v>
      </c>
      <c r="B24" s="27" t="s">
        <v>66</v>
      </c>
      <c r="C24" s="35"/>
      <c r="D24" s="34"/>
      <c r="E24" s="34"/>
      <c r="F24" s="34"/>
    </row>
    <row r="25" spans="1:6" x14ac:dyDescent="0.3">
      <c r="A25" s="25" t="s">
        <v>249</v>
      </c>
      <c r="B25" s="27" t="s">
        <v>250</v>
      </c>
      <c r="C25" s="35"/>
      <c r="D25" s="34"/>
      <c r="E25" s="34"/>
      <c r="F25" s="34"/>
    </row>
    <row r="26" spans="1:6" ht="25.5" x14ac:dyDescent="0.3">
      <c r="A26" s="25" t="s">
        <v>251</v>
      </c>
      <c r="B26" s="27" t="s">
        <v>67</v>
      </c>
      <c r="C26" s="35"/>
      <c r="D26" s="34"/>
      <c r="E26" s="34"/>
      <c r="F26" s="34"/>
    </row>
    <row r="27" spans="1:6" ht="25.5" x14ac:dyDescent="0.3">
      <c r="A27" s="25" t="s">
        <v>252</v>
      </c>
      <c r="B27" s="27" t="s">
        <v>68</v>
      </c>
      <c r="C27" s="35"/>
      <c r="D27" s="34"/>
      <c r="E27" s="34"/>
      <c r="F27" s="34"/>
    </row>
    <row r="28" spans="1:6" x14ac:dyDescent="0.3">
      <c r="A28" s="25" t="s">
        <v>253</v>
      </c>
      <c r="B28" s="27" t="s">
        <v>254</v>
      </c>
      <c r="C28" s="35"/>
      <c r="D28" s="34"/>
      <c r="E28" s="34"/>
      <c r="F28" s="34"/>
    </row>
    <row r="29" spans="1:6" ht="38.25" x14ac:dyDescent="0.3">
      <c r="A29" s="25" t="s">
        <v>255</v>
      </c>
      <c r="B29" s="27" t="s">
        <v>4</v>
      </c>
      <c r="C29" s="35"/>
      <c r="D29" s="34"/>
      <c r="E29" s="34"/>
      <c r="F29" s="34"/>
    </row>
    <row r="30" spans="1:6" ht="51" x14ac:dyDescent="0.3">
      <c r="A30" s="25" t="s">
        <v>256</v>
      </c>
      <c r="B30" s="27" t="s">
        <v>5</v>
      </c>
      <c r="C30" s="35"/>
      <c r="D30" s="34"/>
      <c r="E30" s="34"/>
      <c r="F30" s="34"/>
    </row>
    <row r="31" spans="1:6" ht="51" x14ac:dyDescent="0.3">
      <c r="A31" s="25" t="s">
        <v>257</v>
      </c>
      <c r="B31" s="27" t="s">
        <v>69</v>
      </c>
      <c r="C31" s="35"/>
      <c r="D31" s="34"/>
      <c r="E31" s="34"/>
      <c r="F31" s="34"/>
    </row>
    <row r="32" spans="1:6" ht="38.25" x14ac:dyDescent="0.3">
      <c r="A32" s="25" t="s">
        <v>258</v>
      </c>
      <c r="B32" s="27" t="s">
        <v>70</v>
      </c>
      <c r="C32" s="35"/>
      <c r="D32" s="34"/>
      <c r="E32" s="34"/>
      <c r="F32" s="34"/>
    </row>
    <row r="33" spans="1:6" ht="63.75" x14ac:dyDescent="0.3">
      <c r="A33" s="25" t="s">
        <v>259</v>
      </c>
      <c r="B33" s="27" t="s">
        <v>71</v>
      </c>
      <c r="C33" s="35"/>
      <c r="D33" s="34"/>
      <c r="E33" s="34"/>
      <c r="F33" s="34"/>
    </row>
    <row r="34" spans="1:6" ht="25.5" x14ac:dyDescent="0.3">
      <c r="A34" s="25" t="s">
        <v>260</v>
      </c>
      <c r="B34" s="27" t="s">
        <v>72</v>
      </c>
      <c r="C34" s="35"/>
      <c r="D34" s="34"/>
      <c r="E34" s="34"/>
      <c r="F34" s="34"/>
    </row>
    <row r="35" spans="1:6" x14ac:dyDescent="0.3">
      <c r="A35" s="25" t="s">
        <v>261</v>
      </c>
      <c r="B35" s="27" t="s">
        <v>262</v>
      </c>
      <c r="C35" s="35"/>
      <c r="D35" s="34"/>
      <c r="E35" s="34"/>
      <c r="F35" s="34"/>
    </row>
    <row r="36" spans="1:6" ht="38.25" x14ac:dyDescent="0.3">
      <c r="A36" s="25" t="s">
        <v>263</v>
      </c>
      <c r="B36" s="27" t="s">
        <v>73</v>
      </c>
      <c r="C36" s="35"/>
      <c r="D36" s="34"/>
      <c r="E36" s="34"/>
      <c r="F36" s="34"/>
    </row>
    <row r="37" spans="1:6" x14ac:dyDescent="0.3">
      <c r="A37" s="25" t="s">
        <v>58</v>
      </c>
      <c r="B37" s="27" t="s">
        <v>6</v>
      </c>
      <c r="C37" s="35"/>
      <c r="D37" s="34"/>
      <c r="E37" s="34"/>
      <c r="F37" s="34"/>
    </row>
    <row r="38" spans="1:6" x14ac:dyDescent="0.3">
      <c r="A38" s="25" t="s">
        <v>59</v>
      </c>
      <c r="B38" s="27" t="s">
        <v>86</v>
      </c>
      <c r="C38" s="35"/>
      <c r="D38" s="34"/>
      <c r="E38" s="34"/>
      <c r="F38" s="34"/>
    </row>
    <row r="39" spans="1:6" ht="25.5" x14ac:dyDescent="0.3">
      <c r="A39" s="25" t="s">
        <v>264</v>
      </c>
      <c r="B39" s="27" t="s">
        <v>74</v>
      </c>
      <c r="C39" s="35"/>
      <c r="D39" s="34"/>
      <c r="E39" s="34"/>
      <c r="F39" s="34"/>
    </row>
    <row r="40" spans="1:6" ht="38.25" x14ac:dyDescent="0.3">
      <c r="A40" s="25" t="s">
        <v>265</v>
      </c>
      <c r="B40" s="27" t="s">
        <v>75</v>
      </c>
      <c r="C40" s="35"/>
      <c r="D40" s="34"/>
      <c r="E40" s="34"/>
      <c r="F40" s="34"/>
    </row>
    <row r="41" spans="1:6" x14ac:dyDescent="0.3">
      <c r="A41" s="25" t="s">
        <v>266</v>
      </c>
      <c r="B41" s="27" t="s">
        <v>267</v>
      </c>
      <c r="C41" s="35"/>
      <c r="D41" s="34"/>
      <c r="E41" s="34"/>
      <c r="F41" s="34"/>
    </row>
    <row r="42" spans="1:6" x14ac:dyDescent="0.3">
      <c r="A42" s="25" t="s">
        <v>268</v>
      </c>
      <c r="B42" s="27" t="s">
        <v>7</v>
      </c>
      <c r="C42" s="35"/>
      <c r="D42" s="34"/>
      <c r="E42" s="34"/>
      <c r="F42" s="34"/>
    </row>
    <row r="43" spans="1:6" x14ac:dyDescent="0.3">
      <c r="A43" s="25" t="s">
        <v>269</v>
      </c>
      <c r="B43" s="27" t="s">
        <v>270</v>
      </c>
      <c r="C43" s="35"/>
      <c r="D43" s="34"/>
      <c r="E43" s="34"/>
      <c r="F43" s="34"/>
    </row>
    <row r="44" spans="1:6" x14ac:dyDescent="0.3">
      <c r="A44" s="25" t="s">
        <v>271</v>
      </c>
      <c r="B44" s="27" t="s">
        <v>76</v>
      </c>
      <c r="C44" s="35"/>
      <c r="D44" s="34"/>
      <c r="E44" s="34"/>
      <c r="F44" s="34"/>
    </row>
    <row r="45" spans="1:6" x14ac:dyDescent="0.3">
      <c r="A45" s="25" t="s">
        <v>272</v>
      </c>
      <c r="B45" s="27" t="s">
        <v>273</v>
      </c>
      <c r="C45" s="35"/>
      <c r="D45" s="34"/>
      <c r="E45" s="34"/>
      <c r="F45" s="34"/>
    </row>
    <row r="46" spans="1:6" x14ac:dyDescent="0.3">
      <c r="A46" s="25" t="s">
        <v>274</v>
      </c>
      <c r="B46" s="27" t="s">
        <v>275</v>
      </c>
      <c r="C46" s="35"/>
      <c r="D46" s="34"/>
      <c r="E46" s="34"/>
      <c r="F46" s="34"/>
    </row>
    <row r="47" spans="1:6" x14ac:dyDescent="0.3">
      <c r="A47" s="25" t="s">
        <v>276</v>
      </c>
      <c r="B47" s="27" t="s">
        <v>8</v>
      </c>
      <c r="C47" s="35"/>
      <c r="D47" s="34"/>
      <c r="E47" s="34"/>
      <c r="F47" s="34"/>
    </row>
    <row r="48" spans="1:6" x14ac:dyDescent="0.3">
      <c r="A48" s="25" t="s">
        <v>277</v>
      </c>
      <c r="B48" s="27" t="s">
        <v>9</v>
      </c>
      <c r="C48" s="35"/>
      <c r="D48" s="34"/>
      <c r="E48" s="34"/>
      <c r="F48" s="34"/>
    </row>
    <row r="49" spans="1:6" x14ac:dyDescent="0.3">
      <c r="A49" s="25" t="s">
        <v>278</v>
      </c>
      <c r="B49" s="27" t="s">
        <v>84</v>
      </c>
      <c r="C49" s="35"/>
      <c r="D49" s="34"/>
      <c r="E49" s="34"/>
      <c r="F49" s="34"/>
    </row>
    <row r="50" spans="1:6" x14ac:dyDescent="0.3">
      <c r="A50" s="25" t="s">
        <v>279</v>
      </c>
      <c r="B50" s="27" t="s">
        <v>280</v>
      </c>
      <c r="C50" s="35"/>
      <c r="D50" s="34"/>
      <c r="E50" s="34"/>
      <c r="F50" s="34"/>
    </row>
    <row r="51" spans="1:6" x14ac:dyDescent="0.3">
      <c r="A51" s="25" t="s">
        <v>281</v>
      </c>
      <c r="B51" s="27" t="s">
        <v>282</v>
      </c>
      <c r="C51" s="35"/>
      <c r="D51" s="34"/>
      <c r="E51" s="34"/>
      <c r="F51" s="34"/>
    </row>
    <row r="52" spans="1:6" ht="38.25" x14ac:dyDescent="0.3">
      <c r="A52" s="25" t="s">
        <v>283</v>
      </c>
      <c r="B52" s="27" t="s">
        <v>77</v>
      </c>
      <c r="C52" s="35"/>
      <c r="D52" s="34"/>
      <c r="E52" s="34"/>
      <c r="F52" s="34"/>
    </row>
    <row r="53" spans="1:6" x14ac:dyDescent="0.3">
      <c r="A53" s="25" t="s">
        <v>63</v>
      </c>
      <c r="B53" s="27" t="s">
        <v>10</v>
      </c>
      <c r="C53" s="35"/>
      <c r="D53" s="34"/>
      <c r="E53" s="34"/>
      <c r="F53" s="34"/>
    </row>
    <row r="54" spans="1:6" ht="51" x14ac:dyDescent="0.3">
      <c r="A54" s="25" t="s">
        <v>284</v>
      </c>
      <c r="B54" s="27" t="s">
        <v>78</v>
      </c>
      <c r="C54" s="35"/>
      <c r="D54" s="34"/>
      <c r="E54" s="34"/>
      <c r="F54" s="34"/>
    </row>
    <row r="55" spans="1:6" ht="25.5" x14ac:dyDescent="0.3">
      <c r="A55" s="25" t="s">
        <v>285</v>
      </c>
      <c r="B55" s="27" t="s">
        <v>11</v>
      </c>
      <c r="C55" s="35"/>
      <c r="D55" s="34"/>
      <c r="E55" s="34"/>
      <c r="F55" s="34"/>
    </row>
    <row r="56" spans="1:6" ht="38.25" x14ac:dyDescent="0.3">
      <c r="A56" s="25" t="s">
        <v>286</v>
      </c>
      <c r="B56" s="27" t="s">
        <v>82</v>
      </c>
      <c r="C56" s="35"/>
      <c r="D56" s="34"/>
      <c r="E56" s="34"/>
      <c r="F56" s="34"/>
    </row>
    <row r="57" spans="1:6" ht="102" x14ac:dyDescent="0.3">
      <c r="A57" s="25" t="s">
        <v>287</v>
      </c>
      <c r="B57" s="27" t="s">
        <v>12</v>
      </c>
      <c r="C57" s="35"/>
      <c r="D57" s="34"/>
      <c r="E57" s="34"/>
      <c r="F57" s="34"/>
    </row>
    <row r="58" spans="1:6" ht="51" x14ac:dyDescent="0.3">
      <c r="A58" s="25" t="s">
        <v>50</v>
      </c>
      <c r="B58" s="27" t="s">
        <v>81</v>
      </c>
      <c r="C58" s="35"/>
      <c r="D58" s="34"/>
      <c r="E58" s="34"/>
      <c r="F58" s="34"/>
    </row>
    <row r="59" spans="1:6" x14ac:dyDescent="0.3">
      <c r="A59" s="25" t="s">
        <v>288</v>
      </c>
      <c r="B59" s="27" t="s">
        <v>34</v>
      </c>
      <c r="C59" s="35"/>
      <c r="D59" s="34"/>
      <c r="E59" s="34"/>
      <c r="F59" s="34"/>
    </row>
    <row r="60" spans="1:6" x14ac:dyDescent="0.3">
      <c r="A60" s="25" t="s">
        <v>289</v>
      </c>
      <c r="B60" s="27" t="s">
        <v>85</v>
      </c>
      <c r="C60" s="35"/>
      <c r="D60" s="34"/>
      <c r="E60" s="34"/>
      <c r="F60" s="34"/>
    </row>
    <row r="61" spans="1:6" ht="25.5" x14ac:dyDescent="0.3">
      <c r="A61" s="25" t="s">
        <v>290</v>
      </c>
      <c r="B61" s="27" t="s">
        <v>13</v>
      </c>
      <c r="C61" s="35"/>
      <c r="D61" s="34"/>
      <c r="E61" s="34"/>
      <c r="F61" s="34"/>
    </row>
    <row r="62" spans="1:6" x14ac:dyDescent="0.3">
      <c r="A62" s="25" t="s">
        <v>291</v>
      </c>
      <c r="B62" s="27" t="s">
        <v>217</v>
      </c>
      <c r="C62" s="35"/>
      <c r="D62" s="34"/>
      <c r="E62" s="34"/>
      <c r="F62" s="34"/>
    </row>
    <row r="63" spans="1:6" ht="25.5" x14ac:dyDescent="0.3">
      <c r="A63" s="25" t="s">
        <v>292</v>
      </c>
      <c r="B63" s="27" t="s">
        <v>83</v>
      </c>
      <c r="C63" s="35"/>
      <c r="D63" s="34"/>
      <c r="E63" s="34"/>
      <c r="F63" s="34"/>
    </row>
    <row r="64" spans="1:6" ht="25.5" x14ac:dyDescent="0.3">
      <c r="A64" s="25" t="s">
        <v>293</v>
      </c>
      <c r="B64" s="27" t="s">
        <v>35</v>
      </c>
      <c r="C64" s="35"/>
      <c r="D64" s="34"/>
      <c r="E64" s="34"/>
      <c r="F64" s="34"/>
    </row>
    <row r="65" spans="1:6" ht="51" x14ac:dyDescent="0.3">
      <c r="A65" s="25" t="s">
        <v>294</v>
      </c>
      <c r="B65" s="27" t="s">
        <v>14</v>
      </c>
      <c r="C65" s="35"/>
      <c r="D65" s="34"/>
      <c r="E65" s="34"/>
      <c r="F65" s="34"/>
    </row>
    <row r="66" spans="1:6" x14ac:dyDescent="0.3">
      <c r="A66" s="25" t="s">
        <v>51</v>
      </c>
      <c r="B66" s="27" t="s">
        <v>295</v>
      </c>
      <c r="C66" s="35"/>
      <c r="D66" s="34"/>
      <c r="E66" s="34"/>
      <c r="F66" s="34"/>
    </row>
    <row r="67" spans="1:6" x14ac:dyDescent="0.3">
      <c r="A67" s="25" t="s">
        <v>296</v>
      </c>
      <c r="B67" s="27" t="s">
        <v>297</v>
      </c>
      <c r="C67" s="35"/>
      <c r="D67" s="34"/>
      <c r="E67" s="34"/>
      <c r="F67" s="34"/>
    </row>
    <row r="68" spans="1:6" x14ac:dyDescent="0.3">
      <c r="A68" s="25" t="s">
        <v>298</v>
      </c>
      <c r="B68" s="27" t="s">
        <v>299</v>
      </c>
      <c r="C68" s="35"/>
      <c r="D68" s="34"/>
      <c r="E68" s="34"/>
      <c r="F68" s="34"/>
    </row>
    <row r="69" spans="1:6" ht="51" x14ac:dyDescent="0.3">
      <c r="A69" s="25" t="s">
        <v>300</v>
      </c>
      <c r="B69" s="27" t="s">
        <v>15</v>
      </c>
      <c r="C69" s="35"/>
      <c r="D69" s="34"/>
      <c r="E69" s="34"/>
      <c r="F69" s="34"/>
    </row>
    <row r="70" spans="1:6" ht="25.5" x14ac:dyDescent="0.3">
      <c r="A70" s="25" t="s">
        <v>301</v>
      </c>
      <c r="B70" s="27" t="s">
        <v>36</v>
      </c>
      <c r="C70" s="35"/>
      <c r="D70" s="34"/>
      <c r="E70" s="34"/>
      <c r="F70" s="34"/>
    </row>
    <row r="71" spans="1:6" ht="51" x14ac:dyDescent="0.3">
      <c r="A71" s="25" t="s">
        <v>64</v>
      </c>
      <c r="B71" s="27" t="s">
        <v>89</v>
      </c>
      <c r="C71" s="35"/>
      <c r="D71" s="34"/>
      <c r="E71" s="34"/>
      <c r="F71" s="34"/>
    </row>
    <row r="72" spans="1:6" x14ac:dyDescent="0.3">
      <c r="A72" s="25" t="s">
        <v>302</v>
      </c>
      <c r="B72" s="27" t="s">
        <v>303</v>
      </c>
      <c r="C72" s="35"/>
      <c r="D72" s="34"/>
      <c r="E72" s="34"/>
      <c r="F72" s="34"/>
    </row>
    <row r="73" spans="1:6" x14ac:dyDescent="0.3">
      <c r="A73" s="25" t="s">
        <v>304</v>
      </c>
      <c r="B73" s="27" t="s">
        <v>305</v>
      </c>
      <c r="C73" s="35"/>
      <c r="D73" s="34"/>
      <c r="E73" s="34"/>
      <c r="F73" s="34"/>
    </row>
    <row r="74" spans="1:6" ht="25.5" x14ac:dyDescent="0.3">
      <c r="A74" s="25" t="s">
        <v>306</v>
      </c>
      <c r="B74" s="27" t="s">
        <v>16</v>
      </c>
      <c r="C74" s="35"/>
      <c r="D74" s="34"/>
      <c r="E74" s="34"/>
      <c r="F74" s="34"/>
    </row>
    <row r="75" spans="1:6" ht="89.25" x14ac:dyDescent="0.3">
      <c r="A75" s="25" t="s">
        <v>307</v>
      </c>
      <c r="B75" s="27" t="s">
        <v>37</v>
      </c>
      <c r="C75" s="35"/>
      <c r="D75" s="34"/>
      <c r="E75" s="34"/>
      <c r="F75" s="34"/>
    </row>
    <row r="76" spans="1:6" ht="102" x14ac:dyDescent="0.3">
      <c r="A76" s="25" t="s">
        <v>308</v>
      </c>
      <c r="B76" s="27" t="s">
        <v>80</v>
      </c>
      <c r="C76" s="35"/>
      <c r="D76" s="34"/>
      <c r="E76" s="34"/>
      <c r="F76" s="34"/>
    </row>
    <row r="77" spans="1:6" x14ac:dyDescent="0.3">
      <c r="A77" s="25" t="s">
        <v>60</v>
      </c>
      <c r="B77" s="27" t="s">
        <v>87</v>
      </c>
      <c r="C77" s="35"/>
      <c r="D77" s="34"/>
      <c r="E77" s="34"/>
      <c r="F77" s="34"/>
    </row>
    <row r="78" spans="1:6" ht="38.25" x14ac:dyDescent="0.3">
      <c r="A78" s="25" t="s">
        <v>61</v>
      </c>
      <c r="B78" s="27" t="s">
        <v>17</v>
      </c>
      <c r="C78" s="35"/>
      <c r="D78" s="34"/>
      <c r="E78" s="34"/>
      <c r="F78" s="34"/>
    </row>
    <row r="79" spans="1:6" ht="25.5" x14ac:dyDescent="0.3">
      <c r="A79" s="25" t="s">
        <v>309</v>
      </c>
      <c r="B79" s="27" t="s">
        <v>18</v>
      </c>
      <c r="C79" s="35"/>
      <c r="D79" s="34"/>
      <c r="E79" s="34"/>
      <c r="F79" s="34"/>
    </row>
    <row r="80" spans="1:6" x14ac:dyDescent="0.3">
      <c r="A80" s="25" t="s">
        <v>310</v>
      </c>
      <c r="B80" s="27" t="s">
        <v>19</v>
      </c>
      <c r="C80" s="35"/>
      <c r="D80" s="34"/>
      <c r="E80" s="34"/>
      <c r="F80" s="34"/>
    </row>
    <row r="81" spans="1:6" ht="51" x14ac:dyDescent="0.3">
      <c r="A81" s="25" t="s">
        <v>311</v>
      </c>
      <c r="B81" s="27" t="s">
        <v>88</v>
      </c>
      <c r="C81" s="35"/>
      <c r="D81" s="34"/>
      <c r="E81" s="34"/>
      <c r="F81" s="34"/>
    </row>
    <row r="82" spans="1:6" x14ac:dyDescent="0.3">
      <c r="A82" s="25" t="s">
        <v>312</v>
      </c>
      <c r="B82" s="27" t="s">
        <v>218</v>
      </c>
      <c r="C82" s="35"/>
      <c r="D82" s="34"/>
      <c r="E82" s="34"/>
      <c r="F82" s="34"/>
    </row>
    <row r="83" spans="1:6" ht="51" x14ac:dyDescent="0.3">
      <c r="A83" s="25" t="s">
        <v>313</v>
      </c>
      <c r="B83" s="27" t="s">
        <v>38</v>
      </c>
      <c r="C83" s="35"/>
      <c r="D83" s="34"/>
      <c r="E83" s="34"/>
      <c r="F83" s="34"/>
    </row>
    <row r="84" spans="1:6" x14ac:dyDescent="0.3">
      <c r="A84" s="25" t="s">
        <v>62</v>
      </c>
      <c r="B84" s="27" t="s">
        <v>20</v>
      </c>
      <c r="C84" s="35"/>
      <c r="D84" s="34"/>
      <c r="E84" s="34"/>
      <c r="F84" s="34"/>
    </row>
    <row r="85" spans="1:6" ht="38.25" x14ac:dyDescent="0.3">
      <c r="A85" s="25" t="s">
        <v>314</v>
      </c>
      <c r="B85" s="27" t="s">
        <v>79</v>
      </c>
      <c r="C85" s="35"/>
      <c r="D85" s="34"/>
      <c r="E85" s="34"/>
      <c r="F85" s="34"/>
    </row>
    <row r="86" spans="1:6" x14ac:dyDescent="0.3">
      <c r="A86" s="25" t="s">
        <v>315</v>
      </c>
      <c r="B86" s="26" t="s">
        <v>39</v>
      </c>
      <c r="C86" s="35"/>
      <c r="D86" s="34"/>
      <c r="E86" s="34"/>
      <c r="F86" s="34"/>
    </row>
  </sheetData>
  <mergeCells count="6">
    <mergeCell ref="F1:F2"/>
    <mergeCell ref="A1:A3"/>
    <mergeCell ref="B1:B3"/>
    <mergeCell ref="C1:C3"/>
    <mergeCell ref="D1:D3"/>
    <mergeCell ref="E1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ALLERGY DATA_EU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려 고</dc:creator>
  <cp:lastModifiedBy>보라 문</cp:lastModifiedBy>
  <cp:lastPrinted>2025-02-07T05:42:54Z</cp:lastPrinted>
  <dcterms:created xsi:type="dcterms:W3CDTF">2025-02-04T00:41:38Z</dcterms:created>
  <dcterms:modified xsi:type="dcterms:W3CDTF">2026-01-26T05:32:38Z</dcterms:modified>
</cp:coreProperties>
</file>