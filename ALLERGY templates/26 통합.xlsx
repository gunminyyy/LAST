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5940860b5bda28d/Desktop/templates/"/>
    </mc:Choice>
  </mc:AlternateContent>
  <xr:revisionPtr revIDLastSave="0" documentId="8_{0DC1C5A5-B6CD-47EC-9158-87323FF23320}" xr6:coauthVersionLast="47" xr6:coauthVersionMax="47" xr10:uidLastSave="{00000000-0000-0000-0000-000000000000}"/>
  <bookViews>
    <workbookView xWindow="7808" yWindow="923" windowWidth="12682" windowHeight="13500" xr2:uid="{AD231218-57D6-40A4-92D3-5DFBC713E871}"/>
  </bookViews>
  <sheets>
    <sheet name="ALLERGEN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6" l="1"/>
  <c r="E43" i="16"/>
  <c r="D42" i="16"/>
  <c r="F42" i="16"/>
  <c r="D41" i="16"/>
  <c r="E41" i="16"/>
  <c r="D40" i="16"/>
  <c r="F40" i="16"/>
  <c r="D39" i="16"/>
  <c r="F39" i="16"/>
  <c r="E39" i="16"/>
  <c r="D38" i="16"/>
  <c r="F38" i="16"/>
  <c r="E38" i="16"/>
  <c r="D37" i="16"/>
  <c r="F37" i="16"/>
  <c r="D36" i="16"/>
  <c r="E36" i="16"/>
  <c r="F36" i="16"/>
  <c r="D35" i="16"/>
  <c r="F35" i="16"/>
  <c r="D34" i="16"/>
  <c r="E34" i="16"/>
  <c r="D33" i="16"/>
  <c r="F33" i="16"/>
  <c r="D32" i="16"/>
  <c r="F32" i="16"/>
  <c r="D31" i="16"/>
  <c r="F31" i="16"/>
  <c r="D30" i="16"/>
  <c r="E30" i="16"/>
  <c r="F30" i="16"/>
  <c r="D29" i="16"/>
  <c r="F29" i="16"/>
  <c r="E29" i="16"/>
  <c r="D28" i="16"/>
  <c r="F28" i="16"/>
  <c r="D27" i="16"/>
  <c r="E27" i="16"/>
  <c r="D26" i="16"/>
  <c r="F26" i="16"/>
  <c r="D25" i="16"/>
  <c r="F25" i="16"/>
  <c r="D24" i="16"/>
  <c r="F24" i="16"/>
  <c r="D23" i="16"/>
  <c r="E23" i="16"/>
  <c r="F23" i="16"/>
  <c r="D22" i="16"/>
  <c r="E22" i="16"/>
  <c r="D21" i="16"/>
  <c r="F21" i="16"/>
  <c r="D20" i="16"/>
  <c r="F20" i="16"/>
  <c r="D19" i="16"/>
  <c r="F19" i="16"/>
  <c r="D18" i="16"/>
  <c r="F18" i="16"/>
  <c r="E18" i="16"/>
  <c r="F34" i="16"/>
  <c r="E40" i="16"/>
  <c r="F27" i="16"/>
  <c r="E21" i="16"/>
  <c r="F43" i="16"/>
  <c r="E33" i="16"/>
  <c r="E20" i="16"/>
  <c r="E28" i="16"/>
  <c r="E24" i="16"/>
  <c r="E31" i="16"/>
  <c r="E32" i="16"/>
  <c r="E26" i="16"/>
  <c r="E42" i="16"/>
  <c r="F22" i="16"/>
  <c r="F41" i="16"/>
  <c r="E35" i="16"/>
  <c r="E37" i="16"/>
  <c r="E19" i="16"/>
  <c r="E25" i="16"/>
</calcChain>
</file>

<file path=xl/sharedStrings.xml><?xml version="1.0" encoding="utf-8"?>
<sst xmlns="http://schemas.openxmlformats.org/spreadsheetml/2006/main" count="74" uniqueCount="73">
  <si>
    <t>Customer Name:</t>
  </si>
  <si>
    <t>Fragrance Name:</t>
  </si>
  <si>
    <t>Application:</t>
  </si>
  <si>
    <t>Leave on or Rinse Off:</t>
  </si>
  <si>
    <t>Total 
Contribution 
from fragrance 
oil for product</t>
  </si>
  <si>
    <t>Threshold limit</t>
  </si>
  <si>
    <t xml:space="preserve">PRESENCE OF POTENTIAL FRAGRANCE </t>
    <phoneticPr fontId="2" type="noConversion"/>
  </si>
  <si>
    <t>ALLERGENS (26 SCCNFP INGREDIENT)</t>
    <phoneticPr fontId="2" type="noConversion"/>
  </si>
  <si>
    <t>Vendor:</t>
    <phoneticPr fontId="7" type="noConversion"/>
  </si>
  <si>
    <t>Usage Level:</t>
    <phoneticPr fontId="2" type="noConversion"/>
  </si>
  <si>
    <t>Attention:</t>
    <phoneticPr fontId="2" type="noConversion"/>
  </si>
  <si>
    <t>Date:</t>
    <phoneticPr fontId="2" type="noConversion"/>
  </si>
  <si>
    <t>CAS #</t>
    <phoneticPr fontId="2" type="noConversion"/>
  </si>
  <si>
    <t>Total in 
Fragrance 
Oil(%)</t>
    <phoneticPr fontId="7" type="noConversion"/>
  </si>
  <si>
    <t>Labeling 
Required for 
Leave on</t>
    <phoneticPr fontId="2" type="noConversion"/>
  </si>
  <si>
    <t>Labeling
Required for 
Rinse off</t>
    <phoneticPr fontId="2" type="noConversion"/>
  </si>
  <si>
    <t>ALPHA-ISOMETHYL IONONE</t>
    <phoneticPr fontId="2" type="noConversion"/>
  </si>
  <si>
    <t>127-51-5</t>
    <phoneticPr fontId="2" type="noConversion"/>
  </si>
  <si>
    <t>AMYL CINNAMAL</t>
    <phoneticPr fontId="2" type="noConversion"/>
  </si>
  <si>
    <t>122-40-7</t>
    <phoneticPr fontId="2" type="noConversion"/>
  </si>
  <si>
    <t>AMYL CINNAMYL ALCOHOL</t>
    <phoneticPr fontId="2" type="noConversion"/>
  </si>
  <si>
    <t>101-85-9</t>
    <phoneticPr fontId="2" type="noConversion"/>
  </si>
  <si>
    <t>105-13-5</t>
    <phoneticPr fontId="2" type="noConversion"/>
  </si>
  <si>
    <t>100-51-6</t>
    <phoneticPr fontId="2" type="noConversion"/>
  </si>
  <si>
    <t>BENZYL BENZOATE</t>
    <phoneticPr fontId="2" type="noConversion"/>
  </si>
  <si>
    <t>120-51-4</t>
    <phoneticPr fontId="2" type="noConversion"/>
  </si>
  <si>
    <t>BENZYL CINNAMATE</t>
    <phoneticPr fontId="2" type="noConversion"/>
  </si>
  <si>
    <t>103-41-3</t>
    <phoneticPr fontId="2" type="noConversion"/>
  </si>
  <si>
    <t>BENZYL SALICYLATE</t>
    <phoneticPr fontId="2" type="noConversion"/>
  </si>
  <si>
    <t>118-58-1</t>
    <phoneticPr fontId="2" type="noConversion"/>
  </si>
  <si>
    <t>CINNAMAL</t>
    <phoneticPr fontId="2" type="noConversion"/>
  </si>
  <si>
    <t>104-55-2</t>
    <phoneticPr fontId="2" type="noConversion"/>
  </si>
  <si>
    <t>CINNAMYL ALCOHOL</t>
    <phoneticPr fontId="2" type="noConversion"/>
  </si>
  <si>
    <t>CITRAL</t>
    <phoneticPr fontId="2" type="noConversion"/>
  </si>
  <si>
    <t>5392-40-5</t>
    <phoneticPr fontId="2" type="noConversion"/>
  </si>
  <si>
    <t>CITRONELLOL</t>
    <phoneticPr fontId="2" type="noConversion"/>
  </si>
  <si>
    <t>106-22-9</t>
    <phoneticPr fontId="2" type="noConversion"/>
  </si>
  <si>
    <t>COUMARINE</t>
    <phoneticPr fontId="2" type="noConversion"/>
  </si>
  <si>
    <t>91-64-5</t>
    <phoneticPr fontId="2" type="noConversion"/>
  </si>
  <si>
    <t>5989-27-5</t>
    <phoneticPr fontId="2" type="noConversion"/>
  </si>
  <si>
    <t>EUGENOL</t>
    <phoneticPr fontId="2" type="noConversion"/>
  </si>
  <si>
    <t>97-53-0</t>
    <phoneticPr fontId="2" type="noConversion"/>
  </si>
  <si>
    <t>FARNESOL</t>
    <phoneticPr fontId="2" type="noConversion"/>
  </si>
  <si>
    <t>4602-84-0</t>
    <phoneticPr fontId="2" type="noConversion"/>
  </si>
  <si>
    <t>GERANIOL</t>
    <phoneticPr fontId="2" type="noConversion"/>
  </si>
  <si>
    <t>106-24-1</t>
    <phoneticPr fontId="2" type="noConversion"/>
  </si>
  <si>
    <t>HEXYL CINNAMAL</t>
    <phoneticPr fontId="2" type="noConversion"/>
  </si>
  <si>
    <t>101-86-0</t>
    <phoneticPr fontId="2" type="noConversion"/>
  </si>
  <si>
    <t>107-75-5</t>
    <phoneticPr fontId="2" type="noConversion"/>
  </si>
  <si>
    <t>ISOEUGENOL</t>
    <phoneticPr fontId="2" type="noConversion"/>
  </si>
  <si>
    <t>97-54-1</t>
    <phoneticPr fontId="2" type="noConversion"/>
  </si>
  <si>
    <t>LINALOOL</t>
    <phoneticPr fontId="2" type="noConversion"/>
  </si>
  <si>
    <t>78-70-6</t>
    <phoneticPr fontId="2" type="noConversion"/>
  </si>
  <si>
    <t>31906-04-4</t>
    <phoneticPr fontId="2" type="noConversion"/>
  </si>
  <si>
    <t>80-54-6</t>
    <phoneticPr fontId="2" type="noConversion"/>
  </si>
  <si>
    <t>111-12-6</t>
    <phoneticPr fontId="2" type="noConversion"/>
  </si>
  <si>
    <t>90028-68-5</t>
    <phoneticPr fontId="2" type="noConversion"/>
  </si>
  <si>
    <t>90028-67-4</t>
    <phoneticPr fontId="2" type="noConversion"/>
  </si>
  <si>
    <t>BENZYL ALCOHOL</t>
    <phoneticPr fontId="2" type="noConversion"/>
  </si>
  <si>
    <t>104-54-1</t>
    <phoneticPr fontId="2" type="noConversion"/>
  </si>
  <si>
    <t>LIMONENE</t>
    <phoneticPr fontId="2" type="noConversion"/>
  </si>
  <si>
    <t>ANISE ALCHOHOL</t>
    <phoneticPr fontId="2" type="noConversion"/>
  </si>
  <si>
    <t xml:space="preserve">HYDROXYCITRONELLAL </t>
    <phoneticPr fontId="2" type="noConversion"/>
  </si>
  <si>
    <t>HYDROXYISOHEXYL 3-CYCLOHEXENE CARBOXALDEHYDE</t>
    <phoneticPr fontId="2" type="noConversion"/>
  </si>
  <si>
    <t>INCI NAME</t>
    <phoneticPr fontId="2" type="noConversion"/>
  </si>
  <si>
    <t>METHYL 2-OCTYNOATE</t>
    <phoneticPr fontId="2" type="noConversion"/>
  </si>
  <si>
    <t>EVERNIA PRUNASTRI EXTRACT</t>
    <phoneticPr fontId="2" type="noConversion"/>
  </si>
  <si>
    <t>EVERNIA FURFURACEA EXTRACT</t>
    <phoneticPr fontId="2" type="noConversion"/>
  </si>
  <si>
    <t xml:space="preserve">BUTYLPHENYL METHYLPROPIONAL </t>
    <phoneticPr fontId="2" type="noConversion"/>
  </si>
  <si>
    <t>AROMAJUNE</t>
    <phoneticPr fontId="2" type="noConversion"/>
  </si>
  <si>
    <t>KISSPRODUCTS</t>
    <phoneticPr fontId="2" type="noConversion"/>
  </si>
  <si>
    <t>PACIFIC MORNING</t>
    <phoneticPr fontId="2" type="noConversion"/>
  </si>
  <si>
    <t>Even if the content is indicated blank, small amounts of allergic substances may be detected 
from production by-products or impurities of the raw materials used.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</si>
</sst>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7" formatCode="0.000_ "/>
    <numFmt numFmtId="178" formatCode="0.00_);[Red]\(0.00\)"/>
    <numFmt numFmtId="180" formatCode="0.0000%"/>
    <numFmt numFmtId="181" formatCode="0.0000_);[Red]\(0.0000\)"/>
    <numFmt numFmtId="183" formatCode="_(&quot;₩&quot;* #,##0_);_(&quot;₩&quot;* \(#,##0\);_(&quot;₩&quot;* &quot;-&quot;_);_(@_)"/>
    <numFmt numFmtId="184" formatCode="_(* #,##0_);_(* \(#,##0\);_(* &quot;-&quot;_);_(@_)"/>
  </numFmts>
  <fonts count="3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b/>
      <sz val="9"/>
      <name val="돋움"/>
      <family val="3"/>
      <charset val="129"/>
    </font>
    <font>
      <b/>
      <sz val="12"/>
      <name val="돋움"/>
      <family val="3"/>
      <charset val="129"/>
    </font>
    <font>
      <b/>
      <sz val="9"/>
      <name val="Arial"/>
      <family val="2"/>
    </font>
    <font>
      <sz val="10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sz val="9"/>
      <name val="돋움"/>
      <family val="3"/>
      <charset val="129"/>
    </font>
    <font>
      <sz val="11"/>
      <name val="Arial"/>
      <family val="2"/>
    </font>
    <font>
      <sz val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돋움"/>
      <family val="3"/>
      <charset val="129"/>
    </font>
    <font>
      <b/>
      <sz val="10"/>
      <color indexed="8"/>
      <name val="휴먼엑스포"/>
      <family val="1"/>
      <charset val="129"/>
    </font>
    <font>
      <u/>
      <sz val="11"/>
      <color indexed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0000FF"/>
      <name val="돋움"/>
      <family val="3"/>
      <charset val="129"/>
    </font>
    <font>
      <b/>
      <sz val="9"/>
      <color rgb="FF0000FF"/>
      <name val="돋움"/>
      <family val="3"/>
      <charset val="129"/>
    </font>
    <font>
      <sz val="11"/>
      <color theme="1"/>
      <name val="돋움"/>
      <family val="3"/>
      <charset val="129"/>
    </font>
    <font>
      <u/>
      <sz val="11"/>
      <color theme="10"/>
      <name val="돋움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gradientFill degree="90">
        <stop position="0">
          <color theme="0"/>
        </stop>
        <stop position="1">
          <color rgb="FFFFFF99"/>
        </stop>
      </gradientFill>
    </fill>
    <fill>
      <patternFill patternType="solid">
        <fgColor rgb="FFFFCC9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</borders>
  <cellStyleXfs count="561">
    <xf numFmtId="0" fontId="0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horizontal="left" vertical="center"/>
    </xf>
    <xf numFmtId="0" fontId="35" fillId="0" borderId="4">
      <alignment horizontal="left" vertical="center"/>
    </xf>
    <xf numFmtId="0" fontId="35" fillId="27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184" fontId="10" fillId="28" borderId="4" applyNumberFormat="0" applyBorder="0" applyAlignment="0" applyProtection="0">
      <alignment horizontal="center" vertical="center"/>
    </xf>
    <xf numFmtId="184" fontId="10" fillId="29" borderId="4" applyNumberFormat="0" applyBorder="0" applyAlignment="0" applyProtection="0">
      <alignment horizontal="center" vertical="center"/>
    </xf>
    <xf numFmtId="184" fontId="10" fillId="28" borderId="4" applyNumberFormat="0" applyBorder="0" applyAlignment="0" applyProtection="0">
      <alignment horizontal="center" vertical="center"/>
    </xf>
    <xf numFmtId="184" fontId="10" fillId="28" borderId="4" applyNumberFormat="0" applyBorder="0" applyAlignment="0" applyProtection="0">
      <alignment horizontal="center" vertical="center"/>
    </xf>
    <xf numFmtId="184" fontId="10" fillId="25" borderId="4" applyNumberFormat="0" applyBorder="0" applyAlignment="0" applyProtection="0">
      <alignment horizontal="center"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184" fontId="10" fillId="25" borderId="4" applyNumberFormat="0" applyBorder="0" applyAlignment="0" applyProtection="0">
      <alignment horizontal="center"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184" fontId="10" fillId="24" borderId="4" applyNumberFormat="0" applyBorder="0" applyAlignment="0" applyProtection="0">
      <alignment horizontal="center"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" fillId="0" borderId="0">
      <alignment vertical="center" wrapText="1"/>
    </xf>
    <xf numFmtId="0" fontId="36" fillId="0" borderId="0">
      <alignment vertical="center"/>
    </xf>
    <xf numFmtId="0" fontId="33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0" fontId="4" fillId="0" borderId="0" xfId="0" applyFont="1" applyAlignment="1" applyProtection="1">
      <alignment horizontal="left" vertical="center" indent="4"/>
    </xf>
    <xf numFmtId="0" fontId="2" fillId="0" borderId="0" xfId="0" applyFont="1" applyAlignment="1" applyProtection="1">
      <alignment horizontal="left" vertical="center" indent="4"/>
    </xf>
    <xf numFmtId="0" fontId="2" fillId="0" borderId="0" xfId="0" applyFont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5" fillId="0" borderId="0" xfId="0" applyFont="1" applyAlignment="1" applyProtection="1">
      <alignment vertical="center"/>
    </xf>
    <xf numFmtId="0" fontId="4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6" fillId="0" borderId="11" xfId="0" applyFont="1" applyBorder="1" applyProtection="1">
      <alignment vertical="center"/>
    </xf>
    <xf numFmtId="0" fontId="6" fillId="0" borderId="12" xfId="0" applyFont="1" applyBorder="1" applyProtection="1">
      <alignment vertical="center"/>
    </xf>
    <xf numFmtId="0" fontId="12" fillId="0" borderId="0" xfId="0" applyFont="1" applyAlignment="1" applyProtection="1">
      <alignment vertical="center"/>
    </xf>
    <xf numFmtId="0" fontId="12" fillId="0" borderId="0" xfId="0" applyFont="1" applyAlignment="1" applyProtection="1">
      <alignment horizontal="left" vertical="center"/>
    </xf>
    <xf numFmtId="0" fontId="6" fillId="0" borderId="13" xfId="0" applyFont="1" applyBorder="1" applyProtection="1">
      <alignment vertical="center"/>
    </xf>
    <xf numFmtId="0" fontId="6" fillId="0" borderId="14" xfId="0" applyFont="1" applyBorder="1" applyAlignment="1" applyProtection="1">
      <alignment vertical="center"/>
    </xf>
    <xf numFmtId="0" fontId="6" fillId="0" borderId="14" xfId="0" applyFont="1" applyBorder="1" applyProtection="1">
      <alignment vertical="center"/>
    </xf>
    <xf numFmtId="0" fontId="6" fillId="0" borderId="15" xfId="0" applyFont="1" applyBorder="1" applyProtection="1">
      <alignment vertical="center"/>
    </xf>
    <xf numFmtId="0" fontId="6" fillId="0" borderId="16" xfId="0" applyFont="1" applyBorder="1" applyProtection="1">
      <alignment vertical="center"/>
    </xf>
    <xf numFmtId="0" fontId="0" fillId="0" borderId="0" xfId="0" applyProtection="1">
      <alignment vertical="center"/>
    </xf>
    <xf numFmtId="0" fontId="0" fillId="0" borderId="0" xfId="0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 wrapText="1"/>
    </xf>
    <xf numFmtId="0" fontId="6" fillId="0" borderId="18" xfId="0" applyFont="1" applyBorder="1" applyAlignment="1" applyProtection="1">
      <alignment horizontal="center" vertical="center" wrapText="1"/>
    </xf>
    <xf numFmtId="0" fontId="10" fillId="0" borderId="0" xfId="0" applyFont="1" applyProtection="1">
      <alignment vertical="center"/>
    </xf>
    <xf numFmtId="0" fontId="9" fillId="0" borderId="19" xfId="0" applyFont="1" applyBorder="1" applyAlignment="1" applyProtection="1">
      <alignment horizontal="center" vertical="center"/>
    </xf>
    <xf numFmtId="0" fontId="9" fillId="0" borderId="20" xfId="0" applyFont="1" applyBorder="1" applyAlignment="1" applyProtection="1">
      <alignment horizontal="center" vertical="center"/>
    </xf>
    <xf numFmtId="180" fontId="9" fillId="0" borderId="21" xfId="0" applyNumberFormat="1" applyFont="1" applyBorder="1" applyAlignment="1" applyProtection="1">
      <alignment horizontal="center" vertical="center"/>
    </xf>
    <xf numFmtId="180" fontId="9" fillId="0" borderId="22" xfId="0" applyNumberFormat="1" applyFont="1" applyBorder="1" applyAlignment="1" applyProtection="1">
      <alignment horizontal="center" vertical="center"/>
    </xf>
    <xf numFmtId="178" fontId="10" fillId="0" borderId="23" xfId="0" applyNumberFormat="1" applyFont="1" applyBorder="1" applyProtection="1">
      <alignment vertical="center"/>
    </xf>
    <xf numFmtId="178" fontId="10" fillId="0" borderId="24" xfId="0" applyNumberFormat="1" applyFont="1" applyBorder="1" applyAlignment="1" applyProtection="1">
      <alignment horizontal="center" vertical="center"/>
    </xf>
    <xf numFmtId="180" fontId="9" fillId="0" borderId="4" xfId="367" applyNumberFormat="1" applyFont="1" applyBorder="1" applyAlignment="1" applyProtection="1">
      <alignment horizontal="center"/>
    </xf>
    <xf numFmtId="0" fontId="9" fillId="0" borderId="24" xfId="0" applyFont="1" applyBorder="1" applyAlignment="1" applyProtection="1">
      <alignment horizontal="center"/>
    </xf>
    <xf numFmtId="0" fontId="9" fillId="0" borderId="25" xfId="0" applyFont="1" applyBorder="1" applyAlignment="1" applyProtection="1">
      <alignment horizontal="center"/>
    </xf>
    <xf numFmtId="178" fontId="10" fillId="0" borderId="26" xfId="0" applyNumberFormat="1" applyFont="1" applyBorder="1" applyProtection="1">
      <alignment vertical="center"/>
    </xf>
    <xf numFmtId="178" fontId="10" fillId="0" borderId="4" xfId="0" applyNumberFormat="1" applyFont="1" applyBorder="1" applyAlignment="1" applyProtection="1">
      <alignment horizontal="center" vertical="center"/>
    </xf>
    <xf numFmtId="0" fontId="9" fillId="0" borderId="4" xfId="0" applyFont="1" applyBorder="1" applyAlignment="1" applyProtection="1">
      <alignment horizontal="center"/>
    </xf>
    <xf numFmtId="0" fontId="9" fillId="0" borderId="27" xfId="0" applyFont="1" applyBorder="1" applyAlignment="1" applyProtection="1">
      <alignment horizontal="center"/>
    </xf>
    <xf numFmtId="0" fontId="9" fillId="0" borderId="28" xfId="0" applyFont="1" applyBorder="1" applyAlignment="1" applyProtection="1">
      <alignment horizontal="center"/>
    </xf>
    <xf numFmtId="0" fontId="9" fillId="0" borderId="29" xfId="0" applyFont="1" applyBorder="1" applyAlignment="1" applyProtection="1">
      <alignment horizontal="center"/>
    </xf>
    <xf numFmtId="177" fontId="0" fillId="0" borderId="0" xfId="0" applyNumberFormat="1" applyProtection="1">
      <alignment vertical="center"/>
    </xf>
    <xf numFmtId="178" fontId="10" fillId="0" borderId="26" xfId="0" applyNumberFormat="1" applyFont="1" applyFill="1" applyBorder="1" applyProtection="1">
      <alignment vertical="center"/>
    </xf>
    <xf numFmtId="178" fontId="10" fillId="0" borderId="4" xfId="0" applyNumberFormat="1" applyFont="1" applyFill="1" applyBorder="1" applyAlignment="1" applyProtection="1">
      <alignment horizontal="center" vertical="center"/>
    </xf>
    <xf numFmtId="180" fontId="9" fillId="0" borderId="4" xfId="367" applyNumberFormat="1" applyFont="1" applyFill="1" applyBorder="1" applyAlignment="1" applyProtection="1">
      <alignment horizontal="center"/>
    </xf>
    <xf numFmtId="0" fontId="9" fillId="0" borderId="4" xfId="0" applyFont="1" applyFill="1" applyBorder="1" applyAlignment="1" applyProtection="1">
      <alignment horizontal="center"/>
    </xf>
    <xf numFmtId="0" fontId="9" fillId="0" borderId="27" xfId="0" applyFont="1" applyFill="1" applyBorder="1" applyAlignment="1" applyProtection="1">
      <alignment horizontal="center"/>
    </xf>
    <xf numFmtId="0" fontId="10" fillId="0" borderId="0" xfId="0" applyFont="1" applyFill="1" applyProtection="1">
      <alignment vertical="center"/>
    </xf>
    <xf numFmtId="181" fontId="9" fillId="0" borderId="24" xfId="367" applyNumberFormat="1" applyFont="1" applyBorder="1" applyAlignment="1" applyProtection="1">
      <alignment horizontal="center" vertical="center"/>
    </xf>
    <xf numFmtId="181" fontId="9" fillId="0" borderId="4" xfId="367" applyNumberFormat="1" applyFont="1" applyBorder="1" applyAlignment="1" applyProtection="1">
      <alignment horizontal="center" vertical="center"/>
    </xf>
    <xf numFmtId="178" fontId="10" fillId="0" borderId="26" xfId="0" applyNumberFormat="1" applyFont="1" applyFill="1" applyBorder="1" applyAlignment="1" applyProtection="1">
      <alignment vertical="center" wrapText="1"/>
    </xf>
    <xf numFmtId="178" fontId="10" fillId="0" borderId="30" xfId="0" applyNumberFormat="1" applyFont="1" applyFill="1" applyBorder="1" applyProtection="1">
      <alignment vertical="center"/>
    </xf>
    <xf numFmtId="178" fontId="10" fillId="0" borderId="28" xfId="0" applyNumberFormat="1" applyFont="1" applyFill="1" applyBorder="1" applyAlignment="1" applyProtection="1">
      <alignment horizontal="center" vertical="center"/>
    </xf>
    <xf numFmtId="181" fontId="9" fillId="0" borderId="28" xfId="367" applyNumberFormat="1" applyFont="1" applyFill="1" applyBorder="1" applyAlignment="1" applyProtection="1">
      <alignment horizontal="center" vertical="center"/>
    </xf>
    <xf numFmtId="180" fontId="9" fillId="0" borderId="28" xfId="367" applyNumberFormat="1" applyFont="1" applyFill="1" applyBorder="1" applyAlignment="1" applyProtection="1">
      <alignment horizontal="center"/>
    </xf>
    <xf numFmtId="0" fontId="0" fillId="0" borderId="46" xfId="0" applyBorder="1" applyAlignment="1">
      <alignment vertical="center" wrapText="1"/>
    </xf>
    <xf numFmtId="0" fontId="0" fillId="0" borderId="46" xfId="0" applyBorder="1">
      <alignment vertical="center"/>
    </xf>
    <xf numFmtId="0" fontId="8" fillId="0" borderId="41" xfId="0" applyFont="1" applyFill="1" applyBorder="1" applyAlignment="1" applyProtection="1">
      <alignment vertical="center"/>
    </xf>
    <xf numFmtId="0" fontId="11" fillId="0" borderId="42" xfId="0" applyFont="1" applyBorder="1" applyAlignment="1" applyProtection="1">
      <alignment vertical="center"/>
    </xf>
    <xf numFmtId="180" fontId="8" fillId="0" borderId="37" xfId="0" applyNumberFormat="1" applyFont="1" applyFill="1" applyBorder="1" applyAlignment="1" applyProtection="1">
      <alignment horizontal="left" vertical="center"/>
    </xf>
    <xf numFmtId="180" fontId="11" fillId="0" borderId="43" xfId="0" applyNumberFormat="1" applyFont="1" applyBorder="1" applyAlignment="1" applyProtection="1">
      <alignment horizontal="left" vertical="center"/>
    </xf>
    <xf numFmtId="180" fontId="8" fillId="0" borderId="37" xfId="0" applyNumberFormat="1" applyFont="1" applyFill="1" applyBorder="1" applyAlignment="1" applyProtection="1">
      <alignment horizontal="left"/>
    </xf>
    <xf numFmtId="0" fontId="11" fillId="0" borderId="43" xfId="0" applyFont="1" applyBorder="1" applyAlignment="1" applyProtection="1">
      <alignment vertical="center"/>
    </xf>
    <xf numFmtId="14" fontId="6" fillId="0" borderId="39" xfId="0" applyNumberFormat="1" applyFont="1" applyBorder="1" applyAlignment="1" applyProtection="1">
      <alignment horizontal="left" vertical="center"/>
    </xf>
    <xf numFmtId="0" fontId="11" fillId="0" borderId="44" xfId="0" applyFont="1" applyBorder="1" applyAlignment="1" applyProtection="1">
      <alignment horizontal="left" vertical="center"/>
    </xf>
    <xf numFmtId="0" fontId="5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4" fillId="0" borderId="41" xfId="0" applyFont="1" applyBorder="1" applyAlignment="1" applyProtection="1">
      <alignment vertical="center"/>
    </xf>
    <xf numFmtId="0" fontId="11" fillId="0" borderId="45" xfId="0" applyFont="1" applyBorder="1" applyAlignment="1" applyProtection="1">
      <alignment vertical="center"/>
    </xf>
    <xf numFmtId="0" fontId="4" fillId="0" borderId="37" xfId="0" applyFont="1" applyBorder="1" applyAlignment="1" applyProtection="1">
      <alignment vertical="center"/>
    </xf>
    <xf numFmtId="0" fontId="11" fillId="0" borderId="38" xfId="0" applyFont="1" applyBorder="1" applyAlignment="1" applyProtection="1">
      <alignment vertical="center"/>
    </xf>
    <xf numFmtId="0" fontId="6" fillId="0" borderId="17" xfId="0" applyFont="1" applyBorder="1" applyAlignment="1" applyProtection="1">
      <alignment horizontal="center" vertical="center" wrapText="1"/>
    </xf>
    <xf numFmtId="0" fontId="6" fillId="0" borderId="19" xfId="0" applyFont="1" applyBorder="1" applyAlignment="1" applyProtection="1">
      <alignment horizontal="center" vertical="center" wrapText="1"/>
    </xf>
    <xf numFmtId="0" fontId="6" fillId="0" borderId="21" xfId="0" applyFont="1" applyBorder="1" applyAlignment="1" applyProtection="1">
      <alignment horizontal="center" vertical="center" wrapText="1"/>
    </xf>
    <xf numFmtId="178" fontId="6" fillId="0" borderId="31" xfId="0" applyNumberFormat="1" applyFont="1" applyBorder="1" applyAlignment="1" applyProtection="1">
      <alignment horizontal="center" vertical="center"/>
    </xf>
    <xf numFmtId="0" fontId="6" fillId="0" borderId="32" xfId="0" applyFont="1" applyBorder="1" applyAlignment="1" applyProtection="1">
      <alignment horizontal="center" vertical="center"/>
    </xf>
    <xf numFmtId="0" fontId="6" fillId="0" borderId="33" xfId="0" applyFont="1" applyBorder="1" applyAlignment="1" applyProtection="1">
      <alignment horizontal="center" vertical="center"/>
    </xf>
    <xf numFmtId="178" fontId="6" fillId="0" borderId="34" xfId="0" applyNumberFormat="1" applyFont="1" applyBorder="1" applyAlignment="1" applyProtection="1">
      <alignment horizontal="center" vertical="center"/>
    </xf>
    <xf numFmtId="0" fontId="6" fillId="0" borderId="35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center" vertical="center"/>
    </xf>
    <xf numFmtId="178" fontId="6" fillId="0" borderId="34" xfId="367" applyNumberFormat="1" applyFont="1" applyBorder="1" applyAlignment="1" applyProtection="1">
      <alignment horizontal="center" vertical="center" wrapText="1"/>
    </xf>
    <xf numFmtId="178" fontId="6" fillId="0" borderId="35" xfId="367" applyNumberFormat="1" applyFont="1" applyBorder="1" applyAlignment="1" applyProtection="1">
      <alignment horizontal="center" vertical="center" wrapText="1"/>
    </xf>
    <xf numFmtId="178" fontId="6" fillId="0" borderId="36" xfId="367" applyNumberFormat="1" applyFont="1" applyBorder="1" applyAlignment="1" applyProtection="1">
      <alignment horizontal="center" vertical="center" wrapText="1"/>
    </xf>
    <xf numFmtId="0" fontId="6" fillId="0" borderId="39" xfId="0" applyFont="1" applyBorder="1" applyAlignment="1" applyProtection="1">
      <alignment vertical="center"/>
    </xf>
    <xf numFmtId="0" fontId="11" fillId="0" borderId="40" xfId="0" applyFont="1" applyBorder="1" applyAlignment="1" applyProtection="1">
      <alignment vertical="center"/>
    </xf>
  </cellXfs>
  <cellStyles count="561">
    <cellStyle name="1.월말마감업체" xfId="1" xr:uid="{7E599889-6B40-4978-88BC-200A18E75094}"/>
    <cellStyle name="2.월말마감끝낸업체" xfId="2" xr:uid="{2964F494-5DFD-44C6-B9DB-9BFA454DA46C}"/>
    <cellStyle name="20% - 강조색1 10" xfId="3" xr:uid="{FEBBAE39-5235-4C93-8669-5D00D51C265E}"/>
    <cellStyle name="20% - 강조색1 11" xfId="4" xr:uid="{4BAB3D55-8428-4410-B963-73946BA6E45A}"/>
    <cellStyle name="20% - 강조색1 12" xfId="5" xr:uid="{3D9AAB96-0DF3-47E2-AE25-130A829C82EB}"/>
    <cellStyle name="20% - 강조색1 13" xfId="6" xr:uid="{45E533C7-8B57-44B1-AB1D-990FD2D07443}"/>
    <cellStyle name="20% - 강조색1 14" xfId="7" xr:uid="{83B374F3-6D77-4978-81DB-78319D15ACBA}"/>
    <cellStyle name="20% - 강조색1 2" xfId="8" xr:uid="{5E288C41-917C-41F9-BF1F-E492F37C6F20}"/>
    <cellStyle name="20% - 강조색1 3" xfId="9" xr:uid="{D6844A8D-A79D-492F-B932-BF2393F77D40}"/>
    <cellStyle name="20% - 강조색1 4" xfId="10" xr:uid="{83E2D357-9427-4B54-873F-8B046270A52A}"/>
    <cellStyle name="20% - 강조색1 5" xfId="11" xr:uid="{63077A8A-139F-4BE7-BFA6-FDA89E15A311}"/>
    <cellStyle name="20% - 강조색1 6" xfId="12" xr:uid="{D9BA3FE3-2BC8-4214-A315-00F8A927E970}"/>
    <cellStyle name="20% - 강조색1 7" xfId="13" xr:uid="{449F73AD-02E9-4C0D-B8F7-8DF1BF8A346C}"/>
    <cellStyle name="20% - 강조색1 8" xfId="14" xr:uid="{2D15D110-75A0-4E4C-A021-BFA2C8F14B4C}"/>
    <cellStyle name="20% - 강조색1 9" xfId="15" xr:uid="{8EB0A3E0-204B-409F-9559-867240E69DE0}"/>
    <cellStyle name="20% - 강조색2 10" xfId="16" xr:uid="{F0E1F296-23F0-4A97-877C-961FEA5BD3CD}"/>
    <cellStyle name="20% - 강조색2 11" xfId="17" xr:uid="{38B6655B-C529-454E-997A-95407244EA32}"/>
    <cellStyle name="20% - 강조색2 12" xfId="18" xr:uid="{797A5E45-3C92-4AD6-92E0-9503C2AB31C0}"/>
    <cellStyle name="20% - 강조색2 13" xfId="19" xr:uid="{A45A5F9F-F427-4697-870C-F6D42207ED06}"/>
    <cellStyle name="20% - 강조색2 14" xfId="20" xr:uid="{F23C5F18-6C23-4833-A232-4F648D539EAE}"/>
    <cellStyle name="20% - 강조색2 2" xfId="21" xr:uid="{642B406C-759C-434C-83EC-54987B0BA1B7}"/>
    <cellStyle name="20% - 강조색2 3" xfId="22" xr:uid="{E010879C-16A7-4F63-9609-DC2C0A0809C6}"/>
    <cellStyle name="20% - 강조색2 4" xfId="23" xr:uid="{06410A5F-3101-4631-BF84-144BB0D83FF8}"/>
    <cellStyle name="20% - 강조색2 5" xfId="24" xr:uid="{E06FF160-890A-4A16-A47F-220EA890DA2F}"/>
    <cellStyle name="20% - 강조색2 6" xfId="25" xr:uid="{B92FE3C0-01E6-4A45-A693-07EE28BA9F28}"/>
    <cellStyle name="20% - 강조색2 7" xfId="26" xr:uid="{48341382-18F1-4694-A7AD-43EC5D290552}"/>
    <cellStyle name="20% - 강조색2 8" xfId="27" xr:uid="{CC71E813-0701-48D7-8E3F-59B2BE9EF802}"/>
    <cellStyle name="20% - 강조색2 9" xfId="28" xr:uid="{86C7740B-46A4-4D3C-BD75-D76B2BD0477E}"/>
    <cellStyle name="20% - 강조색3 10" xfId="29" xr:uid="{70203C4F-AD84-4EC4-8180-988FAA3BA7B5}"/>
    <cellStyle name="20% - 강조색3 11" xfId="30" xr:uid="{E4635E82-2456-4119-B3A3-BC1D463F5DEF}"/>
    <cellStyle name="20% - 강조색3 12" xfId="31" xr:uid="{849A22C9-A0BD-4F52-BEA8-19C3416BD836}"/>
    <cellStyle name="20% - 강조색3 13" xfId="32" xr:uid="{20843B21-7C92-4608-8811-26063459B9FE}"/>
    <cellStyle name="20% - 강조색3 14" xfId="33" xr:uid="{782EC3BD-D744-41EE-9449-1B82A0375E3A}"/>
    <cellStyle name="20% - 강조색3 2" xfId="34" xr:uid="{086AAD1B-E524-4D1B-9250-FA41E4BE1119}"/>
    <cellStyle name="20% - 강조색3 3" xfId="35" xr:uid="{9894457F-33CE-4A3C-BD57-2FD83E1CDE18}"/>
    <cellStyle name="20% - 강조색3 4" xfId="36" xr:uid="{85DF1555-067E-45CF-933C-3C07B16C2064}"/>
    <cellStyle name="20% - 강조색3 5" xfId="37" xr:uid="{09E9F429-80DC-4AFF-B1CE-86BC6AD04BE8}"/>
    <cellStyle name="20% - 강조색3 6" xfId="38" xr:uid="{C57E414B-85DA-4C50-A0FD-CF203F6FCCE8}"/>
    <cellStyle name="20% - 강조색3 7" xfId="39" xr:uid="{5BEEF581-E1DE-4819-B8F4-C6B30F3CA692}"/>
    <cellStyle name="20% - 강조색3 8" xfId="40" xr:uid="{C02A9DF6-3D7B-4557-8ED7-F7E0FE76BB9C}"/>
    <cellStyle name="20% - 강조색3 9" xfId="41" xr:uid="{BE4D5B6C-4B86-43CA-AD8A-C52748A0F2DB}"/>
    <cellStyle name="20% - 강조색4 10" xfId="42" xr:uid="{D0D44B75-8E08-48DD-8597-2737354C2782}"/>
    <cellStyle name="20% - 강조색4 11" xfId="43" xr:uid="{DFC8AFAE-40AD-4D55-921C-FF99D1F4FFAE}"/>
    <cellStyle name="20% - 강조색4 12" xfId="44" xr:uid="{CBB8FEFC-6524-4EEC-ACC7-B16F56650F9C}"/>
    <cellStyle name="20% - 강조색4 13" xfId="45" xr:uid="{4C3EDC55-073F-4C2E-9D03-8471EB6F199B}"/>
    <cellStyle name="20% - 강조색4 14" xfId="46" xr:uid="{012AD5B5-CA33-4D71-9249-FA71CC7E0C7A}"/>
    <cellStyle name="20% - 강조색4 2" xfId="47" xr:uid="{1A07F6C5-AA1D-44F5-80F8-8ADAD43FF7D1}"/>
    <cellStyle name="20% - 강조색4 3" xfId="48" xr:uid="{557E28C8-D278-439E-9049-9639152D0079}"/>
    <cellStyle name="20% - 강조색4 4" xfId="49" xr:uid="{1DB03C47-3EBF-48B1-8746-E93205DB1FB7}"/>
    <cellStyle name="20% - 강조색4 5" xfId="50" xr:uid="{D3A6FC51-8110-4847-AE97-DCD3616E257F}"/>
    <cellStyle name="20% - 강조색4 6" xfId="51" xr:uid="{DC3883C3-F857-41AB-A0A2-C0120E73D5CB}"/>
    <cellStyle name="20% - 강조색4 7" xfId="52" xr:uid="{C718F20C-6DFD-4789-A77F-BAD069B4611B}"/>
    <cellStyle name="20% - 강조색4 8" xfId="53" xr:uid="{B5239359-DF6B-4896-B2A6-A6394A096C21}"/>
    <cellStyle name="20% - 강조색4 9" xfId="54" xr:uid="{4320AA0A-BA95-4D3A-ABD2-670715E3FB5B}"/>
    <cellStyle name="20% - 강조색5 10" xfId="55" xr:uid="{2B1016D5-FA74-4990-B290-ED7C81825135}"/>
    <cellStyle name="20% - 강조색5 11" xfId="56" xr:uid="{285E2CA5-B4A3-450E-AC21-F532E3BC8E0C}"/>
    <cellStyle name="20% - 강조색5 12" xfId="57" xr:uid="{4A4AD5B8-2491-4D30-AF36-904163BF29AD}"/>
    <cellStyle name="20% - 강조색5 13" xfId="58" xr:uid="{4D3A10D7-C497-4247-A642-CD99920E3D3E}"/>
    <cellStyle name="20% - 강조색5 14" xfId="59" xr:uid="{D1224D15-6529-4CE6-AC8B-3C1469E6760E}"/>
    <cellStyle name="20% - 강조색5 2" xfId="60" xr:uid="{003031D1-32E8-4465-AF41-95283B8494FF}"/>
    <cellStyle name="20% - 강조색5 3" xfId="61" xr:uid="{A17E9403-7B47-4509-915C-B74634957C14}"/>
    <cellStyle name="20% - 강조색5 4" xfId="62" xr:uid="{FE8EBAD1-363A-44B6-93FE-A074594CB65D}"/>
    <cellStyle name="20% - 강조색5 5" xfId="63" xr:uid="{8FB0B701-431C-4593-A571-39773F9D1BE7}"/>
    <cellStyle name="20% - 강조색5 6" xfId="64" xr:uid="{1542A376-E620-4CCA-AD4E-5BD156B0BE53}"/>
    <cellStyle name="20% - 강조색5 7" xfId="65" xr:uid="{67FE6A34-C3EA-41E1-89E6-8362C81AFD1C}"/>
    <cellStyle name="20% - 강조색5 8" xfId="66" xr:uid="{0CBC71C7-AF28-4854-A1F0-3FE3DE571A90}"/>
    <cellStyle name="20% - 강조색5 9" xfId="67" xr:uid="{0444BCFC-E0CA-422D-B4A3-C2736319008F}"/>
    <cellStyle name="20% - 강조색6 10" xfId="68" xr:uid="{E1C1334A-5CD8-4F30-94B5-F7DD2FADC4DB}"/>
    <cellStyle name="20% - 강조색6 11" xfId="69" xr:uid="{1915B53F-7E20-4843-AB47-68739F33FAF0}"/>
    <cellStyle name="20% - 강조색6 12" xfId="70" xr:uid="{425C8374-9EA1-459E-B085-3A48022B23FD}"/>
    <cellStyle name="20% - 강조색6 13" xfId="71" xr:uid="{F9F8F192-D6DE-4F7D-806E-A4292283D649}"/>
    <cellStyle name="20% - 강조색6 14" xfId="72" xr:uid="{A6C7B64F-25CD-4071-8F5E-1D1FF2D4C1AC}"/>
    <cellStyle name="20% - 강조색6 2" xfId="73" xr:uid="{7F6BB396-C09A-4388-A75D-5632F596FF5E}"/>
    <cellStyle name="20% - 강조색6 3" xfId="74" xr:uid="{90A1684B-FF1D-49B1-8BA4-4A5911D5DB8E}"/>
    <cellStyle name="20% - 강조색6 4" xfId="75" xr:uid="{DE7B2455-818C-4A9A-891D-B6A2F35C8B42}"/>
    <cellStyle name="20% - 강조색6 5" xfId="76" xr:uid="{1FBE6FE9-49CE-4EA1-81A9-5D8F8B757EB3}"/>
    <cellStyle name="20% - 강조색6 6" xfId="77" xr:uid="{46E34216-8BF7-4498-B316-3BC865782E83}"/>
    <cellStyle name="20% - 강조색6 7" xfId="78" xr:uid="{6796A35A-3E87-4B31-8955-69C1E6C40DA9}"/>
    <cellStyle name="20% - 강조색6 8" xfId="79" xr:uid="{8011B6B5-75CC-4213-BA14-53294A3F5F6F}"/>
    <cellStyle name="20% - 강조색6 9" xfId="80" xr:uid="{550F975B-601F-4EA8-9EE4-2D0BB1115D81}"/>
    <cellStyle name="40% - 강조색1 10" xfId="81" xr:uid="{106FB3B2-E4E1-4332-9397-C1C99C595CF9}"/>
    <cellStyle name="40% - 강조색1 11" xfId="82" xr:uid="{05C40BD4-E9AC-42F2-B503-0BE02322D04E}"/>
    <cellStyle name="40% - 강조색1 12" xfId="83" xr:uid="{9D7FE98F-1A85-41A0-836E-0D364A4ED0CB}"/>
    <cellStyle name="40% - 강조색1 13" xfId="84" xr:uid="{93A9FB5E-3ADA-4748-A372-E27461FDAF99}"/>
    <cellStyle name="40% - 강조색1 14" xfId="85" xr:uid="{A7657282-0BD9-4B66-8E9B-ED80F12A1928}"/>
    <cellStyle name="40% - 강조색1 2" xfId="86" xr:uid="{35C6F753-B80A-4E6A-87DA-E20BDC6FE85C}"/>
    <cellStyle name="40% - 강조색1 3" xfId="87" xr:uid="{4142387F-C707-4C1A-BF6D-5AC6F034693F}"/>
    <cellStyle name="40% - 강조색1 4" xfId="88" xr:uid="{F643AA7A-EFAF-49BA-9F30-75F6AD2E86CE}"/>
    <cellStyle name="40% - 강조색1 5" xfId="89" xr:uid="{9505D1C6-2549-4630-AE5E-A434106298C7}"/>
    <cellStyle name="40% - 강조색1 6" xfId="90" xr:uid="{8CBD18F9-4BBC-4603-8149-7AA3B830F108}"/>
    <cellStyle name="40% - 강조색1 7" xfId="91" xr:uid="{DFA69540-1DB6-4F3F-BD34-2F98F2CDFCEF}"/>
    <cellStyle name="40% - 강조색1 8" xfId="92" xr:uid="{3A5EA32C-CEE8-4FCA-9133-0059B98E3813}"/>
    <cellStyle name="40% - 강조색1 9" xfId="93" xr:uid="{AA4CD883-EBE7-4039-9C28-BDC6912E7A19}"/>
    <cellStyle name="40% - 강조색2 10" xfId="94" xr:uid="{D98B34AF-D37F-44C7-AE19-E562203351D7}"/>
    <cellStyle name="40% - 강조색2 11" xfId="95" xr:uid="{10029A26-2350-4F30-B77B-D3E51755BC11}"/>
    <cellStyle name="40% - 강조색2 12" xfId="96" xr:uid="{71D29D29-AC15-4DCF-AD69-5BCF1DD6F705}"/>
    <cellStyle name="40% - 강조색2 13" xfId="97" xr:uid="{E13F6DA7-F76E-457A-B295-6BDC8F302AC3}"/>
    <cellStyle name="40% - 강조색2 14" xfId="98" xr:uid="{400E5EB3-CC5D-448C-902D-C63CCD90DDF4}"/>
    <cellStyle name="40% - 강조색2 2" xfId="99" xr:uid="{BCE384DF-C7FE-4B48-80F8-786FB5E1C0DE}"/>
    <cellStyle name="40% - 강조색2 3" xfId="100" xr:uid="{71BB556E-8E37-4EB9-BBC6-3C362A015BB6}"/>
    <cellStyle name="40% - 강조색2 4" xfId="101" xr:uid="{7F0D8F2E-1AC9-4B84-BC4E-9D42704E1052}"/>
    <cellStyle name="40% - 강조색2 5" xfId="102" xr:uid="{3872BF86-4B0C-4B36-AC50-58CD8108A2E8}"/>
    <cellStyle name="40% - 강조색2 6" xfId="103" xr:uid="{F3F75F40-AAD8-408E-9197-D4B2088FE23F}"/>
    <cellStyle name="40% - 강조색2 7" xfId="104" xr:uid="{03B9274F-65F8-4114-8C36-728D3DA18D82}"/>
    <cellStyle name="40% - 강조색2 8" xfId="105" xr:uid="{4CBD42F0-4521-4E28-B445-9CA88E55F7DF}"/>
    <cellStyle name="40% - 강조색2 9" xfId="106" xr:uid="{FF9519D2-71FE-495D-A936-821551248CCE}"/>
    <cellStyle name="40% - 강조색3 10" xfId="107" xr:uid="{5A24A4B9-B1E6-4245-A6E8-25949F22DF1E}"/>
    <cellStyle name="40% - 강조색3 11" xfId="108" xr:uid="{5FE76F1C-A355-47A4-A017-BAF93F1B0EFF}"/>
    <cellStyle name="40% - 강조색3 12" xfId="109" xr:uid="{137C25DA-3F92-4D8A-BB49-B67A8D8F5EA6}"/>
    <cellStyle name="40% - 강조색3 13" xfId="110" xr:uid="{5679F618-0E43-403B-A4AA-1F5E68247AC0}"/>
    <cellStyle name="40% - 강조색3 14" xfId="111" xr:uid="{413FE501-28E4-4813-8615-51DD8EE4FA54}"/>
    <cellStyle name="40% - 강조색3 2" xfId="112" xr:uid="{7CD754DD-0248-4615-B651-3F05DB0EB199}"/>
    <cellStyle name="40% - 강조색3 3" xfId="113" xr:uid="{7A172588-479E-44A4-91B9-A6518119EEFE}"/>
    <cellStyle name="40% - 강조색3 4" xfId="114" xr:uid="{0EA7CFA0-CB23-4B76-B1E4-B7EF5EEF51B9}"/>
    <cellStyle name="40% - 강조색3 5" xfId="115" xr:uid="{7C03E7D6-F11E-4145-835A-D8A4AF899B7F}"/>
    <cellStyle name="40% - 강조색3 6" xfId="116" xr:uid="{8C3F8623-CAFC-4C7F-A163-95168742956C}"/>
    <cellStyle name="40% - 강조색3 7" xfId="117" xr:uid="{C335A69E-E363-4B71-BFD0-6EF3590566E8}"/>
    <cellStyle name="40% - 강조색3 8" xfId="118" xr:uid="{D5FCD48A-3D96-4435-A08E-E81D37D21844}"/>
    <cellStyle name="40% - 강조색3 9" xfId="119" xr:uid="{3A4CC005-E213-4A81-BA7B-2BECD8F47A10}"/>
    <cellStyle name="40% - 강조색4 10" xfId="120" xr:uid="{CC8CCF89-3164-41CF-B1D4-7BECF8826342}"/>
    <cellStyle name="40% - 강조색4 11" xfId="121" xr:uid="{895906A0-5821-4819-A586-640E21877DF7}"/>
    <cellStyle name="40% - 강조색4 12" xfId="122" xr:uid="{C43C6BC3-4BC0-43F8-A09F-BAFDFE639576}"/>
    <cellStyle name="40% - 강조색4 13" xfId="123" xr:uid="{B8B12D52-D1E0-4E96-BAD5-F3C6C53A8680}"/>
    <cellStyle name="40% - 강조색4 14" xfId="124" xr:uid="{E35C6FF8-AC4D-4C0F-BAA6-D367ADE077B1}"/>
    <cellStyle name="40% - 강조색4 2" xfId="125" xr:uid="{2D819C72-A5EA-448A-8DAE-9010A17AB752}"/>
    <cellStyle name="40% - 강조색4 3" xfId="126" xr:uid="{0D655E29-DCCD-43D4-899A-703280A5F7B5}"/>
    <cellStyle name="40% - 강조색4 4" xfId="127" xr:uid="{D95E5369-B9DC-42B8-9B50-F88A49C80E92}"/>
    <cellStyle name="40% - 강조색4 5" xfId="128" xr:uid="{FB44F159-6537-4835-ADEA-94F87B3E0B07}"/>
    <cellStyle name="40% - 강조색4 6" xfId="129" xr:uid="{D0E46D68-2CB4-4EF3-BB32-13DB7D579177}"/>
    <cellStyle name="40% - 강조색4 7" xfId="130" xr:uid="{0F232CE2-262A-4C64-A91E-D907C9F82597}"/>
    <cellStyle name="40% - 강조색4 8" xfId="131" xr:uid="{22F1B598-4A9E-4EA6-8A9F-D11344580D15}"/>
    <cellStyle name="40% - 강조색4 9" xfId="132" xr:uid="{67ACF5C4-27C7-4A9E-915D-15CE6C51C2CF}"/>
    <cellStyle name="40% - 강조색5 10" xfId="133" xr:uid="{91D56D56-8D16-475C-8E77-E41D9A4D16F6}"/>
    <cellStyle name="40% - 강조색5 11" xfId="134" xr:uid="{A7351153-8EF1-485A-8215-B358583FB3DF}"/>
    <cellStyle name="40% - 강조색5 12" xfId="135" xr:uid="{2EC0ED2B-7226-4874-AACB-C9154D9AF6F0}"/>
    <cellStyle name="40% - 강조색5 13" xfId="136" xr:uid="{8E4CF4C9-A0E4-43E6-AFF4-20C29AB2A944}"/>
    <cellStyle name="40% - 강조색5 14" xfId="137" xr:uid="{C4E9F0EB-8E39-4C52-9C38-4E3226CE13A5}"/>
    <cellStyle name="40% - 강조색5 2" xfId="138" xr:uid="{BC054FC1-9C6D-4808-ACBA-F438D7ED2B5C}"/>
    <cellStyle name="40% - 강조색5 3" xfId="139" xr:uid="{06445E77-4B3F-4088-BCC4-940B70C690CD}"/>
    <cellStyle name="40% - 강조색5 4" xfId="140" xr:uid="{43B3994C-0E44-4268-842D-FB4FFB445FFC}"/>
    <cellStyle name="40% - 강조색5 5" xfId="141" xr:uid="{DC18B38A-583D-41E5-8555-E4C3119D2B7C}"/>
    <cellStyle name="40% - 강조색5 6" xfId="142" xr:uid="{CB6F266C-637B-4F5E-BA4E-95E202F8D34A}"/>
    <cellStyle name="40% - 강조색5 7" xfId="143" xr:uid="{F969C0F5-83DC-4768-A567-A9C5E936D0F1}"/>
    <cellStyle name="40% - 강조색5 8" xfId="144" xr:uid="{0BD66CEE-7669-4C0E-9692-D8B85CE90A01}"/>
    <cellStyle name="40% - 강조색5 9" xfId="145" xr:uid="{686861F6-A21C-4F93-87E3-3BEED389D9D2}"/>
    <cellStyle name="40% - 강조색6 10" xfId="146" xr:uid="{F7A8A6C1-FDB5-435E-BA29-A071D93E0B3B}"/>
    <cellStyle name="40% - 강조색6 11" xfId="147" xr:uid="{9D69C087-1A83-473F-95B5-6BFA0957E973}"/>
    <cellStyle name="40% - 강조색6 12" xfId="148" xr:uid="{0CE9809E-F252-4E11-A3BE-509C1E820478}"/>
    <cellStyle name="40% - 강조색6 13" xfId="149" xr:uid="{D56CC971-C4A3-46A1-91A1-87C2B732B161}"/>
    <cellStyle name="40% - 강조색6 14" xfId="150" xr:uid="{FF014440-05F1-4E1C-A42B-40635F15C0D7}"/>
    <cellStyle name="40% - 강조색6 2" xfId="151" xr:uid="{161FF0B4-44FB-4303-8593-02183ADED20F}"/>
    <cellStyle name="40% - 강조색6 3" xfId="152" xr:uid="{38DDBCE6-69FC-455B-83AA-53CD41B8FE6E}"/>
    <cellStyle name="40% - 강조색6 4" xfId="153" xr:uid="{C962718E-6B4B-4813-8EFD-696AB9FB936D}"/>
    <cellStyle name="40% - 강조색6 5" xfId="154" xr:uid="{E3FA9B1D-35A0-4D91-AF6F-6EE4546990A7}"/>
    <cellStyle name="40% - 강조색6 6" xfId="155" xr:uid="{3FA2D033-1D23-4AC0-823C-986691193393}"/>
    <cellStyle name="40% - 강조색6 7" xfId="156" xr:uid="{165F95A6-6EC5-47CA-B6BB-BE35DBA116A2}"/>
    <cellStyle name="40% - 강조색6 8" xfId="157" xr:uid="{ED325529-8A1C-4408-91CC-D0D148562BA5}"/>
    <cellStyle name="40% - 강조색6 9" xfId="158" xr:uid="{31DFE1C6-77FD-4896-A82A-F75F2AFF72AA}"/>
    <cellStyle name="60% - 강조색1 10" xfId="159" xr:uid="{22AC03F6-4E86-49F1-85B4-FC3CAC0B03BC}"/>
    <cellStyle name="60% - 강조색1 11" xfId="160" xr:uid="{2F74292D-C0A4-422F-8553-C4A31276CF35}"/>
    <cellStyle name="60% - 강조색1 12" xfId="161" xr:uid="{471EE191-9C40-4041-A1CF-FAD4B3E7C34F}"/>
    <cellStyle name="60% - 강조색1 13" xfId="162" xr:uid="{C23845DC-AD51-4C72-8101-9E738AE8C6CB}"/>
    <cellStyle name="60% - 강조색1 14" xfId="163" xr:uid="{3958FFB8-CD95-4AA3-8A49-4361C662E36E}"/>
    <cellStyle name="60% - 강조색1 2" xfId="164" xr:uid="{ACA0AD58-2A95-4DFC-85A7-274C789C9E7F}"/>
    <cellStyle name="60% - 강조색1 3" xfId="165" xr:uid="{078B907C-CAC7-4B20-984C-F9EF45957E1A}"/>
    <cellStyle name="60% - 강조색1 4" xfId="166" xr:uid="{7D54A8E1-5BAB-4CAA-9A30-C499AEDCD3BA}"/>
    <cellStyle name="60% - 강조색1 5" xfId="167" xr:uid="{5447F306-9879-4A0A-913D-F0B7D82EF992}"/>
    <cellStyle name="60% - 강조색1 6" xfId="168" xr:uid="{73642EC4-C5C4-4D5D-9545-266E94E4D3C4}"/>
    <cellStyle name="60% - 강조색1 7" xfId="169" xr:uid="{27E45FE5-EF67-430B-BB9A-9558D3838F90}"/>
    <cellStyle name="60% - 강조색1 8" xfId="170" xr:uid="{C2F1D55D-E4C8-4568-9F81-88C09C58ABA8}"/>
    <cellStyle name="60% - 강조색1 9" xfId="171" xr:uid="{24752C5F-066D-40E2-97EB-9DCED2471864}"/>
    <cellStyle name="60% - 강조색2 10" xfId="172" xr:uid="{3EE9C314-0390-4BFF-80E3-CCFCE42EFE75}"/>
    <cellStyle name="60% - 강조색2 11" xfId="173" xr:uid="{F9F21F52-3FA5-44E1-BE88-B7859368C743}"/>
    <cellStyle name="60% - 강조색2 12" xfId="174" xr:uid="{768A6EAE-E23A-4BD9-8718-4E68A3D1AC01}"/>
    <cellStyle name="60% - 강조색2 13" xfId="175" xr:uid="{131769AC-3942-4C6C-BECB-01DE871781DE}"/>
    <cellStyle name="60% - 강조색2 14" xfId="176" xr:uid="{6955D5FB-0944-4F6F-A42D-CE6651B8C63B}"/>
    <cellStyle name="60% - 강조색2 2" xfId="177" xr:uid="{5B0816B4-9A6A-4B45-95AE-0C7903E585FC}"/>
    <cellStyle name="60% - 강조색2 3" xfId="178" xr:uid="{3D540D9C-D55B-4EAF-A51D-746C040F0377}"/>
    <cellStyle name="60% - 강조색2 4" xfId="179" xr:uid="{B9DA08EB-D39C-422C-AB1D-02C621FD351B}"/>
    <cellStyle name="60% - 강조색2 5" xfId="180" xr:uid="{654F5112-C4D9-41F3-AE67-7311B8918FF6}"/>
    <cellStyle name="60% - 강조색2 6" xfId="181" xr:uid="{B434EE2E-0ECF-4665-A787-4F8611F8FCB6}"/>
    <cellStyle name="60% - 강조색2 7" xfId="182" xr:uid="{2D8B0351-2C8F-4D75-96EA-C21E5D6F79E3}"/>
    <cellStyle name="60% - 강조색2 8" xfId="183" xr:uid="{D2FA9B87-5C3E-4327-B800-F19B5204DA68}"/>
    <cellStyle name="60% - 강조색2 9" xfId="184" xr:uid="{E113C952-F038-4E2E-9222-FCCA6DA108F8}"/>
    <cellStyle name="60% - 강조색3 10" xfId="185" xr:uid="{3B367C0D-8715-4A8B-B7A6-3903690D6E49}"/>
    <cellStyle name="60% - 강조색3 11" xfId="186" xr:uid="{2B632D75-E54C-4A60-BF1B-CBB8E14DAF6D}"/>
    <cellStyle name="60% - 강조색3 12" xfId="187" xr:uid="{7B518D5C-68BB-487B-AE0E-FF05B1097435}"/>
    <cellStyle name="60% - 강조색3 13" xfId="188" xr:uid="{DFFDF135-3ACA-4429-9D18-38A1975B8FE9}"/>
    <cellStyle name="60% - 강조색3 14" xfId="189" xr:uid="{09EECEB9-B3AD-46DF-837A-04F96030CC1D}"/>
    <cellStyle name="60% - 강조색3 2" xfId="190" xr:uid="{4372F126-FF79-426F-BD07-AEE629CC2DE3}"/>
    <cellStyle name="60% - 강조색3 3" xfId="191" xr:uid="{1089974B-034B-4747-B614-31754BA544F8}"/>
    <cellStyle name="60% - 강조색3 4" xfId="192" xr:uid="{E9BE901C-BE4E-4B54-A2D8-CDFD8E81D21A}"/>
    <cellStyle name="60% - 강조색3 5" xfId="193" xr:uid="{3DE5D1FF-3F83-4B58-8E42-DF758380F7E1}"/>
    <cellStyle name="60% - 강조색3 6" xfId="194" xr:uid="{7011CCE8-1876-41BE-8977-B34B26CBD076}"/>
    <cellStyle name="60% - 강조색3 7" xfId="195" xr:uid="{C5995F13-43A2-4AC2-BAA9-D3D60DB1830A}"/>
    <cellStyle name="60% - 강조색3 8" xfId="196" xr:uid="{F7A036A6-C78F-44CD-9810-937F89FDE5EE}"/>
    <cellStyle name="60% - 강조색3 9" xfId="197" xr:uid="{8D9DC418-8D52-4070-B3F6-EA2F9AFB4DEE}"/>
    <cellStyle name="60% - 강조색4 10" xfId="198" xr:uid="{D3C32C6D-B6AE-4EB4-9BE0-B9C946F30E55}"/>
    <cellStyle name="60% - 강조색4 11" xfId="199" xr:uid="{2D786897-7F69-469E-80FA-471CE7054A6C}"/>
    <cellStyle name="60% - 강조색4 12" xfId="200" xr:uid="{9FDDFDF0-7D6E-4103-908B-AC0E28FEE428}"/>
    <cellStyle name="60% - 강조색4 13" xfId="201" xr:uid="{5B08BD53-A046-46EA-8C1C-407930B9B8F3}"/>
    <cellStyle name="60% - 강조색4 14" xfId="202" xr:uid="{B5DFC162-050B-453B-ADFC-1CFEEE520888}"/>
    <cellStyle name="60% - 강조색4 2" xfId="203" xr:uid="{ECD2BAE6-BEAC-43D9-AE9A-7E8248849535}"/>
    <cellStyle name="60% - 강조색4 3" xfId="204" xr:uid="{FAC2BAF5-F8CD-4151-9651-5D8E0B685975}"/>
    <cellStyle name="60% - 강조색4 4" xfId="205" xr:uid="{54CC5E9E-51BB-4FC4-97C4-C69F5A19F848}"/>
    <cellStyle name="60% - 강조색4 5" xfId="206" xr:uid="{82E3EF99-71AC-46E1-B9E2-6519CBA63D43}"/>
    <cellStyle name="60% - 강조색4 6" xfId="207" xr:uid="{8D804203-BE18-471F-8CF1-7CA609F888C3}"/>
    <cellStyle name="60% - 강조색4 7" xfId="208" xr:uid="{FB0C58D6-03FB-4965-A0F1-1F50D66365CC}"/>
    <cellStyle name="60% - 강조색4 8" xfId="209" xr:uid="{7210ECC9-FA56-4406-A993-36F6EDF96A65}"/>
    <cellStyle name="60% - 강조색4 9" xfId="210" xr:uid="{364824A3-A7D6-4073-8E59-10BDE33570ED}"/>
    <cellStyle name="60% - 강조색5 10" xfId="211" xr:uid="{8B919535-E329-474B-8AA6-AE6619C749CC}"/>
    <cellStyle name="60% - 강조색5 11" xfId="212" xr:uid="{84A2FC43-58AE-43F1-A6F3-828161EE8EE4}"/>
    <cellStyle name="60% - 강조색5 12" xfId="213" xr:uid="{EF849358-CEB8-48BC-A3D1-3452B0F8263A}"/>
    <cellStyle name="60% - 강조색5 13" xfId="214" xr:uid="{BAEFEA34-C2C6-468D-8867-4CC1C2798C6D}"/>
    <cellStyle name="60% - 강조색5 14" xfId="215" xr:uid="{439033A2-B04D-44D0-AA87-02F23596358C}"/>
    <cellStyle name="60% - 강조색5 2" xfId="216" xr:uid="{36A9D6F8-01B7-4C48-A217-FA66CA517D16}"/>
    <cellStyle name="60% - 강조색5 3" xfId="217" xr:uid="{30293372-8F62-4FB3-BAC7-3A4DE4F2C44F}"/>
    <cellStyle name="60% - 강조색5 4" xfId="218" xr:uid="{2014E69B-C77B-47F9-AC75-D2D0763C6A0D}"/>
    <cellStyle name="60% - 강조색5 5" xfId="219" xr:uid="{950CD3A8-76C6-4C11-926D-94D6F017F425}"/>
    <cellStyle name="60% - 강조색5 6" xfId="220" xr:uid="{92E447E0-B835-4ABB-BBB8-833AA2922F25}"/>
    <cellStyle name="60% - 강조색5 7" xfId="221" xr:uid="{FAAD8962-5336-4487-A617-2E741EC42F3D}"/>
    <cellStyle name="60% - 강조색5 8" xfId="222" xr:uid="{1037273B-BD1F-4D6D-B2CD-F1538BFA78AA}"/>
    <cellStyle name="60% - 강조색5 9" xfId="223" xr:uid="{1BF571CD-8D1F-4101-B912-2E77EA27B7AB}"/>
    <cellStyle name="60% - 강조색6 10" xfId="224" xr:uid="{FC26D42B-90C2-435A-83C4-2920CDB37FB2}"/>
    <cellStyle name="60% - 강조색6 11" xfId="225" xr:uid="{CBCAB6CC-FD9E-41B3-8FAE-6E68209C9EA8}"/>
    <cellStyle name="60% - 강조색6 12" xfId="226" xr:uid="{7A91477D-E81E-4C49-8C4A-E094D7E41D44}"/>
    <cellStyle name="60% - 강조색6 13" xfId="227" xr:uid="{30A6EB57-92F3-4712-9735-12E93AC6F8CA}"/>
    <cellStyle name="60% - 강조색6 14" xfId="228" xr:uid="{FFD5EFDC-E285-4BF1-84F4-4D5E1793D249}"/>
    <cellStyle name="60% - 강조색6 2" xfId="229" xr:uid="{EB510791-982B-4E09-8C9D-E7FFEBB72513}"/>
    <cellStyle name="60% - 강조색6 3" xfId="230" xr:uid="{51A7EDC7-3BA0-4965-A1FC-F70BC32636E9}"/>
    <cellStyle name="60% - 강조색6 4" xfId="231" xr:uid="{54534AA8-48CF-4397-A53B-0D01E3710116}"/>
    <cellStyle name="60% - 강조색6 5" xfId="232" xr:uid="{91EA3B40-F365-4C2A-BA6A-080D12DF1A32}"/>
    <cellStyle name="60% - 강조색6 6" xfId="233" xr:uid="{1D411CB9-A0AB-4110-8A85-B939BCB9D177}"/>
    <cellStyle name="60% - 강조색6 7" xfId="234" xr:uid="{211B0907-A4CA-4889-81C3-30E2F3302DD1}"/>
    <cellStyle name="60% - 강조색6 8" xfId="235" xr:uid="{CC9CB998-BA59-4344-9596-24E598E78555}"/>
    <cellStyle name="60% - 강조색6 9" xfId="236" xr:uid="{9DC96F61-FFDD-47DF-ACE2-C9325A01B1DE}"/>
    <cellStyle name="강조색1 10" xfId="237" xr:uid="{B4AA2026-B8A0-48D7-821F-1B70D4B48915}"/>
    <cellStyle name="강조색1 11" xfId="238" xr:uid="{9650B645-42D5-4495-A59E-8E270A283A16}"/>
    <cellStyle name="강조색1 12" xfId="239" xr:uid="{E264481B-905C-4392-80DA-B0751907C374}"/>
    <cellStyle name="강조색1 13" xfId="240" xr:uid="{A4BFE0F1-13E7-4DD8-BCC7-B6EAED9E05EE}"/>
    <cellStyle name="강조색1 14" xfId="241" xr:uid="{19D081EA-9868-42B4-9A45-23B999D76CD7}"/>
    <cellStyle name="강조색1 2" xfId="242" xr:uid="{E40C7371-D36A-4525-BF51-A60D5B16BD1B}"/>
    <cellStyle name="강조색1 3" xfId="243" xr:uid="{96E11C88-C774-40DC-80A6-A38E7B67B441}"/>
    <cellStyle name="강조색1 4" xfId="244" xr:uid="{43DA1BE1-6B33-4A23-933A-D75621A5DB96}"/>
    <cellStyle name="강조색1 5" xfId="245" xr:uid="{3949FD07-4F93-41D3-B33D-B61A8699AF7C}"/>
    <cellStyle name="강조색1 6" xfId="246" xr:uid="{80828910-340F-4DF7-AE58-21627470B952}"/>
    <cellStyle name="강조색1 7" xfId="247" xr:uid="{A7E4F3B9-A666-4563-8280-05A5A7A7DF5B}"/>
    <cellStyle name="강조색1 8" xfId="248" xr:uid="{05B4E266-57D9-4AFB-BA32-4D0B9FD9C75D}"/>
    <cellStyle name="강조색1 9" xfId="249" xr:uid="{AA92B8A0-6892-4EE0-BDBE-04B892ACBDC0}"/>
    <cellStyle name="강조색2 10" xfId="250" xr:uid="{33A15AD0-61C0-4466-B453-6EDA87DCE6C3}"/>
    <cellStyle name="강조색2 11" xfId="251" xr:uid="{3E4CFA66-6876-4228-B789-419DCDE24002}"/>
    <cellStyle name="강조색2 12" xfId="252" xr:uid="{2D58675C-7C67-4483-9157-8E0FFDD71DCE}"/>
    <cellStyle name="강조색2 13" xfId="253" xr:uid="{05E9AACF-6506-4119-9B67-4544F6F83C50}"/>
    <cellStyle name="강조색2 14" xfId="254" xr:uid="{734BF8C4-2E63-4FD7-A8DB-F5BD0DAFCF65}"/>
    <cellStyle name="강조색2 2" xfId="255" xr:uid="{50E45F8B-2AC5-4E64-88C0-097B1F950EDC}"/>
    <cellStyle name="강조색2 3" xfId="256" xr:uid="{DA1F307D-9032-47D0-8A0D-7C6F9B41BF40}"/>
    <cellStyle name="강조색2 4" xfId="257" xr:uid="{B9F8A504-07E3-4136-950A-F74B7359C17F}"/>
    <cellStyle name="강조색2 5" xfId="258" xr:uid="{F871F84F-6114-4DDD-A8B8-9FFDE06B7531}"/>
    <cellStyle name="강조색2 6" xfId="259" xr:uid="{D71A6F53-BCAD-4B6C-B840-88DE723F650B}"/>
    <cellStyle name="강조색2 7" xfId="260" xr:uid="{E784F024-ECA1-479F-B434-05B027D951B8}"/>
    <cellStyle name="강조색2 8" xfId="261" xr:uid="{A00FEB49-E514-4DD6-A1AF-FECF2455A9AE}"/>
    <cellStyle name="강조색2 9" xfId="262" xr:uid="{BD05BBAB-2A89-4E3B-B814-31AC0D4F1A8A}"/>
    <cellStyle name="강조색3 10" xfId="263" xr:uid="{1A1CB75C-3F52-4F0F-91F0-449274D00E31}"/>
    <cellStyle name="강조색3 11" xfId="264" xr:uid="{4BF38B8E-C629-47E8-A6FF-62D0E616662A}"/>
    <cellStyle name="강조색3 12" xfId="265" xr:uid="{3CDC5781-9A80-4528-AC97-75547F433FE2}"/>
    <cellStyle name="강조색3 13" xfId="266" xr:uid="{EAEE5FAA-C789-445D-A3E7-10768CE00415}"/>
    <cellStyle name="강조색3 14" xfId="267" xr:uid="{5E5AD5BE-C400-4740-A3BB-2EAFDE2B7B9E}"/>
    <cellStyle name="강조색3 2" xfId="268" xr:uid="{52C7C4AF-1F00-4FFE-A5A8-5E0774932542}"/>
    <cellStyle name="강조색3 3" xfId="269" xr:uid="{CDC4D2F7-0D11-4FC8-8BCC-964992124F5A}"/>
    <cellStyle name="강조색3 4" xfId="270" xr:uid="{6EC7CB42-2A24-4FD4-ACF3-8EE4DBF4FD8A}"/>
    <cellStyle name="강조색3 5" xfId="271" xr:uid="{790FBF5D-05BE-47EE-9FBC-54845CFC9C5C}"/>
    <cellStyle name="강조색3 6" xfId="272" xr:uid="{B8B946B8-6598-4BF2-8161-34A775FEC375}"/>
    <cellStyle name="강조색3 7" xfId="273" xr:uid="{E5B7B2B0-0DA5-4E85-A6EC-C5ECF15CD789}"/>
    <cellStyle name="강조색3 8" xfId="274" xr:uid="{77F414ED-5886-48B3-855B-AD6A29F16DA8}"/>
    <cellStyle name="강조색3 9" xfId="275" xr:uid="{184B8FB4-ED3D-4D18-ADB0-CF4E72B9B6DC}"/>
    <cellStyle name="강조색4 10" xfId="276" xr:uid="{576C53E8-3276-4A52-AB6F-C22528C276F7}"/>
    <cellStyle name="강조색4 11" xfId="277" xr:uid="{DB2600FA-3137-4ABF-998F-EE44D8675209}"/>
    <cellStyle name="강조색4 12" xfId="278" xr:uid="{F9CC1408-4843-4CD9-9246-B3E2E64E42DF}"/>
    <cellStyle name="강조색4 13" xfId="279" xr:uid="{990F1729-B4E9-46D3-AF5A-102BB6E591BC}"/>
    <cellStyle name="강조색4 14" xfId="280" xr:uid="{A4C2DB25-3A24-4B6A-960E-D08307D38A8F}"/>
    <cellStyle name="강조색4 2" xfId="281" xr:uid="{EBAA03C2-C4E5-4759-9705-1660B2A85D82}"/>
    <cellStyle name="강조색4 3" xfId="282" xr:uid="{1BD4B8B2-6DDF-4472-963C-98B78D1790A0}"/>
    <cellStyle name="강조색4 4" xfId="283" xr:uid="{39E55FE4-8D97-466B-AC99-89F569F996E5}"/>
    <cellStyle name="강조색4 5" xfId="284" xr:uid="{41DE2F9A-A20D-4D59-B047-4222159DB327}"/>
    <cellStyle name="강조색4 6" xfId="285" xr:uid="{A5F95D2C-27AD-4697-B39F-922AF85290F9}"/>
    <cellStyle name="강조색4 7" xfId="286" xr:uid="{08C6AB93-1421-470E-942F-B96714C3E433}"/>
    <cellStyle name="강조색4 8" xfId="287" xr:uid="{01253546-1F3B-42FF-9FA5-65E48CFF0274}"/>
    <cellStyle name="강조색4 9" xfId="288" xr:uid="{F916A81D-CF05-41A5-8AE8-AB4291EAC348}"/>
    <cellStyle name="강조색5 10" xfId="289" xr:uid="{5FE40549-6419-40B6-A755-731638D5EA03}"/>
    <cellStyle name="강조색5 11" xfId="290" xr:uid="{3D9A0682-1FE2-4F48-BE16-5214F12E4AB4}"/>
    <cellStyle name="강조색5 12" xfId="291" xr:uid="{FA53E414-D8AF-43FB-A2F7-63127DCA3E55}"/>
    <cellStyle name="강조색5 13" xfId="292" xr:uid="{1FF5F67E-EBB6-4777-8400-326041B86CF7}"/>
    <cellStyle name="강조색5 14" xfId="293" xr:uid="{20E8BD6A-9F07-4FA2-B7CF-3C560C3E2E56}"/>
    <cellStyle name="강조색5 2" xfId="294" xr:uid="{55B0578B-1371-49A4-A2BA-7261460CCF5C}"/>
    <cellStyle name="강조색5 3" xfId="295" xr:uid="{555A0BD1-D7AB-4C2D-8A1C-85614744CE41}"/>
    <cellStyle name="강조색5 4" xfId="296" xr:uid="{3EF3E75D-4F1A-43FE-BCBF-A8BA1F150356}"/>
    <cellStyle name="강조색5 5" xfId="297" xr:uid="{18A365EB-E608-460A-81D0-97ED90A67F3E}"/>
    <cellStyle name="강조색5 6" xfId="298" xr:uid="{AB6990D4-8508-44C4-B868-B013BF513EAF}"/>
    <cellStyle name="강조색5 7" xfId="299" xr:uid="{8DD1EF96-7084-4F4F-8D32-D9EE7E00B713}"/>
    <cellStyle name="강조색5 8" xfId="300" xr:uid="{26E9B7BB-AD7F-4197-8C08-DF5A552BB38E}"/>
    <cellStyle name="강조색5 9" xfId="301" xr:uid="{6A196C8B-B4A5-40F4-BDAF-D30E7C9A47F8}"/>
    <cellStyle name="강조색6 10" xfId="302" xr:uid="{F68B8AF3-4EB7-4C60-BFC5-7528F7E74E0E}"/>
    <cellStyle name="강조색6 11" xfId="303" xr:uid="{2B23EAC7-0446-4BBD-9C59-DED14010051A}"/>
    <cellStyle name="강조색6 12" xfId="304" xr:uid="{FAA14162-7DF2-485A-AC01-6DE9CD8F11DC}"/>
    <cellStyle name="강조색6 13" xfId="305" xr:uid="{20B536AD-CAFA-4A87-AC2A-8EB57733DCD7}"/>
    <cellStyle name="강조색6 14" xfId="306" xr:uid="{1467F37F-E75F-4842-BA49-AB2F0E790718}"/>
    <cellStyle name="강조색6 2" xfId="307" xr:uid="{572A70F5-54A1-4ECE-8481-165BB9F5D3B1}"/>
    <cellStyle name="강조색6 3" xfId="308" xr:uid="{8A077DFF-93DF-460C-9C87-63C9367D0051}"/>
    <cellStyle name="강조색6 4" xfId="309" xr:uid="{0EA40CBF-8F99-4A5E-95AB-67051FEF631A}"/>
    <cellStyle name="강조색6 5" xfId="310" xr:uid="{5923F333-2683-4792-9434-85A71068981F}"/>
    <cellStyle name="강조색6 6" xfId="311" xr:uid="{B9747919-4E51-429D-9546-6CD70CA6DBDA}"/>
    <cellStyle name="강조색6 7" xfId="312" xr:uid="{3BA793E0-03DA-444A-981F-5212C0CDC112}"/>
    <cellStyle name="강조색6 8" xfId="313" xr:uid="{A3476A79-25DA-4EAE-81CE-31D0FC8B6880}"/>
    <cellStyle name="강조색6 9" xfId="314" xr:uid="{1A814CF7-C352-4B85-8722-D47A03360A34}"/>
    <cellStyle name="경고문 10" xfId="315" xr:uid="{76742C2D-390F-4DCE-8C0A-25ABCCA5729E}"/>
    <cellStyle name="경고문 11" xfId="316" xr:uid="{AD14477A-1D55-4A1A-BE0E-E2F50DB14D1B}"/>
    <cellStyle name="경고문 12" xfId="317" xr:uid="{39DE9CA9-0AE6-4376-B395-6BF6918BA4D8}"/>
    <cellStyle name="경고문 13" xfId="318" xr:uid="{C3973540-9D08-46A8-B4D9-F21BF3B0C12F}"/>
    <cellStyle name="경고문 14" xfId="319" xr:uid="{52A54DCC-CCC0-4625-B250-A8B8F4109BA0}"/>
    <cellStyle name="경고문 2" xfId="320" xr:uid="{D3468C1C-4FFE-4EAD-B430-38D8DE7EF8E4}"/>
    <cellStyle name="경고문 3" xfId="321" xr:uid="{87FD7CA8-B274-45EC-8538-E78AA52468ED}"/>
    <cellStyle name="경고문 4" xfId="322" xr:uid="{C6F6C47A-9B81-425E-9CE8-5849F7690BB9}"/>
    <cellStyle name="경고문 5" xfId="323" xr:uid="{23E0AF76-B580-4954-88D1-20712C4D57D4}"/>
    <cellStyle name="경고문 6" xfId="324" xr:uid="{91ECBAD2-71C1-4F7B-BECB-BDF4E2019221}"/>
    <cellStyle name="경고문 7" xfId="325" xr:uid="{7AA9B916-90F4-471E-BA7A-6D7FFB98E874}"/>
    <cellStyle name="경고문 8" xfId="326" xr:uid="{E6F5AAAA-2804-42EC-A598-EB9E32E55E76}"/>
    <cellStyle name="경고문 9" xfId="327" xr:uid="{EADF63B3-BC5A-4E01-B19C-B2F42B1EE49E}"/>
    <cellStyle name="계산 10" xfId="328" xr:uid="{4CED6637-D295-4ABC-B443-0918FDB3353D}"/>
    <cellStyle name="계산 11" xfId="329" xr:uid="{A687AFFA-0D76-425A-8B33-6C2C29CFC0D6}"/>
    <cellStyle name="계산 12" xfId="330" xr:uid="{C4ADFAFE-0CE3-4F02-8D9B-C40C8B07099A}"/>
    <cellStyle name="계산 13" xfId="331" xr:uid="{6B27BD68-9A1F-4D01-B0A5-8D4F23217232}"/>
    <cellStyle name="계산 14" xfId="332" xr:uid="{61DC3440-215F-4789-BE7D-8D2110163C66}"/>
    <cellStyle name="계산 2" xfId="333" xr:uid="{BCBE89C9-E3FF-4225-A2B9-34ACFBD92937}"/>
    <cellStyle name="계산 3" xfId="334" xr:uid="{AB6A2074-3106-44CC-BBFB-8BE6A4BB6CD1}"/>
    <cellStyle name="계산 4" xfId="335" xr:uid="{B308A0D0-D006-4E42-AB81-879E1D393308}"/>
    <cellStyle name="계산 5" xfId="336" xr:uid="{72ED8D5C-B388-4824-8686-5B3B91A049AC}"/>
    <cellStyle name="계산 6" xfId="337" xr:uid="{BB69BAD8-514D-49A9-8C17-8FC5F079E5CD}"/>
    <cellStyle name="계산 7" xfId="338" xr:uid="{364845ED-4065-4C81-A1AE-4857F097C4F9}"/>
    <cellStyle name="계산 8" xfId="339" xr:uid="{761FEBEE-1E52-4480-93C2-033249C35906}"/>
    <cellStyle name="계산 9" xfId="340" xr:uid="{14427543-9A6A-4472-859E-FBAF115A35FB}"/>
    <cellStyle name="나쁨 10" xfId="341" xr:uid="{85FE6923-569F-4DAB-9076-7D04A973BBFC}"/>
    <cellStyle name="나쁨 11" xfId="342" xr:uid="{B2A6BB10-88E9-4F22-B876-888D93C47C6F}"/>
    <cellStyle name="나쁨 12" xfId="343" xr:uid="{1174936A-1115-4932-B171-46129AE46EFF}"/>
    <cellStyle name="나쁨 13" xfId="344" xr:uid="{48FE5280-A825-4E70-BD78-218AD2DD9289}"/>
    <cellStyle name="나쁨 14" xfId="345" xr:uid="{CE3A4419-49D4-458D-9D8A-71398DF86FBA}"/>
    <cellStyle name="나쁨 2" xfId="346" xr:uid="{0F245A15-6045-416F-8CB8-224D1DF7A48E}"/>
    <cellStyle name="나쁨 3" xfId="347" xr:uid="{1CD59FBB-8DFD-4035-B122-5494D880AB7C}"/>
    <cellStyle name="나쁨 4" xfId="348" xr:uid="{D478BAE4-1CDD-4A90-A3A0-7919EEE64DF2}"/>
    <cellStyle name="나쁨 5" xfId="349" xr:uid="{7051FB09-484E-453B-AFDA-98EF9175A891}"/>
    <cellStyle name="나쁨 6" xfId="350" xr:uid="{DBBE8E1C-41B3-490D-9F09-2031F3697682}"/>
    <cellStyle name="나쁨 7" xfId="351" xr:uid="{8729E56C-7C82-41BE-BAB7-5FCC17204868}"/>
    <cellStyle name="나쁨 8" xfId="352" xr:uid="{16075E92-D7A2-4BCC-889E-E3D0913E04B1}"/>
    <cellStyle name="나쁨 9" xfId="353" xr:uid="{1BD45BC3-E3D3-4780-9F5B-BA8B19EC207C}"/>
    <cellStyle name="메모 10" xfId="354" xr:uid="{A45D6E12-4FAE-4B8C-B321-A84D1DAE9445}"/>
    <cellStyle name="메모 11" xfId="355" xr:uid="{5581A9F4-56F1-45C0-9172-6F040AD50DAA}"/>
    <cellStyle name="메모 12" xfId="356" xr:uid="{CBDE26EA-3736-4260-BE45-4C95AEC08C24}"/>
    <cellStyle name="메모 13" xfId="357" xr:uid="{E00AE717-EB5F-4BC1-96E8-92158242AF5C}"/>
    <cellStyle name="메모 14" xfId="358" xr:uid="{E282C3A0-C080-4439-824C-5820E8E9316D}"/>
    <cellStyle name="메모 2" xfId="359" xr:uid="{801A3F38-351C-4EF6-93B2-E400A89F3DC9}"/>
    <cellStyle name="메모 3" xfId="360" xr:uid="{DFB0EA29-1652-4703-928B-C1DF5847840F}"/>
    <cellStyle name="메모 4" xfId="361" xr:uid="{2898F30C-1014-4CC1-943C-86F140F029BE}"/>
    <cellStyle name="메모 5" xfId="362" xr:uid="{7DC3A560-550B-4657-9312-522A31B38E44}"/>
    <cellStyle name="메모 6" xfId="363" xr:uid="{14DB8083-87D1-454D-9A67-E0D50E58F850}"/>
    <cellStyle name="메모 7" xfId="364" xr:uid="{E005B1EC-FB86-4E29-8F67-9007752B085A}"/>
    <cellStyle name="메모 8" xfId="365" xr:uid="{9BC5B651-8653-4602-83D1-636AE13D20DE}"/>
    <cellStyle name="메모 9" xfId="366" xr:uid="{72C871F4-89EA-4F70-BEF0-07DE678FC3AA}"/>
    <cellStyle name="백분율" xfId="367" builtinId="5"/>
    <cellStyle name="백분율 2" xfId="368" xr:uid="{47AC5BA1-4154-4DF0-9831-76B90078BBEB}"/>
    <cellStyle name="보통 10" xfId="369" xr:uid="{897F6F21-5C33-4C60-B63F-36697DF4321F}"/>
    <cellStyle name="보통 11" xfId="370" xr:uid="{F504BD69-322D-4A5F-B358-256633E4DA1A}"/>
    <cellStyle name="보통 12" xfId="371" xr:uid="{4F2B1E50-1D8C-4FA4-BF20-BFA1E78D10A3}"/>
    <cellStyle name="보통 13" xfId="372" xr:uid="{F7EDBCF2-80C8-4E41-93E9-D61A53895112}"/>
    <cellStyle name="보통 14" xfId="373" xr:uid="{740F6B25-425A-4E0E-B1E2-3FF1AC291B86}"/>
    <cellStyle name="보통 2" xfId="374" xr:uid="{DD47138B-1D5F-442E-ACCC-73FC15900046}"/>
    <cellStyle name="보통 3" xfId="375" xr:uid="{A0B156CF-9B7E-435F-9A0E-4554129CE587}"/>
    <cellStyle name="보통 4" xfId="376" xr:uid="{CC8E6507-0548-4D7E-8F20-D95FD2A242E3}"/>
    <cellStyle name="보통 5" xfId="377" xr:uid="{2300CAE8-C8BE-4978-B329-12D66EF20F5D}"/>
    <cellStyle name="보통 6" xfId="378" xr:uid="{0444387C-592C-4002-81B9-1DDD69A92A2C}"/>
    <cellStyle name="보통 7" xfId="379" xr:uid="{8315D4AB-201B-4B73-BA2B-53B29683224B}"/>
    <cellStyle name="보통 8" xfId="380" xr:uid="{26F32B66-BCED-4FFC-9EAF-4BE00679B831}"/>
    <cellStyle name="보통 9" xfId="381" xr:uid="{13E2EBD0-0963-430D-A2B8-3D264E4A5E88}"/>
    <cellStyle name="설명 텍스트 10" xfId="382" xr:uid="{74E144C2-DD19-4EC4-AE0F-2DE46C5FAC53}"/>
    <cellStyle name="설명 텍스트 11" xfId="383" xr:uid="{0B262AE2-AE8C-482E-A86B-CABCB2FF1278}"/>
    <cellStyle name="설명 텍스트 12" xfId="384" xr:uid="{1855213B-2F94-43FC-937D-59C58EA42682}"/>
    <cellStyle name="설명 텍스트 13" xfId="385" xr:uid="{413B2519-AB33-48AC-B865-7F33E2E0BB8F}"/>
    <cellStyle name="설명 텍스트 14" xfId="386" xr:uid="{D562E6DF-40CF-460F-A80D-3A3C17109B32}"/>
    <cellStyle name="설명 텍스트 2" xfId="387" xr:uid="{BF939BC7-503B-4773-989B-2DA14008C823}"/>
    <cellStyle name="설명 텍스트 3" xfId="388" xr:uid="{F7688B8B-93DF-4085-B39E-A6AE20012B84}"/>
    <cellStyle name="설명 텍스트 4" xfId="389" xr:uid="{4538FB16-D8D3-41C9-96F0-EC6CFDCC55C9}"/>
    <cellStyle name="설명 텍스트 5" xfId="390" xr:uid="{EFE34234-94E1-4E08-A641-827D765D085C}"/>
    <cellStyle name="설명 텍스트 6" xfId="391" xr:uid="{AAC58C47-8C9B-432D-925E-F8FB304E83CC}"/>
    <cellStyle name="설명 텍스트 7" xfId="392" xr:uid="{0D49A5E3-FB86-4F75-A4A8-2682D8B2E8E7}"/>
    <cellStyle name="설명 텍스트 8" xfId="393" xr:uid="{C2ECB908-CC08-469D-930E-81EE06318DAD}"/>
    <cellStyle name="설명 텍스트 9" xfId="394" xr:uid="{798263DF-BBF7-401A-BFAD-A65CAB70AC24}"/>
    <cellStyle name="셀 확인 10" xfId="395" xr:uid="{9201D58E-6901-4003-9099-487B97DD45EE}"/>
    <cellStyle name="셀 확인 11" xfId="396" xr:uid="{B42DEF83-4DCE-4590-A106-CB696C9057A8}"/>
    <cellStyle name="셀 확인 12" xfId="397" xr:uid="{2E9DCCB4-0D4E-4D4B-91A4-77E140EDADEE}"/>
    <cellStyle name="셀 확인 13" xfId="398" xr:uid="{E968BFC2-17C0-45D1-B796-D5D451BC0BA6}"/>
    <cellStyle name="셀 확인 14" xfId="399" xr:uid="{4B2F1FA1-DFC0-493C-A1AF-77DD2412C2D6}"/>
    <cellStyle name="셀 확인 2" xfId="400" xr:uid="{D86F6A4C-2F04-423E-A7E2-AD332D27CEE6}"/>
    <cellStyle name="셀 확인 3" xfId="401" xr:uid="{62D67780-E4D9-46A7-A3F3-E6694A8438FA}"/>
    <cellStyle name="셀 확인 4" xfId="402" xr:uid="{C0EF1338-980C-4AD0-9DCF-617BAB12526D}"/>
    <cellStyle name="셀 확인 5" xfId="403" xr:uid="{1B2479E1-C9CE-4ACC-BC26-59EF1B648509}"/>
    <cellStyle name="셀 확인 6" xfId="404" xr:uid="{E8F15F30-3785-48DD-9447-024D27ECCFE2}"/>
    <cellStyle name="셀 확인 7" xfId="405" xr:uid="{D06C6504-6D2C-42A1-9513-6EFA960B9B5E}"/>
    <cellStyle name="셀 확인 8" xfId="406" xr:uid="{C43B51CD-E973-4FD4-B755-FF7E38822943}"/>
    <cellStyle name="셀 확인 9" xfId="407" xr:uid="{6607EF20-ACB6-410E-B2D7-C86A9006A1A0}"/>
    <cellStyle name="쉼표 [0] 2" xfId="408" xr:uid="{7820A15E-702F-4434-B425-513108208662}"/>
    <cellStyle name="신규채택" xfId="409" xr:uid="{78B29AC9-DEED-41AA-9694-BA3DF8A2643B}"/>
    <cellStyle name="신규채택(2012)" xfId="410" xr:uid="{F522F215-C715-410D-A6F3-763F3F935E8A}"/>
    <cellStyle name="신규채택(신)" xfId="411" xr:uid="{A83AC7D4-1129-4D28-A15E-015BF1AD49C0}"/>
    <cellStyle name="연결된 셀 10" xfId="412" xr:uid="{5184744E-8A09-49BC-9A85-A243771AAA84}"/>
    <cellStyle name="연결된 셀 11" xfId="413" xr:uid="{8FD12D88-2E9D-435E-B14B-456D1B2E1FED}"/>
    <cellStyle name="연결된 셀 12" xfId="414" xr:uid="{A7E408FE-13A4-47E1-B657-B68FC0B294A3}"/>
    <cellStyle name="연결된 셀 13" xfId="415" xr:uid="{4F2BA6D3-DE06-4CB5-911C-E612DFCAB542}"/>
    <cellStyle name="연결된 셀 14" xfId="416" xr:uid="{33D21464-4A01-4D7E-84EC-8F9D98A45448}"/>
    <cellStyle name="연결된 셀 2" xfId="417" xr:uid="{7B1FB538-91BA-4B29-AC68-813E8235F802}"/>
    <cellStyle name="연결된 셀 3" xfId="418" xr:uid="{C3C06823-D874-49D0-B3ED-D1ED1B34C744}"/>
    <cellStyle name="연결된 셀 4" xfId="419" xr:uid="{665F85A9-8392-4592-B2D8-DAEC8165F2AD}"/>
    <cellStyle name="연결된 셀 5" xfId="420" xr:uid="{17B6B584-DC3F-436B-A7E5-D7D28CDBCD37}"/>
    <cellStyle name="연결된 셀 6" xfId="421" xr:uid="{204FDDCA-426E-40C5-90FF-8A39AC2E038F}"/>
    <cellStyle name="연결된 셀 7" xfId="422" xr:uid="{B29C6A0E-1811-4021-A50C-56E8BDDCEB43}"/>
    <cellStyle name="연결된 셀 8" xfId="423" xr:uid="{CE7FFC4E-7A6E-4067-A2FC-C1B50DBD3CF3}"/>
    <cellStyle name="연결된 셀 9" xfId="424" xr:uid="{C18FA182-5183-4349-8E3F-502DC3628B29}"/>
    <cellStyle name="오늘직납&amp;인수" xfId="425" xr:uid="{7F8E3D63-1D8A-47CC-9ABB-93F4E90F48B2}"/>
    <cellStyle name="오늘직납&amp;인수 2" xfId="426" xr:uid="{48ABC73A-745B-472F-98AC-66327E52CD8B}"/>
    <cellStyle name="오늘직납&amp;인수 3" xfId="427" xr:uid="{2EE2D0A5-3C8B-4327-9A36-7215A82D59FE}"/>
    <cellStyle name="오늘직납&amp;인수 8" xfId="428" xr:uid="{D9E20235-98E2-4B73-9BB6-BCA1130F5862}"/>
    <cellStyle name="오늘출고" xfId="429" xr:uid="{34C8C371-6E94-42C3-A112-E8C035B1647C}"/>
    <cellStyle name="요약 10" xfId="430" xr:uid="{8F79DDA5-7FB2-4AFE-8770-0BC4EB7E9AFB}"/>
    <cellStyle name="요약 11" xfId="431" xr:uid="{7342E88C-929F-41B7-8F1A-3AB18EED6AA9}"/>
    <cellStyle name="요약 12" xfId="432" xr:uid="{31B05F30-AF48-4BB1-9E45-07BB44A56297}"/>
    <cellStyle name="요약 13" xfId="433" xr:uid="{6B462950-8F79-4E4A-B9C4-9BCD2F62F379}"/>
    <cellStyle name="요약 14" xfId="434" xr:uid="{644A46D5-A37A-4598-A576-556747FF2015}"/>
    <cellStyle name="요약 2" xfId="435" xr:uid="{1F360C03-2731-40D1-BEAD-BC60D4FAC2DB}"/>
    <cellStyle name="요약 3" xfId="436" xr:uid="{A15A79F5-7091-4B10-89CA-639B469E6425}"/>
    <cellStyle name="요약 4" xfId="437" xr:uid="{57CD4189-53D5-40F7-BE11-B09527F23756}"/>
    <cellStyle name="요약 5" xfId="438" xr:uid="{3F63E538-21EC-424C-A9AE-F6B92703A8D2}"/>
    <cellStyle name="요약 6" xfId="439" xr:uid="{AA6B80B1-6AAC-47CF-A501-6C7B1E2BF768}"/>
    <cellStyle name="요약 7" xfId="440" xr:uid="{1260EAA1-9BD3-4C92-BB56-9922A3B8FE01}"/>
    <cellStyle name="요약 8" xfId="441" xr:uid="{551E7301-D736-4FAE-9370-61BDFED953FC}"/>
    <cellStyle name="요약 9" xfId="442" xr:uid="{E89C1FCC-697E-411E-A2F0-D60F2664D711}"/>
    <cellStyle name="입력 10" xfId="443" xr:uid="{0C1D5329-D879-41B9-8822-AE9F28B5EB78}"/>
    <cellStyle name="입력 11" xfId="444" xr:uid="{BEFF5B07-F583-40CA-870F-D560EDBE05AE}"/>
    <cellStyle name="입력 12" xfId="445" xr:uid="{723D8EAA-2C4C-42B4-AE10-DE59DD7BF198}"/>
    <cellStyle name="입력 13" xfId="446" xr:uid="{7FA862DC-8339-4E4C-957D-2D5539626008}"/>
    <cellStyle name="입력 14" xfId="447" xr:uid="{A40E050B-326B-4581-9C89-2F576DCDA0AE}"/>
    <cellStyle name="입력 2" xfId="448" xr:uid="{99EC596A-799E-4343-BC51-FEF5FCCE3D7F}"/>
    <cellStyle name="입력 3" xfId="449" xr:uid="{58B8380C-106C-48F7-97CC-633F887AEAAD}"/>
    <cellStyle name="입력 4" xfId="450" xr:uid="{5FE96113-D3EB-4B45-BBBF-57B316D4A7F8}"/>
    <cellStyle name="입력 5" xfId="451" xr:uid="{4A46EFD8-AC4E-4236-99E4-F2217CFEEF38}"/>
    <cellStyle name="입력 6" xfId="452" xr:uid="{12B7410D-ED83-4B5D-BF2C-9B4CB3471B75}"/>
    <cellStyle name="입력 7" xfId="453" xr:uid="{9BD6B19E-AF33-4FE8-A86F-884728F60A88}"/>
    <cellStyle name="입력 8" xfId="454" xr:uid="{CC7E4EBF-A934-473F-AEA8-19F38074294D}"/>
    <cellStyle name="입력 9" xfId="455" xr:uid="{5FD9F9AD-C5AF-4281-B9AA-238527B0592D}"/>
    <cellStyle name="전일택배" xfId="456" xr:uid="{CE523C76-2E10-4C0C-993C-6C4F52F5F697}"/>
    <cellStyle name="제목 1 10" xfId="457" xr:uid="{36A025B1-A5D3-428D-8866-5571157190AE}"/>
    <cellStyle name="제목 1 11" xfId="458" xr:uid="{E6577556-B5B3-44B3-93F5-D2E8F955BC3D}"/>
    <cellStyle name="제목 1 12" xfId="459" xr:uid="{01335C3E-B38C-4777-A395-9D100E6EF8B1}"/>
    <cellStyle name="제목 1 13" xfId="460" xr:uid="{B6E7B2CA-F56F-4CBA-B24F-C77625E552A8}"/>
    <cellStyle name="제목 1 14" xfId="461" xr:uid="{B8F85A85-15B4-4DC4-8353-9A0E1041D70B}"/>
    <cellStyle name="제목 1 2" xfId="462" xr:uid="{CA3B2031-4856-453D-B3FF-27CB188F6B06}"/>
    <cellStyle name="제목 1 3" xfId="463" xr:uid="{11AAB161-C6A7-4337-A16C-A218676DE265}"/>
    <cellStyle name="제목 1 4" xfId="464" xr:uid="{0BFAF43A-BB15-4CBB-8321-528AE42C8821}"/>
    <cellStyle name="제목 1 5" xfId="465" xr:uid="{65A6F0F5-4578-450F-9BB3-8397B92CAB55}"/>
    <cellStyle name="제목 1 6" xfId="466" xr:uid="{36720E60-C2CB-4131-A25F-7F5FD3403ABB}"/>
    <cellStyle name="제목 1 7" xfId="467" xr:uid="{715A886A-C842-4D90-945C-64760CC7FFBD}"/>
    <cellStyle name="제목 1 8" xfId="468" xr:uid="{D3F072CA-111D-448A-9F4E-DCCB8FE99FB6}"/>
    <cellStyle name="제목 1 9" xfId="469" xr:uid="{13A21ACC-002D-45A7-912D-35642E01FFF0}"/>
    <cellStyle name="제목 10" xfId="470" xr:uid="{A77504EA-53E9-408D-963A-5183B71681B1}"/>
    <cellStyle name="제목 11" xfId="471" xr:uid="{4971CA34-C172-4D79-B8AE-5D72B30AB74F}"/>
    <cellStyle name="제목 12" xfId="472" xr:uid="{F143308C-8F08-42F3-92F8-2A2EF30EBF36}"/>
    <cellStyle name="제목 13" xfId="473" xr:uid="{91B30EA1-0BF6-4DA0-8B4D-236B07B6BDCD}"/>
    <cellStyle name="제목 14" xfId="474" xr:uid="{CC4A3744-D851-4DAD-BCC3-570AB43D719A}"/>
    <cellStyle name="제목 15" xfId="475" xr:uid="{382B3EE8-037B-46BB-9A49-1B9962039F9A}"/>
    <cellStyle name="제목 16" xfId="476" xr:uid="{D2FBE12F-4420-4D79-8006-23436089FD9E}"/>
    <cellStyle name="제목 17" xfId="477" xr:uid="{D5EE4EC2-B31C-49C1-A98B-313AA348705B}"/>
    <cellStyle name="제목 2 10" xfId="478" xr:uid="{A29F4921-3992-4C85-8246-C96BC1C50529}"/>
    <cellStyle name="제목 2 11" xfId="479" xr:uid="{72AD8C74-2827-4B1B-A0D0-C9BD25404A34}"/>
    <cellStyle name="제목 2 12" xfId="480" xr:uid="{804FBF28-3A32-4CB3-AC1A-6D73B2CA2202}"/>
    <cellStyle name="제목 2 13" xfId="481" xr:uid="{1EDE962D-65D1-481B-B659-C08FD02601BC}"/>
    <cellStyle name="제목 2 14" xfId="482" xr:uid="{22BFCE8A-E728-4AC4-A2C1-6487EC1621BC}"/>
    <cellStyle name="제목 2 2" xfId="483" xr:uid="{A84852DD-9C4F-48F8-95A3-655D43F61E65}"/>
    <cellStyle name="제목 2 3" xfId="484" xr:uid="{15459399-8345-4EA9-AE52-54F8A4C472C7}"/>
    <cellStyle name="제목 2 4" xfId="485" xr:uid="{34DB195C-350D-41AD-A7BC-FD892B6A1A0C}"/>
    <cellStyle name="제목 2 5" xfId="486" xr:uid="{A6785E62-64FD-4639-9DF0-F421B433D33E}"/>
    <cellStyle name="제목 2 6" xfId="487" xr:uid="{4D105667-D6C8-42F1-AF4D-395BFBE512CE}"/>
    <cellStyle name="제목 2 7" xfId="488" xr:uid="{4D592F91-BB10-4A26-82F0-DE34D9A0D70A}"/>
    <cellStyle name="제목 2 8" xfId="489" xr:uid="{7D788491-67E4-4D09-A172-3CD726D0A0A8}"/>
    <cellStyle name="제목 2 9" xfId="490" xr:uid="{33FA84E9-A83A-45EB-B7A3-C237B65DB6DF}"/>
    <cellStyle name="제목 3 10" xfId="491" xr:uid="{AADD15F5-EB5D-4E41-BCF4-C4F0027E6186}"/>
    <cellStyle name="제목 3 11" xfId="492" xr:uid="{379918D2-7C74-4884-B253-7BB722876692}"/>
    <cellStyle name="제목 3 12" xfId="493" xr:uid="{07E01783-E7EF-43A3-90E2-5B068BE514FA}"/>
    <cellStyle name="제목 3 13" xfId="494" xr:uid="{DDF497F5-2AF8-4122-B665-F28E71021C91}"/>
    <cellStyle name="제목 3 14" xfId="495" xr:uid="{7A324B18-F079-40BA-BDB4-1C95564736FF}"/>
    <cellStyle name="제목 3 2" xfId="496" xr:uid="{0C8BA33E-9D0A-4EC7-8CDB-83216C48055F}"/>
    <cellStyle name="제목 3 3" xfId="497" xr:uid="{8A238055-7C2F-4418-835C-C4DB98724AD3}"/>
    <cellStyle name="제목 3 4" xfId="498" xr:uid="{5781D138-7915-4764-9469-856D366EEF44}"/>
    <cellStyle name="제목 3 5" xfId="499" xr:uid="{D3A42A52-E67E-42B3-B7E0-636ADEE7794F}"/>
    <cellStyle name="제목 3 6" xfId="500" xr:uid="{3C5ECF5D-A36A-4BE7-8715-F37983CC48B0}"/>
    <cellStyle name="제목 3 7" xfId="501" xr:uid="{FE10564A-5E9A-4630-B95C-B88E01124B66}"/>
    <cellStyle name="제목 3 8" xfId="502" xr:uid="{A9B91793-6E4E-4BCA-B8F9-0293218A0773}"/>
    <cellStyle name="제목 3 9" xfId="503" xr:uid="{ADF8ECEA-8E0B-4B3B-837C-935C478435C5}"/>
    <cellStyle name="제목 4 10" xfId="504" xr:uid="{33A65388-F993-4964-93E7-615F096C5270}"/>
    <cellStyle name="제목 4 11" xfId="505" xr:uid="{2188B312-D09E-4F56-8F29-658B48BEFB41}"/>
    <cellStyle name="제목 4 12" xfId="506" xr:uid="{57A58294-0511-4650-9F99-67DC1358D489}"/>
    <cellStyle name="제목 4 13" xfId="507" xr:uid="{0A3EE558-E095-4861-8143-B739B7B0C707}"/>
    <cellStyle name="제목 4 14" xfId="508" xr:uid="{F16A6BEF-B415-4844-A54C-28E2C6052242}"/>
    <cellStyle name="제목 4 2" xfId="509" xr:uid="{0928B6CC-DC18-4477-886B-B8A17BDEA616}"/>
    <cellStyle name="제목 4 3" xfId="510" xr:uid="{D670571B-8730-4003-9169-B2D47DEC0DFF}"/>
    <cellStyle name="제목 4 4" xfId="511" xr:uid="{FE218DD0-32CC-4D3A-A7D2-92CD519A627C}"/>
    <cellStyle name="제목 4 5" xfId="512" xr:uid="{BD168638-6424-4279-991C-3CCEE962874C}"/>
    <cellStyle name="제목 4 6" xfId="513" xr:uid="{E25997F9-E38E-45E1-88A6-2D24E92AB863}"/>
    <cellStyle name="제목 4 7" xfId="514" xr:uid="{ACFF6364-4842-4909-918E-3FBDAD237C4F}"/>
    <cellStyle name="제목 4 8" xfId="515" xr:uid="{16C33F9D-A1CC-449F-B061-B050D71D9612}"/>
    <cellStyle name="제목 4 9" xfId="516" xr:uid="{2D6E465B-8503-4184-A172-0D0760E563ED}"/>
    <cellStyle name="제목 5" xfId="517" xr:uid="{F3B83AE2-3ED0-4296-8F38-E9B9E7557E36}"/>
    <cellStyle name="제목 6" xfId="518" xr:uid="{258501F4-603E-48F1-87F6-8F68F480C1B6}"/>
    <cellStyle name="제목 7" xfId="519" xr:uid="{690DD65A-780F-431E-AE32-F8AF18103DF3}"/>
    <cellStyle name="제목 8" xfId="520" xr:uid="{5BEEEC06-6537-4262-B67E-AD12785FC049}"/>
    <cellStyle name="제목 9" xfId="521" xr:uid="{2EB3DA11-8845-4041-8583-9FB47A49E2EB}"/>
    <cellStyle name="좋음 10" xfId="522" xr:uid="{5A3FB2DC-0D26-489F-8D9E-B9765E239265}"/>
    <cellStyle name="좋음 11" xfId="523" xr:uid="{D3EC504D-5AC1-4BF5-9567-08B49AE96EE8}"/>
    <cellStyle name="좋음 12" xfId="524" xr:uid="{F96573B9-FA9B-4E66-9351-2603F8327EAF}"/>
    <cellStyle name="좋음 13" xfId="525" xr:uid="{5DBEF59B-0931-460B-83D4-45B5FBC71EE7}"/>
    <cellStyle name="좋음 14" xfId="526" xr:uid="{62EDA8C2-79FF-43F3-A147-53DC9284BC52}"/>
    <cellStyle name="좋음 2" xfId="527" xr:uid="{F87C8D12-CAA7-4E1D-A025-EF6E0F187627}"/>
    <cellStyle name="좋음 3" xfId="528" xr:uid="{41708BDA-59CB-4F52-9F0B-C1AA64B3664E}"/>
    <cellStyle name="좋음 4" xfId="529" xr:uid="{8C03FC30-3BE0-47CA-B34A-8AF22EAAC46B}"/>
    <cellStyle name="좋음 5" xfId="530" xr:uid="{8296FB16-E138-4B59-8595-C30EB31563AB}"/>
    <cellStyle name="좋음 6" xfId="531" xr:uid="{C6E938FE-C817-49AE-AAE4-62B12C706E08}"/>
    <cellStyle name="좋음 7" xfId="532" xr:uid="{7BF395B3-CA66-49FF-8AFA-30305BB94624}"/>
    <cellStyle name="좋음 8" xfId="533" xr:uid="{B12700A8-3145-432B-AE92-0BF912606A88}"/>
    <cellStyle name="좋음 9" xfId="534" xr:uid="{6C63EBA2-6500-4D4E-885A-BBE87D302192}"/>
    <cellStyle name="출고대기" xfId="535" xr:uid="{469D7F04-FA99-428D-9AA3-02B7A8AD049C}"/>
    <cellStyle name="출력 10" xfId="536" xr:uid="{335E34EC-663F-4959-ABC4-F0A3FF39C7A6}"/>
    <cellStyle name="출력 11" xfId="537" xr:uid="{05154E6A-4756-4418-A42B-042F09FFD321}"/>
    <cellStyle name="출력 12" xfId="538" xr:uid="{BBC06E1E-136F-4724-AA37-89BC7E578866}"/>
    <cellStyle name="출력 13" xfId="539" xr:uid="{252E1906-D04E-4E4D-9322-9F8EA8F17E32}"/>
    <cellStyle name="출력 14" xfId="540" xr:uid="{BB6C129B-D488-456C-8A2A-345E5EDAABD5}"/>
    <cellStyle name="출력 2" xfId="541" xr:uid="{1BA0DE1A-CFA4-4462-AD8A-4071699341AA}"/>
    <cellStyle name="출력 3" xfId="542" xr:uid="{545D261A-691A-4A3D-BF80-44F51C6C516E}"/>
    <cellStyle name="출력 4" xfId="543" xr:uid="{F872DDBB-361C-4451-85DB-B86334FAC69D}"/>
    <cellStyle name="출력 5" xfId="544" xr:uid="{49AB9FAF-3074-406E-AC20-F58AEE683B59}"/>
    <cellStyle name="출력 6" xfId="545" xr:uid="{0B5E545E-C193-4A17-8262-0E5A6E748934}"/>
    <cellStyle name="출력 7" xfId="546" xr:uid="{2B7C19BB-A4FA-4B12-915C-E129B6F30E7D}"/>
    <cellStyle name="출력 8" xfId="547" xr:uid="{C2CC0652-AF18-4A68-BFBD-2C33ED24BC39}"/>
    <cellStyle name="출력 9" xfId="548" xr:uid="{09396B7C-5F18-472F-8946-179157828BBD}"/>
    <cellStyle name="통화 [0] 2" xfId="549" xr:uid="{EAC0DC53-EB53-4E27-AC3D-A7A45405A049}"/>
    <cellStyle name="표준" xfId="0" builtinId="0"/>
    <cellStyle name="표준 2" xfId="550" xr:uid="{0A620392-EC9D-40C0-940D-F2CA55F6274F}"/>
    <cellStyle name="표준 3" xfId="551" xr:uid="{45E18824-532F-4FA2-B45C-F89975CC2DD5}"/>
    <cellStyle name="표준 3 2" xfId="552" xr:uid="{D8F8BB13-16AF-41A4-95B1-D21C4C8DC9D0}"/>
    <cellStyle name="표준 4" xfId="553" xr:uid="{F48ABD08-73BC-4F82-9314-814DBDA7E89A}"/>
    <cellStyle name="표준 5" xfId="554" xr:uid="{52E99D68-8907-4534-AE37-19CE5763B367}"/>
    <cellStyle name="표준 6" xfId="555" xr:uid="{37797F77-431E-4C67-AAC1-E99BE042898F}"/>
    <cellStyle name="표준 7" xfId="556" xr:uid="{6AE72233-0BEF-4AFB-A483-8070B541410B}"/>
    <cellStyle name="표준 8" xfId="557" xr:uid="{91D634C6-4512-4DEF-BB58-B211C8F0D0D0}"/>
    <cellStyle name="표준 9" xfId="558" xr:uid="{C0F382C2-032F-4F7F-8407-546604B7BF17}"/>
    <cellStyle name="하이퍼링크 2" xfId="559" xr:uid="{2A494218-837E-4A8F-8E4E-3919B8FE63E9}"/>
    <cellStyle name="하이퍼링크 3" xfId="560" xr:uid="{11DF98B0-C8D4-43B6-AEE0-4E9223763F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741132</xdr:colOff>
      <xdr:row>3</xdr:row>
      <xdr:rowOff>8274</xdr:rowOff>
    </xdr:from>
    <xdr:ext cx="2892940" cy="71064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545ED5-4204-145F-14AD-CD07F85029C9}"/>
            </a:ext>
          </a:extLst>
        </xdr:cNvPr>
        <xdr:cNvSpPr txBox="1"/>
      </xdr:nvSpPr>
      <xdr:spPr>
        <a:xfrm>
          <a:off x="3710613" y="563209"/>
          <a:ext cx="3064559" cy="7106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altLang="ko-KR" sz="950"/>
        </a:p>
        <a:p>
          <a:r>
            <a:rPr lang="en-US" altLang="ko-KR" sz="950"/>
            <a:t>1301, Ace Gwanggyo Tower 2, 91, Chang Yong Dae-ro 256, Young Tong-Goo, Soowon-Si, South Korea</a:t>
          </a:r>
        </a:p>
        <a:p>
          <a:r>
            <a:rPr lang="en-US" altLang="ko-KR" sz="950"/>
            <a:t>TEL: +82(0)31-8014-2626 FAX: +82(0)31-8014-2629</a:t>
          </a:r>
        </a:p>
      </xdr:txBody>
    </xdr:sp>
    <xdr:clientData/>
  </xdr:oneCellAnchor>
  <xdr:twoCellAnchor editAs="oneCell">
    <xdr:from>
      <xdr:col>3</xdr:col>
      <xdr:colOff>71438</xdr:colOff>
      <xdr:row>0</xdr:row>
      <xdr:rowOff>161925</xdr:rowOff>
    </xdr:from>
    <xdr:to>
      <xdr:col>5</xdr:col>
      <xdr:colOff>395288</xdr:colOff>
      <xdr:row>2</xdr:row>
      <xdr:rowOff>161925</xdr:rowOff>
    </xdr:to>
    <xdr:pic>
      <xdr:nvPicPr>
        <xdr:cNvPr id="28153" name="그림 4" descr="[아로마준] 로고.png">
          <a:extLst>
            <a:ext uri="{FF2B5EF4-FFF2-40B4-BE49-F238E27FC236}">
              <a16:creationId xmlns:a16="http://schemas.microsoft.com/office/drawing/2014/main" id="{F0273FB5-2C97-24B7-E4D8-BCAA9D564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5688" y="161925"/>
          <a:ext cx="2281237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28575">
          <a:solidFill>
            <a:srgbClr val="7030A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11A8-BC1E-4D69-8FF1-200FFB7A2B16}">
  <dimension ref="A1:K44"/>
  <sheetViews>
    <sheetView tabSelected="1" topLeftCell="A21" zoomScale="115" zoomScaleNormal="115" workbookViewId="0">
      <selection activeCell="E29" sqref="E29"/>
    </sheetView>
  </sheetViews>
  <sheetFormatPr defaultColWidth="8.87890625" defaultRowHeight="13.5" x14ac:dyDescent="0.3"/>
  <cols>
    <col min="1" max="1" width="23.76171875" style="19" customWidth="1"/>
    <col min="2" max="2" width="10.3515625" style="20" customWidth="1"/>
    <col min="3" max="3" width="9.41015625" style="39" customWidth="1"/>
    <col min="4" max="4" width="11.76171875" style="19" customWidth="1"/>
    <col min="5" max="6" width="12.41015625" style="19" customWidth="1"/>
    <col min="7" max="16384" width="8.87890625" style="19"/>
  </cols>
  <sheetData>
    <row r="1" spans="1:11" s="1" customFormat="1" ht="15" customHeight="1" x14ac:dyDescent="0.3">
      <c r="H1" s="5"/>
      <c r="I1" s="5"/>
    </row>
    <row r="2" spans="1:11" s="1" customFormat="1" ht="15" customHeight="1" x14ac:dyDescent="0.3">
      <c r="A2" s="63" t="s">
        <v>6</v>
      </c>
      <c r="B2" s="63"/>
      <c r="C2" s="64"/>
      <c r="H2" s="5"/>
      <c r="I2" s="5"/>
    </row>
    <row r="3" spans="1:11" s="1" customFormat="1" ht="13.5" customHeight="1" x14ac:dyDescent="0.3">
      <c r="A3" s="63" t="s">
        <v>7</v>
      </c>
      <c r="B3" s="63"/>
      <c r="C3" s="64"/>
      <c r="D3" s="2"/>
      <c r="H3" s="7"/>
      <c r="I3" s="7"/>
      <c r="K3" s="5"/>
    </row>
    <row r="4" spans="1:11" s="4" customFormat="1" ht="10.5" customHeight="1" x14ac:dyDescent="0.3">
      <c r="A4" s="63"/>
      <c r="B4" s="63"/>
      <c r="C4" s="64"/>
      <c r="D4" s="3"/>
      <c r="K4" s="8"/>
    </row>
    <row r="5" spans="1:11" s="4" customFormat="1" ht="10.5" customHeight="1" x14ac:dyDescent="0.3">
      <c r="A5" s="6"/>
      <c r="B5" s="6"/>
      <c r="D5" s="3"/>
      <c r="K5" s="8"/>
    </row>
    <row r="6" spans="1:11" s="4" customFormat="1" ht="10.5" customHeight="1" x14ac:dyDescent="0.3">
      <c r="A6" s="6"/>
      <c r="B6" s="6"/>
      <c r="D6" s="3"/>
      <c r="K6" s="8"/>
    </row>
    <row r="7" spans="1:11" s="4" customFormat="1" ht="10.5" customHeight="1" x14ac:dyDescent="0.3">
      <c r="A7" s="6"/>
      <c r="B7" s="6"/>
      <c r="K7" s="8"/>
    </row>
    <row r="8" spans="1:11" s="4" customFormat="1" ht="10.5" customHeight="1" x14ac:dyDescent="0.3">
      <c r="A8" s="6"/>
      <c r="B8" s="6"/>
      <c r="K8" s="8"/>
    </row>
    <row r="9" spans="1:11" s="4" customFormat="1" ht="10.5" customHeight="1" x14ac:dyDescent="0.3">
      <c r="A9" s="9"/>
      <c r="B9" s="9"/>
      <c r="K9" s="8"/>
    </row>
    <row r="10" spans="1:11" s="12" customFormat="1" ht="16.5" customHeight="1" x14ac:dyDescent="0.3">
      <c r="A10" s="10" t="s">
        <v>8</v>
      </c>
      <c r="B10" s="65" t="s">
        <v>69</v>
      </c>
      <c r="C10" s="66"/>
      <c r="D10" s="11" t="s">
        <v>2</v>
      </c>
      <c r="E10" s="55"/>
      <c r="F10" s="56"/>
      <c r="K10" s="13"/>
    </row>
    <row r="11" spans="1:11" s="12" customFormat="1" ht="16.5" customHeight="1" x14ac:dyDescent="0.3">
      <c r="A11" s="14" t="s">
        <v>0</v>
      </c>
      <c r="B11" s="67" t="s">
        <v>70</v>
      </c>
      <c r="C11" s="68"/>
      <c r="D11" s="15" t="s">
        <v>9</v>
      </c>
      <c r="E11" s="57">
        <v>1E-4</v>
      </c>
      <c r="F11" s="58"/>
      <c r="K11" s="13"/>
    </row>
    <row r="12" spans="1:11" s="12" customFormat="1" ht="16.5" customHeight="1" x14ac:dyDescent="0.35">
      <c r="A12" s="14" t="s">
        <v>1</v>
      </c>
      <c r="B12" s="67" t="s">
        <v>71</v>
      </c>
      <c r="C12" s="68"/>
      <c r="D12" s="16" t="s">
        <v>10</v>
      </c>
      <c r="E12" s="59"/>
      <c r="F12" s="60"/>
      <c r="K12" s="13"/>
    </row>
    <row r="13" spans="1:11" s="12" customFormat="1" ht="16.5" customHeight="1" x14ac:dyDescent="0.3">
      <c r="A13" s="17" t="s">
        <v>3</v>
      </c>
      <c r="B13" s="81"/>
      <c r="C13" s="82"/>
      <c r="D13" s="18" t="s">
        <v>11</v>
      </c>
      <c r="E13" s="61">
        <v>45595</v>
      </c>
      <c r="F13" s="62"/>
      <c r="K13" s="13"/>
    </row>
    <row r="14" spans="1:11" s="4" customFormat="1" ht="12.75" customHeight="1" thickBot="1" x14ac:dyDescent="0.35">
      <c r="K14" s="8"/>
    </row>
    <row r="15" spans="1:11" s="23" customFormat="1" ht="38.25" customHeight="1" x14ac:dyDescent="0.3">
      <c r="A15" s="72" t="s">
        <v>64</v>
      </c>
      <c r="B15" s="75" t="s">
        <v>12</v>
      </c>
      <c r="C15" s="78" t="s">
        <v>13</v>
      </c>
      <c r="D15" s="69" t="s">
        <v>4</v>
      </c>
      <c r="E15" s="21" t="s">
        <v>14</v>
      </c>
      <c r="F15" s="22" t="s">
        <v>15</v>
      </c>
    </row>
    <row r="16" spans="1:11" s="23" customFormat="1" ht="16.5" customHeight="1" x14ac:dyDescent="0.3">
      <c r="A16" s="73"/>
      <c r="B16" s="76"/>
      <c r="C16" s="79"/>
      <c r="D16" s="70"/>
      <c r="E16" s="24" t="s">
        <v>5</v>
      </c>
      <c r="F16" s="25" t="s">
        <v>5</v>
      </c>
    </row>
    <row r="17" spans="1:6" s="23" customFormat="1" ht="16.5" customHeight="1" thickBot="1" x14ac:dyDescent="0.35">
      <c r="A17" s="74"/>
      <c r="B17" s="77"/>
      <c r="C17" s="80"/>
      <c r="D17" s="71"/>
      <c r="E17" s="26">
        <v>1.0000000000000001E-5</v>
      </c>
      <c r="F17" s="27">
        <v>1E-4</v>
      </c>
    </row>
    <row r="18" spans="1:6" s="23" customFormat="1" ht="16.5" customHeight="1" thickTop="1" x14ac:dyDescent="0.35">
      <c r="A18" s="28" t="s">
        <v>16</v>
      </c>
      <c r="B18" s="29" t="s">
        <v>17</v>
      </c>
      <c r="C18" s="46"/>
      <c r="D18" s="30" t="str">
        <f>IF($E$11&lt;&gt;"",IF(C18&gt;0,$E$11*C18*0.01,""),"")</f>
        <v/>
      </c>
      <c r="E18" s="31" t="str">
        <f t="shared" ref="E18:E43" si="0">IF(D18&lt;&gt;"",IF(D18&gt;$E$17,"YES","NO"),"")</f>
        <v/>
      </c>
      <c r="F18" s="32" t="str">
        <f t="shared" ref="F18:F43" si="1">IF(D18&lt;&gt;"",IF(D18&gt;$F$17,"YES","NO"),"")</f>
        <v/>
      </c>
    </row>
    <row r="19" spans="1:6" s="23" customFormat="1" ht="16.5" customHeight="1" x14ac:dyDescent="0.35">
      <c r="A19" s="33" t="s">
        <v>18</v>
      </c>
      <c r="B19" s="34" t="s">
        <v>19</v>
      </c>
      <c r="C19" s="47"/>
      <c r="D19" s="30" t="str">
        <f t="shared" ref="D19:D43" si="2">IF($E$11&lt;&gt;"",IF(C19&gt;0,$E$11*C19*0.01,""),"")</f>
        <v/>
      </c>
      <c r="E19" s="35" t="str">
        <f t="shared" si="0"/>
        <v/>
      </c>
      <c r="F19" s="36" t="str">
        <f t="shared" si="1"/>
        <v/>
      </c>
    </row>
    <row r="20" spans="1:6" s="23" customFormat="1" ht="16.5" customHeight="1" x14ac:dyDescent="0.35">
      <c r="A20" s="33" t="s">
        <v>20</v>
      </c>
      <c r="B20" s="34" t="s">
        <v>21</v>
      </c>
      <c r="C20" s="47"/>
      <c r="D20" s="30" t="str">
        <f t="shared" si="2"/>
        <v/>
      </c>
      <c r="E20" s="35" t="str">
        <f t="shared" si="0"/>
        <v/>
      </c>
      <c r="F20" s="36" t="str">
        <f t="shared" si="1"/>
        <v/>
      </c>
    </row>
    <row r="21" spans="1:6" s="23" customFormat="1" ht="16.5" customHeight="1" x14ac:dyDescent="0.35">
      <c r="A21" s="33" t="s">
        <v>61</v>
      </c>
      <c r="B21" s="34" t="s">
        <v>22</v>
      </c>
      <c r="C21" s="47"/>
      <c r="D21" s="30" t="str">
        <f t="shared" si="2"/>
        <v/>
      </c>
      <c r="E21" s="35" t="str">
        <f t="shared" si="0"/>
        <v/>
      </c>
      <c r="F21" s="36" t="str">
        <f t="shared" si="1"/>
        <v/>
      </c>
    </row>
    <row r="22" spans="1:6" s="23" customFormat="1" ht="16.5" customHeight="1" x14ac:dyDescent="0.35">
      <c r="A22" s="33" t="s">
        <v>58</v>
      </c>
      <c r="B22" s="34" t="s">
        <v>23</v>
      </c>
      <c r="C22" s="47"/>
      <c r="D22" s="30" t="str">
        <f t="shared" si="2"/>
        <v/>
      </c>
      <c r="E22" s="35" t="str">
        <f t="shared" si="0"/>
        <v/>
      </c>
      <c r="F22" s="36" t="str">
        <f t="shared" si="1"/>
        <v/>
      </c>
    </row>
    <row r="23" spans="1:6" s="23" customFormat="1" ht="16.5" customHeight="1" x14ac:dyDescent="0.35">
      <c r="A23" s="40" t="s">
        <v>24</v>
      </c>
      <c r="B23" s="41" t="s">
        <v>25</v>
      </c>
      <c r="C23" s="47"/>
      <c r="D23" s="42" t="str">
        <f t="shared" si="2"/>
        <v/>
      </c>
      <c r="E23" s="35" t="str">
        <f t="shared" si="0"/>
        <v/>
      </c>
      <c r="F23" s="36" t="str">
        <f t="shared" si="1"/>
        <v/>
      </c>
    </row>
    <row r="24" spans="1:6" s="23" customFormat="1" ht="16.5" customHeight="1" x14ac:dyDescent="0.35">
      <c r="A24" s="40" t="s">
        <v>26</v>
      </c>
      <c r="B24" s="41" t="s">
        <v>27</v>
      </c>
      <c r="C24" s="47"/>
      <c r="D24" s="42" t="str">
        <f t="shared" si="2"/>
        <v/>
      </c>
      <c r="E24" s="35" t="str">
        <f t="shared" si="0"/>
        <v/>
      </c>
      <c r="F24" s="36" t="str">
        <f t="shared" si="1"/>
        <v/>
      </c>
    </row>
    <row r="25" spans="1:6" s="23" customFormat="1" ht="16.5" customHeight="1" x14ac:dyDescent="0.35">
      <c r="A25" s="40" t="s">
        <v>28</v>
      </c>
      <c r="B25" s="41" t="s">
        <v>29</v>
      </c>
      <c r="C25" s="47"/>
      <c r="D25" s="42" t="str">
        <f t="shared" si="2"/>
        <v/>
      </c>
      <c r="E25" s="35" t="str">
        <f t="shared" si="0"/>
        <v/>
      </c>
      <c r="F25" s="36" t="str">
        <f t="shared" si="1"/>
        <v/>
      </c>
    </row>
    <row r="26" spans="1:6" s="23" customFormat="1" ht="16.5" customHeight="1" x14ac:dyDescent="0.35">
      <c r="A26" s="40" t="s">
        <v>30</v>
      </c>
      <c r="B26" s="41" t="s">
        <v>31</v>
      </c>
      <c r="C26" s="47">
        <v>0.2</v>
      </c>
      <c r="D26" s="42">
        <f t="shared" si="2"/>
        <v>2.0000000000000002E-7</v>
      </c>
      <c r="E26" s="35" t="str">
        <f t="shared" si="0"/>
        <v>NO</v>
      </c>
      <c r="F26" s="36" t="str">
        <f t="shared" si="1"/>
        <v>NO</v>
      </c>
    </row>
    <row r="27" spans="1:6" s="23" customFormat="1" ht="16.5" customHeight="1" x14ac:dyDescent="0.35">
      <c r="A27" s="40" t="s">
        <v>32</v>
      </c>
      <c r="B27" s="41" t="s">
        <v>59</v>
      </c>
      <c r="C27" s="47"/>
      <c r="D27" s="42" t="str">
        <f t="shared" si="2"/>
        <v/>
      </c>
      <c r="E27" s="35" t="str">
        <f t="shared" si="0"/>
        <v/>
      </c>
      <c r="F27" s="36" t="str">
        <f t="shared" si="1"/>
        <v/>
      </c>
    </row>
    <row r="28" spans="1:6" s="23" customFormat="1" ht="16.5" customHeight="1" x14ac:dyDescent="0.35">
      <c r="A28" s="40" t="s">
        <v>33</v>
      </c>
      <c r="B28" s="41" t="s">
        <v>34</v>
      </c>
      <c r="C28" s="47"/>
      <c r="D28" s="42" t="str">
        <f t="shared" si="2"/>
        <v/>
      </c>
      <c r="E28" s="35" t="str">
        <f t="shared" si="0"/>
        <v/>
      </c>
      <c r="F28" s="36" t="str">
        <f t="shared" si="1"/>
        <v/>
      </c>
    </row>
    <row r="29" spans="1:6" s="23" customFormat="1" ht="16.5" customHeight="1" x14ac:dyDescent="0.35">
      <c r="A29" s="40" t="s">
        <v>35</v>
      </c>
      <c r="B29" s="41" t="s">
        <v>36</v>
      </c>
      <c r="C29" s="47"/>
      <c r="D29" s="42" t="str">
        <f t="shared" si="2"/>
        <v/>
      </c>
      <c r="E29" s="35" t="str">
        <f t="shared" si="0"/>
        <v/>
      </c>
      <c r="F29" s="36" t="str">
        <f t="shared" si="1"/>
        <v/>
      </c>
    </row>
    <row r="30" spans="1:6" s="45" customFormat="1" ht="16.5" customHeight="1" x14ac:dyDescent="0.35">
      <c r="A30" s="40" t="s">
        <v>37</v>
      </c>
      <c r="B30" s="41" t="s">
        <v>38</v>
      </c>
      <c r="C30" s="47"/>
      <c r="D30" s="42" t="str">
        <f t="shared" si="2"/>
        <v/>
      </c>
      <c r="E30" s="43" t="str">
        <f t="shared" si="0"/>
        <v/>
      </c>
      <c r="F30" s="44" t="str">
        <f t="shared" si="1"/>
        <v/>
      </c>
    </row>
    <row r="31" spans="1:6" s="23" customFormat="1" ht="16.5" customHeight="1" x14ac:dyDescent="0.35">
      <c r="A31" s="40" t="s">
        <v>60</v>
      </c>
      <c r="B31" s="41" t="s">
        <v>39</v>
      </c>
      <c r="C31" s="47"/>
      <c r="D31" s="42" t="str">
        <f t="shared" si="2"/>
        <v/>
      </c>
      <c r="E31" s="35" t="str">
        <f t="shared" si="0"/>
        <v/>
      </c>
      <c r="F31" s="36" t="str">
        <f t="shared" si="1"/>
        <v/>
      </c>
    </row>
    <row r="32" spans="1:6" s="23" customFormat="1" ht="16.5" customHeight="1" x14ac:dyDescent="0.35">
      <c r="A32" s="40" t="s">
        <v>40</v>
      </c>
      <c r="B32" s="41" t="s">
        <v>41</v>
      </c>
      <c r="C32" s="47"/>
      <c r="D32" s="42" t="str">
        <f t="shared" si="2"/>
        <v/>
      </c>
      <c r="E32" s="35" t="str">
        <f t="shared" si="0"/>
        <v/>
      </c>
      <c r="F32" s="36" t="str">
        <f t="shared" si="1"/>
        <v/>
      </c>
    </row>
    <row r="33" spans="1:6" s="23" customFormat="1" ht="16.5" customHeight="1" x14ac:dyDescent="0.35">
      <c r="A33" s="40" t="s">
        <v>42</v>
      </c>
      <c r="B33" s="41" t="s">
        <v>43</v>
      </c>
      <c r="C33" s="47"/>
      <c r="D33" s="42" t="str">
        <f t="shared" si="2"/>
        <v/>
      </c>
      <c r="E33" s="35" t="str">
        <f t="shared" si="0"/>
        <v/>
      </c>
      <c r="F33" s="36" t="str">
        <f t="shared" si="1"/>
        <v/>
      </c>
    </row>
    <row r="34" spans="1:6" s="23" customFormat="1" ht="16.5" customHeight="1" x14ac:dyDescent="0.35">
      <c r="A34" s="40" t="s">
        <v>44</v>
      </c>
      <c r="B34" s="41" t="s">
        <v>45</v>
      </c>
      <c r="C34" s="47"/>
      <c r="D34" s="42" t="str">
        <f t="shared" si="2"/>
        <v/>
      </c>
      <c r="E34" s="35" t="str">
        <f t="shared" si="0"/>
        <v/>
      </c>
      <c r="F34" s="36" t="str">
        <f t="shared" si="1"/>
        <v/>
      </c>
    </row>
    <row r="35" spans="1:6" s="23" customFormat="1" ht="16.5" customHeight="1" x14ac:dyDescent="0.35">
      <c r="A35" s="40" t="s">
        <v>46</v>
      </c>
      <c r="B35" s="41" t="s">
        <v>47</v>
      </c>
      <c r="C35" s="47"/>
      <c r="D35" s="42" t="str">
        <f t="shared" si="2"/>
        <v/>
      </c>
      <c r="E35" s="35" t="str">
        <f t="shared" si="0"/>
        <v/>
      </c>
      <c r="F35" s="36" t="str">
        <f t="shared" si="1"/>
        <v/>
      </c>
    </row>
    <row r="36" spans="1:6" s="23" customFormat="1" ht="16.5" customHeight="1" x14ac:dyDescent="0.35">
      <c r="A36" s="40" t="s">
        <v>62</v>
      </c>
      <c r="B36" s="41" t="s">
        <v>48</v>
      </c>
      <c r="C36" s="47"/>
      <c r="D36" s="42" t="str">
        <f t="shared" si="2"/>
        <v/>
      </c>
      <c r="E36" s="35" t="str">
        <f t="shared" si="0"/>
        <v/>
      </c>
      <c r="F36" s="36" t="str">
        <f t="shared" si="1"/>
        <v/>
      </c>
    </row>
    <row r="37" spans="1:6" s="23" customFormat="1" ht="16.5" customHeight="1" x14ac:dyDescent="0.35">
      <c r="A37" s="40" t="s">
        <v>49</v>
      </c>
      <c r="B37" s="41" t="s">
        <v>50</v>
      </c>
      <c r="C37" s="47"/>
      <c r="D37" s="42" t="str">
        <f t="shared" si="2"/>
        <v/>
      </c>
      <c r="E37" s="35" t="str">
        <f t="shared" si="0"/>
        <v/>
      </c>
      <c r="F37" s="36" t="str">
        <f t="shared" si="1"/>
        <v/>
      </c>
    </row>
    <row r="38" spans="1:6" s="23" customFormat="1" ht="16.5" customHeight="1" x14ac:dyDescent="0.35">
      <c r="A38" s="40" t="s">
        <v>51</v>
      </c>
      <c r="B38" s="41" t="s">
        <v>52</v>
      </c>
      <c r="C38" s="47"/>
      <c r="D38" s="42" t="str">
        <f t="shared" si="2"/>
        <v/>
      </c>
      <c r="E38" s="35" t="str">
        <f t="shared" si="0"/>
        <v/>
      </c>
      <c r="F38" s="36" t="str">
        <f t="shared" si="1"/>
        <v/>
      </c>
    </row>
    <row r="39" spans="1:6" s="23" customFormat="1" ht="42" customHeight="1" x14ac:dyDescent="0.35">
      <c r="A39" s="48" t="s">
        <v>63</v>
      </c>
      <c r="B39" s="41" t="s">
        <v>53</v>
      </c>
      <c r="C39" s="47"/>
      <c r="D39" s="42" t="str">
        <f t="shared" si="2"/>
        <v/>
      </c>
      <c r="E39" s="35" t="str">
        <f t="shared" si="0"/>
        <v/>
      </c>
      <c r="F39" s="36" t="str">
        <f t="shared" si="1"/>
        <v/>
      </c>
    </row>
    <row r="40" spans="1:6" s="23" customFormat="1" ht="27.95" customHeight="1" x14ac:dyDescent="0.35">
      <c r="A40" s="48" t="s">
        <v>68</v>
      </c>
      <c r="B40" s="41" t="s">
        <v>54</v>
      </c>
      <c r="C40" s="47"/>
      <c r="D40" s="42" t="str">
        <f t="shared" si="2"/>
        <v/>
      </c>
      <c r="E40" s="35" t="str">
        <f t="shared" si="0"/>
        <v/>
      </c>
      <c r="F40" s="36" t="str">
        <f t="shared" si="1"/>
        <v/>
      </c>
    </row>
    <row r="41" spans="1:6" s="23" customFormat="1" ht="16.5" customHeight="1" x14ac:dyDescent="0.35">
      <c r="A41" s="40" t="s">
        <v>65</v>
      </c>
      <c r="B41" s="41" t="s">
        <v>55</v>
      </c>
      <c r="C41" s="47"/>
      <c r="D41" s="42" t="str">
        <f t="shared" si="2"/>
        <v/>
      </c>
      <c r="E41" s="35" t="str">
        <f t="shared" si="0"/>
        <v/>
      </c>
      <c r="F41" s="36" t="str">
        <f t="shared" si="1"/>
        <v/>
      </c>
    </row>
    <row r="42" spans="1:6" s="23" customFormat="1" ht="16.5" customHeight="1" x14ac:dyDescent="0.35">
      <c r="A42" s="40" t="s">
        <v>66</v>
      </c>
      <c r="B42" s="41" t="s">
        <v>56</v>
      </c>
      <c r="C42" s="47"/>
      <c r="D42" s="42" t="str">
        <f t="shared" si="2"/>
        <v/>
      </c>
      <c r="E42" s="35" t="str">
        <f t="shared" si="0"/>
        <v/>
      </c>
      <c r="F42" s="36" t="str">
        <f t="shared" si="1"/>
        <v/>
      </c>
    </row>
    <row r="43" spans="1:6" s="23" customFormat="1" ht="16.5" customHeight="1" thickBot="1" x14ac:dyDescent="0.4">
      <c r="A43" s="49" t="s">
        <v>67</v>
      </c>
      <c r="B43" s="50" t="s">
        <v>57</v>
      </c>
      <c r="C43" s="51"/>
      <c r="D43" s="52" t="str">
        <f t="shared" si="2"/>
        <v/>
      </c>
      <c r="E43" s="37" t="str">
        <f t="shared" si="0"/>
        <v/>
      </c>
      <c r="F43" s="38" t="str">
        <f t="shared" si="1"/>
        <v/>
      </c>
    </row>
    <row r="44" spans="1:6" customFormat="1" ht="30" customHeight="1" x14ac:dyDescent="0.3">
      <c r="A44" s="53" t="s">
        <v>72</v>
      </c>
      <c r="B44" s="54"/>
      <c r="C44" s="54"/>
      <c r="D44" s="54"/>
      <c r="E44" s="54"/>
      <c r="F44" s="54"/>
    </row>
  </sheetData>
  <mergeCells count="15">
    <mergeCell ref="A15:A17"/>
    <mergeCell ref="B15:B17"/>
    <mergeCell ref="C15:C17"/>
    <mergeCell ref="B12:C12"/>
    <mergeCell ref="B13:C13"/>
    <mergeCell ref="A44:F44"/>
    <mergeCell ref="E10:F10"/>
    <mergeCell ref="E11:F11"/>
    <mergeCell ref="E12:F12"/>
    <mergeCell ref="E13:F13"/>
    <mergeCell ref="A2:C2"/>
    <mergeCell ref="A3:C4"/>
    <mergeCell ref="B10:C10"/>
    <mergeCell ref="B11:C11"/>
    <mergeCell ref="D15:D17"/>
  </mergeCells>
  <phoneticPr fontId="2" type="noConversion"/>
  <printOptions horizontalCentered="1"/>
  <pageMargins left="0.43307086614173229" right="0.43307086614173229" top="0.70866141732283472" bottom="0.70866141732283472" header="0.51181102362204722" footer="0.51181102362204722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ALLERGEN</vt:lpstr>
    </vt:vector>
  </TitlesOfParts>
  <Company>향장실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향장실1</dc:creator>
  <cp:lastModifiedBy>박 건민</cp:lastModifiedBy>
  <cp:lastPrinted>2024-02-07T04:35:25Z</cp:lastPrinted>
  <dcterms:created xsi:type="dcterms:W3CDTF">2004-03-04T01:08:55Z</dcterms:created>
  <dcterms:modified xsi:type="dcterms:W3CDTF">2026-02-26T16:29:05Z</dcterms:modified>
</cp:coreProperties>
</file>