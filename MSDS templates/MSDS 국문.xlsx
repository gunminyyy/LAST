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55940860b5bda28d/Desktop/MSDS templates/"/>
    </mc:Choice>
  </mc:AlternateContent>
  <xr:revisionPtr revIDLastSave="1" documentId="8_{088AF359-B2EA-4249-A755-14B80A74503D}" xr6:coauthVersionLast="47" xr6:coauthVersionMax="47" xr10:uidLastSave="{FB1C9D1D-949D-4AC7-91C5-2C7C71689FFA}"/>
  <bookViews>
    <workbookView xWindow="4515" yWindow="2535" windowWidth="17580" windowHeight="17310" xr2:uid="{00000000-000D-0000-FFFF-FFFF00000000}"/>
  </bookViews>
  <sheets>
    <sheet name="국문" sheetId="1" r:id="rId1"/>
  </sheets>
  <externalReferences>
    <externalReference r:id="rId2"/>
  </externalReferences>
  <definedNames>
    <definedName name="_xlnm.Print_Area" localSheetId="0">국문!$A$1:$F$2276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93" i="1" l="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16" i="1"/>
  <c r="B615" i="1"/>
  <c r="B614" i="1"/>
  <c r="B613" i="1"/>
  <c r="B612" i="1"/>
  <c r="B611" i="1"/>
  <c r="B610" i="1"/>
  <c r="B609" i="1"/>
  <c r="B608" i="1"/>
  <c r="B607" i="1"/>
  <c r="B606" i="1"/>
  <c r="B605" i="1"/>
  <c r="B604" i="1"/>
  <c r="B603" i="1"/>
  <c r="B602" i="1"/>
  <c r="B601"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A304" i="1"/>
  <c r="A772" i="1" s="1"/>
  <c r="A303" i="1"/>
  <c r="A771" i="1" s="1"/>
  <c r="A302" i="1"/>
  <c r="A770" i="1" s="1"/>
  <c r="A301" i="1"/>
  <c r="A769" i="1" s="1"/>
  <c r="A300" i="1"/>
  <c r="A768" i="1" s="1"/>
  <c r="A299" i="1"/>
  <c r="A968" i="1" s="1"/>
  <c r="A298" i="1"/>
  <c r="A967" i="1" s="1"/>
  <c r="A297" i="1"/>
  <c r="A765" i="1" s="1"/>
  <c r="A296" i="1"/>
  <c r="A764" i="1" s="1"/>
  <c r="A295" i="1"/>
  <c r="A763" i="1" s="1"/>
  <c r="A294" i="1"/>
  <c r="A762" i="1" s="1"/>
  <c r="A293" i="1"/>
  <c r="A761" i="1" s="1"/>
  <c r="A292" i="1"/>
  <c r="A961" i="1" s="1"/>
  <c r="A291" i="1"/>
  <c r="A759" i="1" s="1"/>
  <c r="A290" i="1"/>
  <c r="A758" i="1" s="1"/>
  <c r="A289" i="1"/>
  <c r="A757" i="1" s="1"/>
  <c r="A288" i="1"/>
  <c r="A756" i="1" s="1"/>
  <c r="A287" i="1"/>
  <c r="A755" i="1" s="1"/>
  <c r="A286" i="1"/>
  <c r="A754" i="1" s="1"/>
  <c r="A285" i="1"/>
  <c r="A753" i="1" s="1"/>
  <c r="A284" i="1"/>
  <c r="A752" i="1" s="1"/>
  <c r="A283" i="1"/>
  <c r="A751" i="1" s="1"/>
  <c r="A282" i="1"/>
  <c r="A750" i="1" s="1"/>
  <c r="A281" i="1"/>
  <c r="A749" i="1" s="1"/>
  <c r="A280" i="1"/>
  <c r="A748" i="1" s="1"/>
  <c r="A279" i="1"/>
  <c r="A747" i="1" s="1"/>
  <c r="A278" i="1"/>
  <c r="A746" i="1" s="1"/>
  <c r="A277" i="1"/>
  <c r="A2170" i="1" s="1"/>
  <c r="A218" i="1"/>
  <c r="A686" i="1" s="1"/>
  <c r="A217" i="1"/>
  <c r="A685" i="1" s="1"/>
  <c r="A216" i="1"/>
  <c r="A684" i="1" s="1"/>
  <c r="A215" i="1"/>
  <c r="A683" i="1" s="1"/>
  <c r="A214" i="1"/>
  <c r="A682" i="1" s="1"/>
  <c r="A213" i="1"/>
  <c r="A681" i="1" s="1"/>
  <c r="A212" i="1"/>
  <c r="A680" i="1" s="1"/>
  <c r="A211" i="1"/>
  <c r="A679" i="1" s="1"/>
  <c r="A210" i="1"/>
  <c r="A678" i="1" s="1"/>
  <c r="A209" i="1"/>
  <c r="A677" i="1" s="1"/>
  <c r="A208" i="1"/>
  <c r="A676" i="1" s="1"/>
  <c r="A207" i="1"/>
  <c r="A675" i="1" s="1"/>
  <c r="A206" i="1"/>
  <c r="A674" i="1" s="1"/>
  <c r="A205" i="1"/>
  <c r="A673" i="1" s="1"/>
  <c r="A204" i="1"/>
  <c r="A672" i="1" s="1"/>
  <c r="A203" i="1"/>
  <c r="A671" i="1" s="1"/>
  <c r="A202" i="1"/>
  <c r="A670" i="1" s="1"/>
  <c r="A201" i="1"/>
  <c r="A669" i="1" s="1"/>
  <c r="A200" i="1"/>
  <c r="A668" i="1" s="1"/>
  <c r="A199" i="1"/>
  <c r="A667" i="1" s="1"/>
  <c r="A198" i="1"/>
  <c r="A666" i="1" s="1"/>
  <c r="A197" i="1"/>
  <c r="A665" i="1" s="1"/>
  <c r="A196" i="1"/>
  <c r="A664" i="1" s="1"/>
  <c r="A195" i="1"/>
  <c r="A663" i="1" s="1"/>
  <c r="A194" i="1"/>
  <c r="A662" i="1" s="1"/>
  <c r="A193" i="1"/>
  <c r="A661" i="1" s="1"/>
  <c r="A192" i="1"/>
  <c r="A660" i="1" s="1"/>
  <c r="A191" i="1"/>
  <c r="A659" i="1" s="1"/>
  <c r="A190" i="1"/>
  <c r="A658" i="1" s="1"/>
  <c r="A189" i="1"/>
  <c r="A657" i="1" s="1"/>
  <c r="A188" i="1"/>
  <c r="A656" i="1" s="1"/>
  <c r="A187" i="1"/>
  <c r="A655" i="1" s="1"/>
  <c r="A186" i="1"/>
  <c r="A654" i="1" s="1"/>
  <c r="A185" i="1"/>
  <c r="A653" i="1" s="1"/>
  <c r="A184" i="1"/>
  <c r="A652" i="1" s="1"/>
  <c r="A183" i="1"/>
  <c r="A651" i="1" s="1"/>
  <c r="A182" i="1"/>
  <c r="A650" i="1" s="1"/>
  <c r="A181" i="1"/>
  <c r="A649" i="1" s="1"/>
  <c r="A180" i="1"/>
  <c r="A648" i="1" s="1"/>
  <c r="A179" i="1"/>
  <c r="A647" i="1" s="1"/>
  <c r="A178" i="1"/>
  <c r="A646" i="1" s="1"/>
  <c r="A177" i="1"/>
  <c r="A645" i="1" s="1"/>
  <c r="A176" i="1"/>
  <c r="A644" i="1" s="1"/>
  <c r="A175" i="1"/>
  <c r="A643" i="1" s="1"/>
  <c r="A174" i="1"/>
  <c r="A642" i="1" s="1"/>
  <c r="A173" i="1"/>
  <c r="A641" i="1" s="1"/>
  <c r="A172" i="1"/>
  <c r="A640" i="1" s="1"/>
  <c r="A171" i="1"/>
  <c r="A639" i="1" s="1"/>
  <c r="A170" i="1"/>
  <c r="A638" i="1" s="1"/>
  <c r="A169" i="1"/>
  <c r="A637" i="1" s="1"/>
  <c r="A168" i="1"/>
  <c r="A636" i="1" s="1"/>
  <c r="A167" i="1"/>
  <c r="A635" i="1" s="1"/>
  <c r="A166" i="1"/>
  <c r="A634" i="1" s="1"/>
  <c r="A165" i="1"/>
  <c r="A633" i="1" s="1"/>
  <c r="A164" i="1"/>
  <c r="A632" i="1" s="1"/>
  <c r="A163" i="1"/>
  <c r="A631" i="1" s="1"/>
  <c r="A162" i="1"/>
  <c r="A630" i="1" s="1"/>
  <c r="A161" i="1"/>
  <c r="A629" i="1" s="1"/>
  <c r="A160" i="1"/>
  <c r="A628" i="1" s="1"/>
  <c r="A159" i="1"/>
  <c r="A627" i="1" s="1"/>
  <c r="A158" i="1"/>
  <c r="A626" i="1" s="1"/>
  <c r="A157" i="1"/>
  <c r="A625" i="1" s="1"/>
  <c r="A156" i="1"/>
  <c r="A624" i="1" s="1"/>
  <c r="A155" i="1"/>
  <c r="A623" i="1" s="1"/>
  <c r="A154" i="1"/>
  <c r="A622" i="1" s="1"/>
  <c r="A153" i="1"/>
  <c r="A621" i="1" s="1"/>
  <c r="A152" i="1"/>
  <c r="A620" i="1" s="1"/>
  <c r="A151" i="1"/>
  <c r="A619" i="1" s="1"/>
  <c r="A150" i="1"/>
  <c r="A618" i="1" s="1"/>
  <c r="A149" i="1"/>
  <c r="A617" i="1" s="1"/>
  <c r="A148" i="1"/>
  <c r="A616" i="1" s="1"/>
  <c r="A147" i="1"/>
  <c r="A615" i="1" s="1"/>
  <c r="A146" i="1"/>
  <c r="A614" i="1" s="1"/>
  <c r="A145" i="1"/>
  <c r="A613" i="1" s="1"/>
  <c r="A144" i="1"/>
  <c r="A612" i="1" s="1"/>
  <c r="A143" i="1"/>
  <c r="A611" i="1" s="1"/>
  <c r="A142" i="1"/>
  <c r="A610" i="1" s="1"/>
  <c r="A141" i="1"/>
  <c r="A609" i="1" s="1"/>
  <c r="A140" i="1"/>
  <c r="A608" i="1" s="1"/>
  <c r="A139" i="1"/>
  <c r="A607" i="1" s="1"/>
  <c r="A138" i="1"/>
  <c r="A606" i="1" s="1"/>
  <c r="A137" i="1"/>
  <c r="A605" i="1" s="1"/>
  <c r="A136" i="1"/>
  <c r="A604" i="1" s="1"/>
  <c r="A135" i="1"/>
  <c r="A603" i="1" s="1"/>
  <c r="A134" i="1"/>
  <c r="A602" i="1" s="1"/>
  <c r="A133" i="1"/>
  <c r="A601" i="1" s="1"/>
  <c r="A261" i="1"/>
  <c r="A729" i="1" s="1"/>
  <c r="A260" i="1"/>
  <c r="A728" i="1" s="1"/>
  <c r="A259" i="1"/>
  <c r="A727" i="1" s="1"/>
  <c r="A258" i="1"/>
  <c r="A726" i="1" s="1"/>
  <c r="A257" i="1"/>
  <c r="A725" i="1" s="1"/>
  <c r="A256" i="1"/>
  <c r="A724" i="1" s="1"/>
  <c r="A255" i="1"/>
  <c r="A723" i="1" s="1"/>
  <c r="A254" i="1"/>
  <c r="A722" i="1" s="1"/>
  <c r="A253" i="1"/>
  <c r="A721" i="1" s="1"/>
  <c r="A252" i="1"/>
  <c r="A720" i="1" s="1"/>
  <c r="A251" i="1"/>
  <c r="A719" i="1" s="1"/>
  <c r="A250" i="1"/>
  <c r="A718" i="1" s="1"/>
  <c r="A249" i="1"/>
  <c r="A717" i="1" s="1"/>
  <c r="A248" i="1"/>
  <c r="A716" i="1" s="1"/>
  <c r="A247" i="1"/>
  <c r="A715" i="1" s="1"/>
  <c r="A246" i="1"/>
  <c r="A714" i="1" s="1"/>
  <c r="A245" i="1"/>
  <c r="A713" i="1" s="1"/>
  <c r="A244" i="1"/>
  <c r="A712" i="1" s="1"/>
  <c r="A243" i="1"/>
  <c r="A711" i="1" s="1"/>
  <c r="A242" i="1"/>
  <c r="A710" i="1" s="1"/>
  <c r="A241" i="1"/>
  <c r="A709" i="1" s="1"/>
  <c r="A240" i="1"/>
  <c r="A708" i="1" s="1"/>
  <c r="A239" i="1"/>
  <c r="A707" i="1" s="1"/>
  <c r="A238" i="1"/>
  <c r="A706" i="1" s="1"/>
  <c r="A237" i="1"/>
  <c r="A705" i="1" s="1"/>
  <c r="A236" i="1"/>
  <c r="A1928" i="1" s="1"/>
  <c r="A235" i="1"/>
  <c r="A1320" i="1" s="1"/>
  <c r="A234" i="1"/>
  <c r="A1104" i="1" s="1"/>
  <c r="A233" i="1"/>
  <c r="A1103" i="1" s="1"/>
  <c r="A232" i="1"/>
  <c r="A1102" i="1" s="1"/>
  <c r="A231" i="1"/>
  <c r="A699" i="1" s="1"/>
  <c r="A230" i="1"/>
  <c r="A698" i="1" s="1"/>
  <c r="A229" i="1"/>
  <c r="A697" i="1" s="1"/>
  <c r="A228" i="1"/>
  <c r="A696" i="1" s="1"/>
  <c r="A227" i="1"/>
  <c r="A695" i="1" s="1"/>
  <c r="A226" i="1"/>
  <c r="A694" i="1" s="1"/>
  <c r="A225" i="1"/>
  <c r="A894" i="1" s="1"/>
  <c r="A224" i="1"/>
  <c r="A893" i="1" s="1"/>
  <c r="A223" i="1"/>
  <c r="A691" i="1" s="1"/>
  <c r="A222" i="1"/>
  <c r="A690" i="1" s="1"/>
  <c r="A221" i="1"/>
  <c r="A689" i="1" s="1"/>
  <c r="A220" i="1"/>
  <c r="A688" i="1" s="1"/>
  <c r="A219" i="1"/>
  <c r="A687" i="1" s="1"/>
  <c r="D124" i="1"/>
  <c r="D123" i="1"/>
  <c r="D122" i="1"/>
  <c r="D121" i="1"/>
  <c r="D120" i="1"/>
  <c r="D119" i="1"/>
  <c r="D118" i="1"/>
  <c r="D117" i="1"/>
  <c r="D116" i="1"/>
  <c r="B816" i="1" s="1"/>
  <c r="D115" i="1"/>
  <c r="B815" i="1" s="1"/>
  <c r="D114" i="1"/>
  <c r="B814" i="1" s="1"/>
  <c r="D113" i="1"/>
  <c r="B813" i="1" s="1"/>
  <c r="D112" i="1"/>
  <c r="B812" i="1" s="1"/>
  <c r="D111" i="1"/>
  <c r="B811" i="1" s="1"/>
  <c r="D110" i="1"/>
  <c r="B810" i="1" s="1"/>
  <c r="D109" i="1"/>
  <c r="B809" i="1" s="1"/>
  <c r="D108" i="1"/>
  <c r="B808" i="1" s="1"/>
  <c r="D100" i="1"/>
  <c r="B1009" i="1" s="1"/>
  <c r="D99" i="1"/>
  <c r="B1008" i="1" s="1"/>
  <c r="D98" i="1"/>
  <c r="B1007" i="1" s="1"/>
  <c r="D97" i="1"/>
  <c r="B1006" i="1" s="1"/>
  <c r="D96" i="1"/>
  <c r="B1005" i="1" s="1"/>
  <c r="D95" i="1"/>
  <c r="B1004" i="1" s="1"/>
  <c r="D94" i="1"/>
  <c r="B1003" i="1" s="1"/>
  <c r="D93" i="1"/>
  <c r="D92" i="1"/>
  <c r="D91" i="1"/>
  <c r="D90" i="1"/>
  <c r="D89" i="1"/>
  <c r="D88" i="1"/>
  <c r="D87" i="1"/>
  <c r="D75" i="1"/>
  <c r="D74" i="1"/>
  <c r="D73" i="1"/>
  <c r="D72" i="1"/>
  <c r="D71" i="1"/>
  <c r="D70" i="1"/>
  <c r="D54" i="1"/>
  <c r="D53" i="1"/>
  <c r="D52" i="1"/>
  <c r="D51" i="1"/>
  <c r="D50" i="1"/>
  <c r="D49" i="1"/>
  <c r="D48" i="1"/>
  <c r="D47" i="1"/>
  <c r="D36" i="1"/>
  <c r="D35" i="1"/>
  <c r="D34" i="1"/>
  <c r="D33" i="1"/>
  <c r="D32" i="1"/>
  <c r="D31" i="1"/>
  <c r="D30" i="1"/>
  <c r="D29" i="1"/>
  <c r="D44" i="1"/>
  <c r="A2194" i="1" l="1"/>
  <c r="A2146" i="1"/>
  <c r="A2122" i="1"/>
  <c r="A2098" i="1"/>
  <c r="A2074" i="1"/>
  <c r="A2050" i="1"/>
  <c r="A2193" i="1"/>
  <c r="A2145" i="1"/>
  <c r="A2121" i="1"/>
  <c r="A2097" i="1"/>
  <c r="A2073" i="1"/>
  <c r="A2049" i="1"/>
  <c r="A2192" i="1"/>
  <c r="A2144" i="1"/>
  <c r="A2120" i="1"/>
  <c r="A2096" i="1"/>
  <c r="A2072" i="1"/>
  <c r="A2048" i="1"/>
  <c r="A2191" i="1"/>
  <c r="A2143" i="1"/>
  <c r="A2119" i="1"/>
  <c r="A2095" i="1"/>
  <c r="A2071" i="1"/>
  <c r="A2047" i="1"/>
  <c r="A2190" i="1"/>
  <c r="A2142" i="1"/>
  <c r="A2118" i="1"/>
  <c r="A2094" i="1"/>
  <c r="A2070" i="1"/>
  <c r="A2046" i="1"/>
  <c r="A2189" i="1"/>
  <c r="A2141" i="1"/>
  <c r="A2117" i="1"/>
  <c r="A2093" i="1"/>
  <c r="A2069" i="1"/>
  <c r="A2045" i="1"/>
  <c r="A2188" i="1"/>
  <c r="A2140" i="1"/>
  <c r="A2116" i="1"/>
  <c r="A2092" i="1"/>
  <c r="A2068" i="1"/>
  <c r="A2044" i="1"/>
  <c r="A2187" i="1"/>
  <c r="A2139" i="1"/>
  <c r="A2115" i="1"/>
  <c r="A2091" i="1"/>
  <c r="A2067" i="1"/>
  <c r="A2043" i="1"/>
  <c r="A2186" i="1"/>
  <c r="A2138" i="1"/>
  <c r="A2114" i="1"/>
  <c r="A2090" i="1"/>
  <c r="A2066" i="1"/>
  <c r="A2042" i="1"/>
  <c r="A2185" i="1"/>
  <c r="A2137" i="1"/>
  <c r="A2113" i="1"/>
  <c r="A2089" i="1"/>
  <c r="A2065" i="1"/>
  <c r="A2041" i="1"/>
  <c r="A2184" i="1"/>
  <c r="A2136" i="1"/>
  <c r="A2112" i="1"/>
  <c r="A2088" i="1"/>
  <c r="A2064" i="1"/>
  <c r="A2040" i="1"/>
  <c r="A2183" i="1"/>
  <c r="A2135" i="1"/>
  <c r="A2111" i="1"/>
  <c r="A2087" i="1"/>
  <c r="A2063" i="1"/>
  <c r="A2039" i="1"/>
  <c r="A2182" i="1"/>
  <c r="A2134" i="1"/>
  <c r="A2110" i="1"/>
  <c r="A2086" i="1"/>
  <c r="A2062" i="1"/>
  <c r="A2038" i="1"/>
  <c r="A2181" i="1"/>
  <c r="A2133" i="1"/>
  <c r="A2109" i="1"/>
  <c r="A2085" i="1"/>
  <c r="A2061" i="1"/>
  <c r="A2037" i="1"/>
  <c r="A2180" i="1"/>
  <c r="A2132" i="1"/>
  <c r="A2108" i="1"/>
  <c r="A2084" i="1"/>
  <c r="A2060" i="1"/>
  <c r="A2036" i="1"/>
  <c r="A2179" i="1"/>
  <c r="A2131" i="1"/>
  <c r="A2107" i="1"/>
  <c r="A2083" i="1"/>
  <c r="A2059" i="1"/>
  <c r="A2035" i="1"/>
  <c r="A2026" i="1"/>
  <c r="A2178" i="1"/>
  <c r="A2154" i="1"/>
  <c r="A2130" i="1"/>
  <c r="A2106" i="1"/>
  <c r="A2082" i="1"/>
  <c r="A2058" i="1"/>
  <c r="A2034" i="1"/>
  <c r="A2177" i="1"/>
  <c r="A2153" i="1"/>
  <c r="A2129" i="1"/>
  <c r="A2105" i="1"/>
  <c r="A2081" i="1"/>
  <c r="A2057" i="1"/>
  <c r="A2033" i="1"/>
  <c r="A2176" i="1"/>
  <c r="A2152" i="1"/>
  <c r="A2128" i="1"/>
  <c r="A2104" i="1"/>
  <c r="A2080" i="1"/>
  <c r="A2056" i="1"/>
  <c r="A2032" i="1"/>
  <c r="A2175" i="1"/>
  <c r="A2151" i="1"/>
  <c r="A2127" i="1"/>
  <c r="A2103" i="1"/>
  <c r="A2079" i="1"/>
  <c r="A2055" i="1"/>
  <c r="A2031" i="1"/>
  <c r="A2174" i="1"/>
  <c r="A2150" i="1"/>
  <c r="A2126" i="1"/>
  <c r="A2102" i="1"/>
  <c r="A2078" i="1"/>
  <c r="A2054" i="1"/>
  <c r="A2030" i="1"/>
  <c r="A2197" i="1"/>
  <c r="A2173" i="1"/>
  <c r="A2149" i="1"/>
  <c r="A2125" i="1"/>
  <c r="A2101" i="1"/>
  <c r="A2077" i="1"/>
  <c r="A2053" i="1"/>
  <c r="A2029" i="1"/>
  <c r="A2196" i="1"/>
  <c r="A2172" i="1"/>
  <c r="A2148" i="1"/>
  <c r="A2124" i="1"/>
  <c r="A2100" i="1"/>
  <c r="A2076" i="1"/>
  <c r="A2052" i="1"/>
  <c r="A2028" i="1"/>
  <c r="A2195" i="1"/>
  <c r="A2171" i="1"/>
  <c r="A2147" i="1"/>
  <c r="A2123" i="1"/>
  <c r="A2099" i="1"/>
  <c r="A2075" i="1"/>
  <c r="A2051" i="1"/>
  <c r="A2027" i="1"/>
  <c r="B2026" i="1"/>
  <c r="B2027" i="1"/>
  <c r="B2039" i="1"/>
  <c r="B2028" i="1"/>
  <c r="B2040" i="1"/>
  <c r="B2029" i="1"/>
  <c r="B2030" i="1"/>
  <c r="B2031" i="1"/>
  <c r="A1975" i="1"/>
  <c r="A1951" i="1"/>
  <c r="A1927" i="1"/>
  <c r="A1903" i="1"/>
  <c r="A1879" i="1"/>
  <c r="A1855" i="1"/>
  <c r="A1831" i="1"/>
  <c r="A1974" i="1"/>
  <c r="A1950" i="1"/>
  <c r="A1926" i="1"/>
  <c r="A1902" i="1"/>
  <c r="A1878" i="1"/>
  <c r="A1854" i="1"/>
  <c r="A1830" i="1"/>
  <c r="A1973" i="1"/>
  <c r="A1949" i="1"/>
  <c r="A1925" i="1"/>
  <c r="A1901" i="1"/>
  <c r="A1877" i="1"/>
  <c r="A1853" i="1"/>
  <c r="A1829" i="1"/>
  <c r="A1996" i="1"/>
  <c r="A1972" i="1"/>
  <c r="A1948" i="1"/>
  <c r="A1924" i="1"/>
  <c r="A1900" i="1"/>
  <c r="A1876" i="1"/>
  <c r="A1852" i="1"/>
  <c r="A1828" i="1"/>
  <c r="A1995" i="1"/>
  <c r="A1971" i="1"/>
  <c r="A1947" i="1"/>
  <c r="A1923" i="1"/>
  <c r="A1899" i="1"/>
  <c r="A1875" i="1"/>
  <c r="A1851" i="1"/>
  <c r="A1827" i="1"/>
  <c r="A1994" i="1"/>
  <c r="A1970" i="1"/>
  <c r="A1946" i="1"/>
  <c r="A1922" i="1"/>
  <c r="A1898" i="1"/>
  <c r="A1874" i="1"/>
  <c r="A1850" i="1"/>
  <c r="A1826" i="1"/>
  <c r="A1993" i="1"/>
  <c r="A1969" i="1"/>
  <c r="A1945" i="1"/>
  <c r="A1921" i="1"/>
  <c r="A1897" i="1"/>
  <c r="A1873" i="1"/>
  <c r="A1849" i="1"/>
  <c r="A1992" i="1"/>
  <c r="A1944" i="1"/>
  <c r="A1920" i="1"/>
  <c r="A1896" i="1"/>
  <c r="A1872" i="1"/>
  <c r="A1848" i="1"/>
  <c r="A1991" i="1"/>
  <c r="A1943" i="1"/>
  <c r="A1919" i="1"/>
  <c r="A1895" i="1"/>
  <c r="A1871" i="1"/>
  <c r="A1847" i="1"/>
  <c r="A1990" i="1"/>
  <c r="A1942" i="1"/>
  <c r="A1918" i="1"/>
  <c r="A1894" i="1"/>
  <c r="A1870" i="1"/>
  <c r="A1846" i="1"/>
  <c r="A1989" i="1"/>
  <c r="A1941" i="1"/>
  <c r="A1917" i="1"/>
  <c r="A1893" i="1"/>
  <c r="A1869" i="1"/>
  <c r="A1845" i="1"/>
  <c r="A1988" i="1"/>
  <c r="A1940" i="1"/>
  <c r="A1916" i="1"/>
  <c r="A1892" i="1"/>
  <c r="A1868" i="1"/>
  <c r="A1844" i="1"/>
  <c r="A1987" i="1"/>
  <c r="A1939" i="1"/>
  <c r="A1915" i="1"/>
  <c r="A1891" i="1"/>
  <c r="A1867" i="1"/>
  <c r="A1843" i="1"/>
  <c r="A1986" i="1"/>
  <c r="A1938" i="1"/>
  <c r="A1914" i="1"/>
  <c r="A1890" i="1"/>
  <c r="A1866" i="1"/>
  <c r="A1842" i="1"/>
  <c r="A1985" i="1"/>
  <c r="A1937" i="1"/>
  <c r="A1913" i="1"/>
  <c r="A1889" i="1"/>
  <c r="A1865" i="1"/>
  <c r="A1841" i="1"/>
  <c r="A1984" i="1"/>
  <c r="A1936" i="1"/>
  <c r="A1912" i="1"/>
  <c r="A1888" i="1"/>
  <c r="A1864" i="1"/>
  <c r="A1840" i="1"/>
  <c r="A1983" i="1"/>
  <c r="A1935" i="1"/>
  <c r="A1911" i="1"/>
  <c r="A1887" i="1"/>
  <c r="A1863" i="1"/>
  <c r="A1839" i="1"/>
  <c r="A1982" i="1"/>
  <c r="A1934" i="1"/>
  <c r="A1910" i="1"/>
  <c r="A1886" i="1"/>
  <c r="A1862" i="1"/>
  <c r="A1838" i="1"/>
  <c r="A1981" i="1"/>
  <c r="A1933" i="1"/>
  <c r="A1909" i="1"/>
  <c r="A1885" i="1"/>
  <c r="A1861" i="1"/>
  <c r="A1837" i="1"/>
  <c r="A1980" i="1"/>
  <c r="A1932" i="1"/>
  <c r="A1908" i="1"/>
  <c r="A1884" i="1"/>
  <c r="A1860" i="1"/>
  <c r="A1836" i="1"/>
  <c r="A1979" i="1"/>
  <c r="A1931" i="1"/>
  <c r="A1907" i="1"/>
  <c r="A1883" i="1"/>
  <c r="A1859" i="1"/>
  <c r="A1835" i="1"/>
  <c r="A1978" i="1"/>
  <c r="A1930" i="1"/>
  <c r="A1906" i="1"/>
  <c r="A1882" i="1"/>
  <c r="A1858" i="1"/>
  <c r="A1834" i="1"/>
  <c r="A1825" i="1"/>
  <c r="A1977" i="1"/>
  <c r="A1953" i="1"/>
  <c r="A1929" i="1"/>
  <c r="A1905" i="1"/>
  <c r="A1881" i="1"/>
  <c r="A1857" i="1"/>
  <c r="A1833" i="1"/>
  <c r="A1976" i="1"/>
  <c r="A1952" i="1"/>
  <c r="A1904" i="1"/>
  <c r="A1880" i="1"/>
  <c r="A1856" i="1"/>
  <c r="A1832" i="1"/>
  <c r="B1835" i="1"/>
  <c r="B1836" i="1"/>
  <c r="B1825" i="1"/>
  <c r="B1837" i="1"/>
  <c r="B1826" i="1"/>
  <c r="B1838" i="1"/>
  <c r="B1827" i="1"/>
  <c r="B1839" i="1"/>
  <c r="A1792" i="1"/>
  <c r="A1768" i="1"/>
  <c r="A1744" i="1"/>
  <c r="A1720" i="1"/>
  <c r="A1696" i="1"/>
  <c r="A1672" i="1"/>
  <c r="A1648" i="1"/>
  <c r="A1791" i="1"/>
  <c r="A1743" i="1"/>
  <c r="A1719" i="1"/>
  <c r="A1695" i="1"/>
  <c r="A1671" i="1"/>
  <c r="A1647" i="1"/>
  <c r="A1790" i="1"/>
  <c r="A1742" i="1"/>
  <c r="A1718" i="1"/>
  <c r="A1694" i="1"/>
  <c r="A1670" i="1"/>
  <c r="A1646" i="1"/>
  <c r="A1789" i="1"/>
  <c r="A1741" i="1"/>
  <c r="A1717" i="1"/>
  <c r="A1693" i="1"/>
  <c r="A1669" i="1"/>
  <c r="A1645" i="1"/>
  <c r="A1788" i="1"/>
  <c r="A1740" i="1"/>
  <c r="A1716" i="1"/>
  <c r="A1692" i="1"/>
  <c r="A1668" i="1"/>
  <c r="A1644" i="1"/>
  <c r="A1787" i="1"/>
  <c r="A1739" i="1"/>
  <c r="A1715" i="1"/>
  <c r="A1691" i="1"/>
  <c r="A1667" i="1"/>
  <c r="A1643" i="1"/>
  <c r="A1786" i="1"/>
  <c r="A1738" i="1"/>
  <c r="A1714" i="1"/>
  <c r="A1690" i="1"/>
  <c r="A1666" i="1"/>
  <c r="A1642" i="1"/>
  <c r="A1785" i="1"/>
  <c r="A1737" i="1"/>
  <c r="A1713" i="1"/>
  <c r="A1689" i="1"/>
  <c r="A1665" i="1"/>
  <c r="A1641" i="1"/>
  <c r="A1784" i="1"/>
  <c r="A1736" i="1"/>
  <c r="A1712" i="1"/>
  <c r="A1688" i="1"/>
  <c r="A1664" i="1"/>
  <c r="A1640" i="1"/>
  <c r="A1783" i="1"/>
  <c r="A1735" i="1"/>
  <c r="A1711" i="1"/>
  <c r="A1687" i="1"/>
  <c r="A1663" i="1"/>
  <c r="A1639" i="1"/>
  <c r="A1782" i="1"/>
  <c r="A1734" i="1"/>
  <c r="A1710" i="1"/>
  <c r="A1686" i="1"/>
  <c r="A1662" i="1"/>
  <c r="A1638" i="1"/>
  <c r="A1781" i="1"/>
  <c r="A1733" i="1"/>
  <c r="A1709" i="1"/>
  <c r="A1685" i="1"/>
  <c r="A1661" i="1"/>
  <c r="A1637" i="1"/>
  <c r="A1780" i="1"/>
  <c r="A1732" i="1"/>
  <c r="A1708" i="1"/>
  <c r="A1684" i="1"/>
  <c r="A1660" i="1"/>
  <c r="A1636" i="1"/>
  <c r="A1779" i="1"/>
  <c r="A1731" i="1"/>
  <c r="A1707" i="1"/>
  <c r="A1683" i="1"/>
  <c r="A1659" i="1"/>
  <c r="A1635" i="1"/>
  <c r="A1778" i="1"/>
  <c r="A1730" i="1"/>
  <c r="A1706" i="1"/>
  <c r="A1682" i="1"/>
  <c r="A1658" i="1"/>
  <c r="A1634" i="1"/>
  <c r="A1777" i="1"/>
  <c r="A1729" i="1"/>
  <c r="A1705" i="1"/>
  <c r="A1681" i="1"/>
  <c r="A1657" i="1"/>
  <c r="A1633" i="1"/>
  <c r="A1624" i="1"/>
  <c r="A1776" i="1"/>
  <c r="A1752" i="1"/>
  <c r="A1728" i="1"/>
  <c r="A1704" i="1"/>
  <c r="A1680" i="1"/>
  <c r="A1656" i="1"/>
  <c r="A1632" i="1"/>
  <c r="A1775" i="1"/>
  <c r="A1751" i="1"/>
  <c r="A1727" i="1"/>
  <c r="A1703" i="1"/>
  <c r="A1679" i="1"/>
  <c r="A1655" i="1"/>
  <c r="A1631" i="1"/>
  <c r="A1774" i="1"/>
  <c r="A1750" i="1"/>
  <c r="A1726" i="1"/>
  <c r="A1702" i="1"/>
  <c r="A1678" i="1"/>
  <c r="A1654" i="1"/>
  <c r="A1630" i="1"/>
  <c r="A1773" i="1"/>
  <c r="A1749" i="1"/>
  <c r="A1725" i="1"/>
  <c r="A1701" i="1"/>
  <c r="A1677" i="1"/>
  <c r="A1653" i="1"/>
  <c r="A1629" i="1"/>
  <c r="A1772" i="1"/>
  <c r="A1748" i="1"/>
  <c r="A1724" i="1"/>
  <c r="A1700" i="1"/>
  <c r="A1676" i="1"/>
  <c r="A1652" i="1"/>
  <c r="A1628" i="1"/>
  <c r="A1795" i="1"/>
  <c r="A1771" i="1"/>
  <c r="A1747" i="1"/>
  <c r="A1723" i="1"/>
  <c r="A1699" i="1"/>
  <c r="A1675" i="1"/>
  <c r="A1651" i="1"/>
  <c r="A1627" i="1"/>
  <c r="A1794" i="1"/>
  <c r="A1770" i="1"/>
  <c r="A1746" i="1"/>
  <c r="A1722" i="1"/>
  <c r="A1698" i="1"/>
  <c r="A1674" i="1"/>
  <c r="A1650" i="1"/>
  <c r="A1626" i="1"/>
  <c r="A1793" i="1"/>
  <c r="A1769" i="1"/>
  <c r="A1745" i="1"/>
  <c r="A1721" i="1"/>
  <c r="A1697" i="1"/>
  <c r="A1673" i="1"/>
  <c r="A1649" i="1"/>
  <c r="A1625" i="1"/>
  <c r="B1624" i="1"/>
  <c r="B1636" i="1"/>
  <c r="B1625" i="1"/>
  <c r="B1637" i="1"/>
  <c r="B1626" i="1"/>
  <c r="B1638" i="1"/>
  <c r="B1627" i="1"/>
  <c r="B1635" i="1"/>
  <c r="A1589" i="1"/>
  <c r="A1565" i="1"/>
  <c r="A1541" i="1"/>
  <c r="A1517" i="1"/>
  <c r="A1493" i="1"/>
  <c r="A1469" i="1"/>
  <c r="A1445" i="1"/>
  <c r="A1421" i="1"/>
  <c r="A1588" i="1"/>
  <c r="A1564" i="1"/>
  <c r="A1540" i="1"/>
  <c r="A1516" i="1"/>
  <c r="A1492" i="1"/>
  <c r="A1468" i="1"/>
  <c r="A1444" i="1"/>
  <c r="A1420" i="1"/>
  <c r="A1587" i="1"/>
  <c r="A1563" i="1"/>
  <c r="A1539" i="1"/>
  <c r="A1515" i="1"/>
  <c r="A1491" i="1"/>
  <c r="A1467" i="1"/>
  <c r="A1443" i="1"/>
  <c r="A1586" i="1"/>
  <c r="A1538" i="1"/>
  <c r="A1514" i="1"/>
  <c r="A1490" i="1"/>
  <c r="A1466" i="1"/>
  <c r="A1442" i="1"/>
  <c r="A1585" i="1"/>
  <c r="A1537" i="1"/>
  <c r="A1513" i="1"/>
  <c r="A1489" i="1"/>
  <c r="A1465" i="1"/>
  <c r="A1441" i="1"/>
  <c r="A1584" i="1"/>
  <c r="A1536" i="1"/>
  <c r="A1512" i="1"/>
  <c r="A1488" i="1"/>
  <c r="A1464" i="1"/>
  <c r="A1440" i="1"/>
  <c r="A1583" i="1"/>
  <c r="A1535" i="1"/>
  <c r="A1511" i="1"/>
  <c r="A1487" i="1"/>
  <c r="A1463" i="1"/>
  <c r="A1439" i="1"/>
  <c r="A1582" i="1"/>
  <c r="A1534" i="1"/>
  <c r="A1510" i="1"/>
  <c r="A1486" i="1"/>
  <c r="A1462" i="1"/>
  <c r="A1438" i="1"/>
  <c r="A1581" i="1"/>
  <c r="A1533" i="1"/>
  <c r="A1509" i="1"/>
  <c r="A1485" i="1"/>
  <c r="A1461" i="1"/>
  <c r="A1437" i="1"/>
  <c r="A1580" i="1"/>
  <c r="A1532" i="1"/>
  <c r="A1508" i="1"/>
  <c r="A1484" i="1"/>
  <c r="A1460" i="1"/>
  <c r="A1436" i="1"/>
  <c r="A1579" i="1"/>
  <c r="A1531" i="1"/>
  <c r="A1507" i="1"/>
  <c r="A1483" i="1"/>
  <c r="A1459" i="1"/>
  <c r="A1435" i="1"/>
  <c r="A1578" i="1"/>
  <c r="A1530" i="1"/>
  <c r="A1506" i="1"/>
  <c r="A1482" i="1"/>
  <c r="A1458" i="1"/>
  <c r="A1434" i="1"/>
  <c r="A1577" i="1"/>
  <c r="A1529" i="1"/>
  <c r="A1505" i="1"/>
  <c r="A1481" i="1"/>
  <c r="A1457" i="1"/>
  <c r="A1433" i="1"/>
  <c r="A1576" i="1"/>
  <c r="A1528" i="1"/>
  <c r="A1504" i="1"/>
  <c r="A1480" i="1"/>
  <c r="A1456" i="1"/>
  <c r="A1432" i="1"/>
  <c r="A1575" i="1"/>
  <c r="A1527" i="1"/>
  <c r="A1503" i="1"/>
  <c r="A1479" i="1"/>
  <c r="A1455" i="1"/>
  <c r="A1431" i="1"/>
  <c r="A1574" i="1"/>
  <c r="A1526" i="1"/>
  <c r="A1502" i="1"/>
  <c r="A1478" i="1"/>
  <c r="A1454" i="1"/>
  <c r="A1430" i="1"/>
  <c r="A1573" i="1"/>
  <c r="A1525" i="1"/>
  <c r="A1501" i="1"/>
  <c r="A1477" i="1"/>
  <c r="A1453" i="1"/>
  <c r="A1429" i="1"/>
  <c r="A1572" i="1"/>
  <c r="A1524" i="1"/>
  <c r="A1500" i="1"/>
  <c r="A1476" i="1"/>
  <c r="A1452" i="1"/>
  <c r="A1428" i="1"/>
  <c r="A1419" i="1"/>
  <c r="A1571" i="1"/>
  <c r="A1547" i="1"/>
  <c r="A1523" i="1"/>
  <c r="A1499" i="1"/>
  <c r="A1475" i="1"/>
  <c r="A1451" i="1"/>
  <c r="A1427" i="1"/>
  <c r="A1570" i="1"/>
  <c r="A1546" i="1"/>
  <c r="A1522" i="1"/>
  <c r="A1498" i="1"/>
  <c r="A1474" i="1"/>
  <c r="A1450" i="1"/>
  <c r="A1426" i="1"/>
  <c r="A1569" i="1"/>
  <c r="A1545" i="1"/>
  <c r="A1521" i="1"/>
  <c r="A1497" i="1"/>
  <c r="A1473" i="1"/>
  <c r="A1449" i="1"/>
  <c r="A1425" i="1"/>
  <c r="A1568" i="1"/>
  <c r="A1544" i="1"/>
  <c r="A1520" i="1"/>
  <c r="A1496" i="1"/>
  <c r="A1472" i="1"/>
  <c r="A1448" i="1"/>
  <c r="A1424" i="1"/>
  <c r="A1567" i="1"/>
  <c r="A1543" i="1"/>
  <c r="A1519" i="1"/>
  <c r="A1495" i="1"/>
  <c r="A1471" i="1"/>
  <c r="A1447" i="1"/>
  <c r="A1423" i="1"/>
  <c r="A1590" i="1"/>
  <c r="A1566" i="1"/>
  <c r="A1542" i="1"/>
  <c r="A1518" i="1"/>
  <c r="A1494" i="1"/>
  <c r="A1470" i="1"/>
  <c r="A1446" i="1"/>
  <c r="A1422" i="1"/>
  <c r="B1423" i="1"/>
  <c r="B1419" i="1"/>
  <c r="B1431" i="1"/>
  <c r="B1420" i="1"/>
  <c r="B1432" i="1"/>
  <c r="B1421" i="1"/>
  <c r="B1433" i="1"/>
  <c r="B1422" i="1"/>
  <c r="A1389" i="1"/>
  <c r="A1365" i="1"/>
  <c r="A1341" i="1"/>
  <c r="A1317" i="1"/>
  <c r="A1293" i="1"/>
  <c r="A1269" i="1"/>
  <c r="A1245" i="1"/>
  <c r="A1221" i="1"/>
  <c r="A1388" i="1"/>
  <c r="A1364" i="1"/>
  <c r="A1340" i="1"/>
  <c r="A1316" i="1"/>
  <c r="A1292" i="1"/>
  <c r="A1268" i="1"/>
  <c r="A1244" i="1"/>
  <c r="A1220" i="1"/>
  <c r="A1387" i="1"/>
  <c r="A1363" i="1"/>
  <c r="A1339" i="1"/>
  <c r="A1315" i="1"/>
  <c r="A1291" i="1"/>
  <c r="A1267" i="1"/>
  <c r="A1243" i="1"/>
  <c r="A1219" i="1"/>
  <c r="A1386" i="1"/>
  <c r="A1362" i="1"/>
  <c r="A1338" i="1"/>
  <c r="A1314" i="1"/>
  <c r="A1290" i="1"/>
  <c r="A1266" i="1"/>
  <c r="A1242" i="1"/>
  <c r="A1385" i="1"/>
  <c r="A1337" i="1"/>
  <c r="A1313" i="1"/>
  <c r="A1289" i="1"/>
  <c r="A1265" i="1"/>
  <c r="A1241" i="1"/>
  <c r="A1384" i="1"/>
  <c r="A1336" i="1"/>
  <c r="A1312" i="1"/>
  <c r="A1288" i="1"/>
  <c r="A1264" i="1"/>
  <c r="A1240" i="1"/>
  <c r="A1383" i="1"/>
  <c r="A1335" i="1"/>
  <c r="A1311" i="1"/>
  <c r="A1287" i="1"/>
  <c r="A1263" i="1"/>
  <c r="A1239" i="1"/>
  <c r="A1382" i="1"/>
  <c r="A1334" i="1"/>
  <c r="A1310" i="1"/>
  <c r="A1286" i="1"/>
  <c r="A1262" i="1"/>
  <c r="A1238" i="1"/>
  <c r="A1381" i="1"/>
  <c r="A1333" i="1"/>
  <c r="A1309" i="1"/>
  <c r="A1285" i="1"/>
  <c r="A1261" i="1"/>
  <c r="A1237" i="1"/>
  <c r="A1380" i="1"/>
  <c r="A1332" i="1"/>
  <c r="A1308" i="1"/>
  <c r="A1284" i="1"/>
  <c r="A1260" i="1"/>
  <c r="A1236" i="1"/>
  <c r="A1379" i="1"/>
  <c r="A1331" i="1"/>
  <c r="A1307" i="1"/>
  <c r="A1283" i="1"/>
  <c r="A1259" i="1"/>
  <c r="A1235" i="1"/>
  <c r="A1378" i="1"/>
  <c r="A1330" i="1"/>
  <c r="A1306" i="1"/>
  <c r="A1282" i="1"/>
  <c r="A1258" i="1"/>
  <c r="A1234" i="1"/>
  <c r="A1377" i="1"/>
  <c r="A1329" i="1"/>
  <c r="A1305" i="1"/>
  <c r="A1281" i="1"/>
  <c r="A1257" i="1"/>
  <c r="A1233" i="1"/>
  <c r="A1376" i="1"/>
  <c r="A1328" i="1"/>
  <c r="A1304" i="1"/>
  <c r="A1280" i="1"/>
  <c r="A1256" i="1"/>
  <c r="A1232" i="1"/>
  <c r="A1375" i="1"/>
  <c r="A1327" i="1"/>
  <c r="A1303" i="1"/>
  <c r="A1279" i="1"/>
  <c r="A1255" i="1"/>
  <c r="A1231" i="1"/>
  <c r="A1374" i="1"/>
  <c r="A1326" i="1"/>
  <c r="A1302" i="1"/>
  <c r="A1278" i="1"/>
  <c r="A1254" i="1"/>
  <c r="A1230" i="1"/>
  <c r="A1373" i="1"/>
  <c r="A1325" i="1"/>
  <c r="A1301" i="1"/>
  <c r="A1277" i="1"/>
  <c r="A1253" i="1"/>
  <c r="A1229" i="1"/>
  <c r="A1372" i="1"/>
  <c r="A1324" i="1"/>
  <c r="A1300" i="1"/>
  <c r="A1276" i="1"/>
  <c r="A1252" i="1"/>
  <c r="A1228" i="1"/>
  <c r="A1371" i="1"/>
  <c r="A1323" i="1"/>
  <c r="A1299" i="1"/>
  <c r="A1275" i="1"/>
  <c r="A1251" i="1"/>
  <c r="A1227" i="1"/>
  <c r="A1218" i="1"/>
  <c r="A1370" i="1"/>
  <c r="A1346" i="1"/>
  <c r="A1322" i="1"/>
  <c r="A1298" i="1"/>
  <c r="A1274" i="1"/>
  <c r="A1250" i="1"/>
  <c r="A1226" i="1"/>
  <c r="A1369" i="1"/>
  <c r="A1345" i="1"/>
  <c r="A1321" i="1"/>
  <c r="A1297" i="1"/>
  <c r="A1273" i="1"/>
  <c r="A1249" i="1"/>
  <c r="A1225" i="1"/>
  <c r="A1368" i="1"/>
  <c r="A1344" i="1"/>
  <c r="A1296" i="1"/>
  <c r="A1272" i="1"/>
  <c r="A1248" i="1"/>
  <c r="A1224" i="1"/>
  <c r="A1367" i="1"/>
  <c r="A1343" i="1"/>
  <c r="A1319" i="1"/>
  <c r="A1295" i="1"/>
  <c r="A1271" i="1"/>
  <c r="A1247" i="1"/>
  <c r="A1223" i="1"/>
  <c r="A1366" i="1"/>
  <c r="A1342" i="1"/>
  <c r="A1318" i="1"/>
  <c r="A1294" i="1"/>
  <c r="A1270" i="1"/>
  <c r="A1246" i="1"/>
  <c r="A1222" i="1"/>
  <c r="B1228" i="1"/>
  <c r="B1229" i="1"/>
  <c r="B1218" i="1"/>
  <c r="B1230" i="1"/>
  <c r="B1219" i="1"/>
  <c r="B1231" i="1"/>
  <c r="B1220" i="1"/>
  <c r="B1232" i="1"/>
  <c r="A1169" i="1"/>
  <c r="A1121" i="1"/>
  <c r="A1097" i="1"/>
  <c r="A1073" i="1"/>
  <c r="A1049" i="1"/>
  <c r="A1025" i="1"/>
  <c r="A1168" i="1"/>
  <c r="A1120" i="1"/>
  <c r="A1096" i="1"/>
  <c r="A1072" i="1"/>
  <c r="A1048" i="1"/>
  <c r="A1024" i="1"/>
  <c r="A1167" i="1"/>
  <c r="A1119" i="1"/>
  <c r="A1095" i="1"/>
  <c r="A1071" i="1"/>
  <c r="A1047" i="1"/>
  <c r="A1023" i="1"/>
  <c r="A1166" i="1"/>
  <c r="A1118" i="1"/>
  <c r="A1094" i="1"/>
  <c r="A1070" i="1"/>
  <c r="A1046" i="1"/>
  <c r="A1022" i="1"/>
  <c r="A1165" i="1"/>
  <c r="A1117" i="1"/>
  <c r="A1093" i="1"/>
  <c r="A1069" i="1"/>
  <c r="A1045" i="1"/>
  <c r="A1021" i="1"/>
  <c r="A1164" i="1"/>
  <c r="A1116" i="1"/>
  <c r="A1092" i="1"/>
  <c r="A1068" i="1"/>
  <c r="A1044" i="1"/>
  <c r="A1020" i="1"/>
  <c r="A1163" i="1"/>
  <c r="A1115" i="1"/>
  <c r="A1091" i="1"/>
  <c r="A1067" i="1"/>
  <c r="A1043" i="1"/>
  <c r="A1019" i="1"/>
  <c r="A1162" i="1"/>
  <c r="A1114" i="1"/>
  <c r="A1090" i="1"/>
  <c r="A1066" i="1"/>
  <c r="A1042" i="1"/>
  <c r="A1018" i="1"/>
  <c r="A1161" i="1"/>
  <c r="A1113" i="1"/>
  <c r="A1089" i="1"/>
  <c r="A1065" i="1"/>
  <c r="A1041" i="1"/>
  <c r="A1017" i="1"/>
  <c r="A1160" i="1"/>
  <c r="A1112" i="1"/>
  <c r="A1088" i="1"/>
  <c r="A1064" i="1"/>
  <c r="A1040" i="1"/>
  <c r="A1016" i="1"/>
  <c r="A1159" i="1"/>
  <c r="A1111" i="1"/>
  <c r="A1087" i="1"/>
  <c r="A1063" i="1"/>
  <c r="A1039" i="1"/>
  <c r="A1015" i="1"/>
  <c r="A1158" i="1"/>
  <c r="A1110" i="1"/>
  <c r="A1086" i="1"/>
  <c r="A1062" i="1"/>
  <c r="A1038" i="1"/>
  <c r="A1014" i="1"/>
  <c r="A1157" i="1"/>
  <c r="A1109" i="1"/>
  <c r="A1085" i="1"/>
  <c r="A1061" i="1"/>
  <c r="A1037" i="1"/>
  <c r="A1013" i="1"/>
  <c r="A1156" i="1"/>
  <c r="A1108" i="1"/>
  <c r="A1084" i="1"/>
  <c r="A1060" i="1"/>
  <c r="A1036" i="1"/>
  <c r="A1012" i="1"/>
  <c r="A1155" i="1"/>
  <c r="A1131" i="1"/>
  <c r="A1107" i="1"/>
  <c r="A1083" i="1"/>
  <c r="A1059" i="1"/>
  <c r="A1035" i="1"/>
  <c r="A1011" i="1"/>
  <c r="A1003" i="1"/>
  <c r="A1154" i="1"/>
  <c r="A1130" i="1"/>
  <c r="A1106" i="1"/>
  <c r="A1082" i="1"/>
  <c r="A1058" i="1"/>
  <c r="A1034" i="1"/>
  <c r="A1010" i="1"/>
  <c r="A1153" i="1"/>
  <c r="A1129" i="1"/>
  <c r="A1105" i="1"/>
  <c r="A1081" i="1"/>
  <c r="A1057" i="1"/>
  <c r="A1033" i="1"/>
  <c r="A1009" i="1"/>
  <c r="A1152" i="1"/>
  <c r="A1128" i="1"/>
  <c r="A1080" i="1"/>
  <c r="A1056" i="1"/>
  <c r="A1032" i="1"/>
  <c r="A1008" i="1"/>
  <c r="A1151" i="1"/>
  <c r="A1127" i="1"/>
  <c r="A1079" i="1"/>
  <c r="A1055" i="1"/>
  <c r="A1031" i="1"/>
  <c r="A1007" i="1"/>
  <c r="A1174" i="1"/>
  <c r="A1150" i="1"/>
  <c r="A1126" i="1"/>
  <c r="A1078" i="1"/>
  <c r="A1054" i="1"/>
  <c r="A1030" i="1"/>
  <c r="A1006" i="1"/>
  <c r="A1173" i="1"/>
  <c r="A1149" i="1"/>
  <c r="A1125" i="1"/>
  <c r="A1101" i="1"/>
  <c r="A1077" i="1"/>
  <c r="A1053" i="1"/>
  <c r="A1029" i="1"/>
  <c r="A1005" i="1"/>
  <c r="A1172" i="1"/>
  <c r="A1148" i="1"/>
  <c r="A1124" i="1"/>
  <c r="A1100" i="1"/>
  <c r="A1076" i="1"/>
  <c r="A1052" i="1"/>
  <c r="A1028" i="1"/>
  <c r="A1004" i="1"/>
  <c r="A1171" i="1"/>
  <c r="A1147" i="1"/>
  <c r="A1123" i="1"/>
  <c r="A1099" i="1"/>
  <c r="A1075" i="1"/>
  <c r="A1051" i="1"/>
  <c r="A1027" i="1"/>
  <c r="A1170" i="1"/>
  <c r="A1122" i="1"/>
  <c r="A1098" i="1"/>
  <c r="A1074" i="1"/>
  <c r="A1050" i="1"/>
  <c r="A1026" i="1"/>
  <c r="B1017" i="1"/>
  <c r="A802" i="1"/>
  <c r="A953" i="1"/>
  <c r="A929" i="1"/>
  <c r="A905" i="1"/>
  <c r="A881" i="1"/>
  <c r="A857" i="1"/>
  <c r="A833" i="1"/>
  <c r="A809" i="1"/>
  <c r="A952" i="1"/>
  <c r="A928" i="1"/>
  <c r="A904" i="1"/>
  <c r="A880" i="1"/>
  <c r="A856" i="1"/>
  <c r="A832" i="1"/>
  <c r="A808" i="1"/>
  <c r="A951" i="1"/>
  <c r="A927" i="1"/>
  <c r="A903" i="1"/>
  <c r="A879" i="1"/>
  <c r="A855" i="1"/>
  <c r="A831" i="1"/>
  <c r="A807" i="1"/>
  <c r="A950" i="1"/>
  <c r="A926" i="1"/>
  <c r="A902" i="1"/>
  <c r="A878" i="1"/>
  <c r="A854" i="1"/>
  <c r="A830" i="1"/>
  <c r="A806" i="1"/>
  <c r="A973" i="1"/>
  <c r="A949" i="1"/>
  <c r="A925" i="1"/>
  <c r="A901" i="1"/>
  <c r="A877" i="1"/>
  <c r="A853" i="1"/>
  <c r="A829" i="1"/>
  <c r="A805" i="1"/>
  <c r="A972" i="1"/>
  <c r="A948" i="1"/>
  <c r="A924" i="1"/>
  <c r="A900" i="1"/>
  <c r="A876" i="1"/>
  <c r="A852" i="1"/>
  <c r="A828" i="1"/>
  <c r="A804" i="1"/>
  <c r="A971" i="1"/>
  <c r="A947" i="1"/>
  <c r="A923" i="1"/>
  <c r="A899" i="1"/>
  <c r="A875" i="1"/>
  <c r="A851" i="1"/>
  <c r="A827" i="1"/>
  <c r="A803" i="1"/>
  <c r="A970" i="1"/>
  <c r="A946" i="1"/>
  <c r="A922" i="1"/>
  <c r="A898" i="1"/>
  <c r="A874" i="1"/>
  <c r="A850" i="1"/>
  <c r="A826" i="1"/>
  <c r="A969" i="1"/>
  <c r="A921" i="1"/>
  <c r="A897" i="1"/>
  <c r="A873" i="1"/>
  <c r="A849" i="1"/>
  <c r="A825" i="1"/>
  <c r="A920" i="1"/>
  <c r="A896" i="1"/>
  <c r="A872" i="1"/>
  <c r="A848" i="1"/>
  <c r="A824" i="1"/>
  <c r="A919" i="1"/>
  <c r="A895" i="1"/>
  <c r="A871" i="1"/>
  <c r="A847" i="1"/>
  <c r="A823" i="1"/>
  <c r="A966" i="1"/>
  <c r="A918" i="1"/>
  <c r="A870" i="1"/>
  <c r="A846" i="1"/>
  <c r="A822" i="1"/>
  <c r="A965" i="1"/>
  <c r="A917" i="1"/>
  <c r="A869" i="1"/>
  <c r="A845" i="1"/>
  <c r="A821" i="1"/>
  <c r="A964" i="1"/>
  <c r="A916" i="1"/>
  <c r="A892" i="1"/>
  <c r="A868" i="1"/>
  <c r="A844" i="1"/>
  <c r="A820" i="1"/>
  <c r="A963" i="1"/>
  <c r="A915" i="1"/>
  <c r="A891" i="1"/>
  <c r="A867" i="1"/>
  <c r="A843" i="1"/>
  <c r="A819" i="1"/>
  <c r="A962" i="1"/>
  <c r="A914" i="1"/>
  <c r="A890" i="1"/>
  <c r="A866" i="1"/>
  <c r="A842" i="1"/>
  <c r="A818" i="1"/>
  <c r="A913" i="1"/>
  <c r="A889" i="1"/>
  <c r="A865" i="1"/>
  <c r="A841" i="1"/>
  <c r="A817" i="1"/>
  <c r="A960" i="1"/>
  <c r="A912" i="1"/>
  <c r="A888" i="1"/>
  <c r="A864" i="1"/>
  <c r="A840" i="1"/>
  <c r="A816" i="1"/>
  <c r="A959" i="1"/>
  <c r="A911" i="1"/>
  <c r="A887" i="1"/>
  <c r="A863" i="1"/>
  <c r="A839" i="1"/>
  <c r="A815" i="1"/>
  <c r="A958" i="1"/>
  <c r="A910" i="1"/>
  <c r="A886" i="1"/>
  <c r="A862" i="1"/>
  <c r="A838" i="1"/>
  <c r="A814" i="1"/>
  <c r="A957" i="1"/>
  <c r="A909" i="1"/>
  <c r="A885" i="1"/>
  <c r="A861" i="1"/>
  <c r="A837" i="1"/>
  <c r="A813" i="1"/>
  <c r="A956" i="1"/>
  <c r="A908" i="1"/>
  <c r="A884" i="1"/>
  <c r="A860" i="1"/>
  <c r="A836" i="1"/>
  <c r="A812" i="1"/>
  <c r="A955" i="1"/>
  <c r="A907" i="1"/>
  <c r="A883" i="1"/>
  <c r="A859" i="1"/>
  <c r="A835" i="1"/>
  <c r="A811" i="1"/>
  <c r="A954" i="1"/>
  <c r="A930" i="1"/>
  <c r="A906" i="1"/>
  <c r="A882" i="1"/>
  <c r="A858" i="1"/>
  <c r="A834" i="1"/>
  <c r="A810" i="1"/>
  <c r="A760" i="1"/>
  <c r="A704" i="1"/>
  <c r="A703" i="1"/>
  <c r="A702" i="1"/>
  <c r="A701" i="1"/>
  <c r="A700" i="1"/>
  <c r="A745" i="1"/>
  <c r="A767" i="1"/>
  <c r="A766" i="1"/>
  <c r="A693" i="1"/>
  <c r="A692" i="1"/>
  <c r="A262" i="1" l="1"/>
  <c r="A1954" i="1" l="1"/>
  <c r="A2155" i="1"/>
  <c r="A1753" i="1"/>
  <c r="A1347" i="1"/>
  <c r="A1548" i="1"/>
  <c r="A1132" i="1"/>
  <c r="A730" i="1"/>
  <c r="A931" i="1"/>
  <c r="D125" i="1"/>
  <c r="D107" i="1"/>
  <c r="B2038" i="1" s="1"/>
  <c r="D102" i="1"/>
  <c r="B2033" i="1" s="1"/>
  <c r="D103" i="1"/>
  <c r="B2034" i="1" s="1"/>
  <c r="D104" i="1"/>
  <c r="B2035" i="1" s="1"/>
  <c r="D79" i="1"/>
  <c r="D80" i="1"/>
  <c r="D81" i="1"/>
  <c r="D82" i="1"/>
  <c r="D68" i="1"/>
  <c r="D69" i="1"/>
  <c r="D61" i="1"/>
  <c r="D62" i="1"/>
  <c r="D37" i="1"/>
  <c r="D38" i="1"/>
  <c r="D39" i="1"/>
  <c r="D40" i="1"/>
  <c r="D41" i="1"/>
  <c r="D42"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A332" i="1"/>
  <c r="A2225" i="1" s="1"/>
  <c r="A331" i="1"/>
  <c r="A330" i="1"/>
  <c r="A329" i="1"/>
  <c r="A328" i="1"/>
  <c r="A327" i="1"/>
  <c r="A326" i="1"/>
  <c r="A325" i="1"/>
  <c r="A324" i="1"/>
  <c r="A323" i="1"/>
  <c r="A322" i="1"/>
  <c r="A321" i="1"/>
  <c r="A320" i="1"/>
  <c r="A319" i="1"/>
  <c r="A318" i="1"/>
  <c r="A317" i="1"/>
  <c r="A316" i="1"/>
  <c r="A315" i="1"/>
  <c r="A314" i="1"/>
  <c r="A2207" i="1" s="1"/>
  <c r="A313" i="1"/>
  <c r="A312" i="1"/>
  <c r="A311" i="1"/>
  <c r="A310" i="1"/>
  <c r="A309" i="1"/>
  <c r="A308" i="1"/>
  <c r="A307" i="1"/>
  <c r="A306" i="1"/>
  <c r="A305" i="1"/>
  <c r="A276" i="1"/>
  <c r="A2169" i="1" s="1"/>
  <c r="A275" i="1"/>
  <c r="A2168" i="1" s="1"/>
  <c r="A274" i="1"/>
  <c r="A2167" i="1" s="1"/>
  <c r="A273" i="1"/>
  <c r="A2166" i="1" s="1"/>
  <c r="A272" i="1"/>
  <c r="A2165" i="1" s="1"/>
  <c r="A271" i="1"/>
  <c r="A270" i="1"/>
  <c r="A269" i="1"/>
  <c r="A268" i="1"/>
  <c r="A267" i="1"/>
  <c r="A2160" i="1" s="1"/>
  <c r="A266" i="1"/>
  <c r="A2159" i="1" s="1"/>
  <c r="A265" i="1"/>
  <c r="A264" i="1"/>
  <c r="A263" i="1"/>
  <c r="D106" i="1"/>
  <c r="B2037" i="1" s="1"/>
  <c r="D105" i="1"/>
  <c r="B2036" i="1" s="1"/>
  <c r="D101" i="1"/>
  <c r="D86" i="1"/>
  <c r="D85" i="1"/>
  <c r="D84" i="1"/>
  <c r="D83" i="1"/>
  <c r="D78" i="1"/>
  <c r="D77" i="1"/>
  <c r="D76" i="1"/>
  <c r="D67" i="1"/>
  <c r="D66" i="1"/>
  <c r="D65" i="1"/>
  <c r="D64" i="1"/>
  <c r="D63" i="1"/>
  <c r="D60" i="1"/>
  <c r="D59" i="1"/>
  <c r="D58" i="1"/>
  <c r="D57" i="1"/>
  <c r="D56" i="1"/>
  <c r="D55" i="1"/>
  <c r="D46" i="1"/>
  <c r="D43" i="1"/>
  <c r="D28" i="1"/>
  <c r="D27" i="1"/>
  <c r="D26" i="1"/>
  <c r="D25" i="1"/>
  <c r="B10" i="1"/>
  <c r="A2011" i="1" l="1"/>
  <c r="A2212" i="1"/>
  <c r="A2012" i="1"/>
  <c r="A2213" i="1"/>
  <c r="A2015" i="1"/>
  <c r="A2216" i="1"/>
  <c r="A2016" i="1"/>
  <c r="A2217" i="1"/>
  <c r="A1963" i="1"/>
  <c r="A2164" i="1"/>
  <c r="A2017" i="1"/>
  <c r="A2218" i="1"/>
  <c r="A2010" i="1"/>
  <c r="A2211" i="1"/>
  <c r="A1960" i="1"/>
  <c r="A2161" i="1"/>
  <c r="A1962" i="1"/>
  <c r="A2163" i="1"/>
  <c r="A2020" i="1"/>
  <c r="A2221" i="1"/>
  <c r="A1961" i="1"/>
  <c r="A2162" i="1"/>
  <c r="A2014" i="1"/>
  <c r="A2215" i="1"/>
  <c r="A2018" i="1"/>
  <c r="A2219" i="1"/>
  <c r="A2019" i="1"/>
  <c r="A2220" i="1"/>
  <c r="A1997" i="1"/>
  <c r="A2198" i="1"/>
  <c r="A2021" i="1"/>
  <c r="A2222" i="1"/>
  <c r="A2013" i="1"/>
  <c r="A2214" i="1"/>
  <c r="A1998" i="1"/>
  <c r="A2199" i="1"/>
  <c r="A2022" i="1"/>
  <c r="A2223" i="1"/>
  <c r="A1999" i="1"/>
  <c r="A2200" i="1"/>
  <c r="A2023" i="1"/>
  <c r="A2224" i="1"/>
  <c r="A2009" i="1"/>
  <c r="A2210" i="1"/>
  <c r="A2002" i="1"/>
  <c r="A2203" i="1"/>
  <c r="A2003" i="1"/>
  <c r="A2204" i="1"/>
  <c r="A2004" i="1"/>
  <c r="A2205" i="1"/>
  <c r="A1957" i="1"/>
  <c r="A2158" i="1"/>
  <c r="A2000" i="1"/>
  <c r="A2201" i="1"/>
  <c r="A2005" i="1"/>
  <c r="A2206" i="1"/>
  <c r="A2024" i="1"/>
  <c r="A2001" i="1"/>
  <c r="A2202" i="1"/>
  <c r="A1955" i="1"/>
  <c r="A2156" i="1"/>
  <c r="A2007" i="1"/>
  <c r="A2208" i="1"/>
  <c r="A1956" i="1"/>
  <c r="A2157" i="1"/>
  <c r="A2008" i="1"/>
  <c r="A2209" i="1"/>
  <c r="B1828" i="1"/>
  <c r="B2032" i="1"/>
  <c r="A1958" i="1"/>
  <c r="A1964" i="1"/>
  <c r="A1965" i="1"/>
  <c r="A1966" i="1"/>
  <c r="A1967" i="1"/>
  <c r="A1968" i="1"/>
  <c r="A1758" i="1"/>
  <c r="A1959" i="1"/>
  <c r="A1805" i="1"/>
  <c r="A2006" i="1"/>
  <c r="B1631" i="1"/>
  <c r="B1831" i="1"/>
  <c r="B1630" i="1"/>
  <c r="B1830" i="1"/>
  <c r="B1629" i="1"/>
  <c r="B1829" i="1"/>
  <c r="B1634" i="1"/>
  <c r="B1834" i="1"/>
  <c r="B1632" i="1"/>
  <c r="B1832" i="1"/>
  <c r="B1633" i="1"/>
  <c r="B1833" i="1"/>
  <c r="A1754" i="1"/>
  <c r="A1765" i="1"/>
  <c r="A1601" i="1"/>
  <c r="A1806" i="1"/>
  <c r="A1550" i="1"/>
  <c r="A1755" i="1"/>
  <c r="A1551" i="1"/>
  <c r="A1756" i="1"/>
  <c r="A1614" i="1"/>
  <c r="A1819" i="1"/>
  <c r="A1602" i="1"/>
  <c r="A1807" i="1"/>
  <c r="A1603" i="1"/>
  <c r="A1808" i="1"/>
  <c r="A1552" i="1"/>
  <c r="A1757" i="1"/>
  <c r="A1604" i="1"/>
  <c r="A1809" i="1"/>
  <c r="A1766" i="1"/>
  <c r="A1554" i="1"/>
  <c r="A1759" i="1"/>
  <c r="A1760" i="1"/>
  <c r="A1607" i="1"/>
  <c r="A1812" i="1"/>
  <c r="A1605" i="1"/>
  <c r="A1810" i="1"/>
  <c r="A1761" i="1"/>
  <c r="A1609" i="1"/>
  <c r="A1814" i="1"/>
  <c r="A1606" i="1"/>
  <c r="A1811" i="1"/>
  <c r="A1763" i="1"/>
  <c r="A1610" i="1"/>
  <c r="A1815" i="1"/>
  <c r="A1613" i="1"/>
  <c r="A1818" i="1"/>
  <c r="A1608" i="1"/>
  <c r="A1813" i="1"/>
  <c r="A1762" i="1"/>
  <c r="A1764" i="1"/>
  <c r="A1611" i="1"/>
  <c r="A1816" i="1"/>
  <c r="A1612" i="1"/>
  <c r="A1817" i="1"/>
  <c r="A1591" i="1"/>
  <c r="A1796" i="1"/>
  <c r="A1592" i="1"/>
  <c r="A1797" i="1"/>
  <c r="A1595" i="1"/>
  <c r="A1800" i="1"/>
  <c r="A1596" i="1"/>
  <c r="A1801" i="1"/>
  <c r="A1617" i="1"/>
  <c r="A1822" i="1"/>
  <c r="A1618" i="1"/>
  <c r="A1823" i="1"/>
  <c r="A1597" i="1"/>
  <c r="A1802" i="1"/>
  <c r="A1767" i="1"/>
  <c r="A1598" i="1"/>
  <c r="A1803" i="1"/>
  <c r="A1615" i="1"/>
  <c r="A1820" i="1"/>
  <c r="A1616" i="1"/>
  <c r="A1821" i="1"/>
  <c r="A1593" i="1"/>
  <c r="A1798" i="1"/>
  <c r="A1594" i="1"/>
  <c r="A1799" i="1"/>
  <c r="A1599" i="1"/>
  <c r="A1804" i="1"/>
  <c r="B1424" i="1"/>
  <c r="B1628" i="1"/>
  <c r="A1354" i="1"/>
  <c r="A1555" i="1"/>
  <c r="A1355" i="1"/>
  <c r="A1556" i="1"/>
  <c r="A1352" i="1"/>
  <c r="A1553" i="1"/>
  <c r="A1557" i="1"/>
  <c r="A1558" i="1"/>
  <c r="A1348" i="1"/>
  <c r="A1549" i="1"/>
  <c r="A1559" i="1"/>
  <c r="A1560" i="1"/>
  <c r="A1562" i="1"/>
  <c r="A1561" i="1"/>
  <c r="A1399" i="1"/>
  <c r="A1600" i="1"/>
  <c r="B1226" i="1"/>
  <c r="B1429" i="1"/>
  <c r="B1224" i="1"/>
  <c r="B1427" i="1"/>
  <c r="B1223" i="1"/>
  <c r="B1426" i="1"/>
  <c r="B1222" i="1"/>
  <c r="B1425" i="1"/>
  <c r="B1225" i="1"/>
  <c r="B1428" i="1"/>
  <c r="B1227" i="1"/>
  <c r="B1430" i="1"/>
  <c r="A1349" i="1"/>
  <c r="A1351" i="1"/>
  <c r="A1350" i="1"/>
  <c r="A1185" i="1"/>
  <c r="A1400" i="1"/>
  <c r="A1186" i="1"/>
  <c r="A1401" i="1"/>
  <c r="A1138" i="1"/>
  <c r="A1353" i="1"/>
  <c r="A1190" i="1"/>
  <c r="A1405" i="1"/>
  <c r="A1183" i="1"/>
  <c r="A1398" i="1"/>
  <c r="A1188" i="1"/>
  <c r="A1403" i="1"/>
  <c r="A1189" i="1"/>
  <c r="A1404" i="1"/>
  <c r="A1192" i="1"/>
  <c r="A1407" i="1"/>
  <c r="A1356" i="1"/>
  <c r="A1193" i="1"/>
  <c r="A1408" i="1"/>
  <c r="A1191" i="1"/>
  <c r="A1406" i="1"/>
  <c r="A1357" i="1"/>
  <c r="A1194" i="1"/>
  <c r="A1409" i="1"/>
  <c r="A1187" i="1"/>
  <c r="A1402" i="1"/>
  <c r="A1358" i="1"/>
  <c r="A1195" i="1"/>
  <c r="A1410" i="1"/>
  <c r="A1359" i="1"/>
  <c r="A1196" i="1"/>
  <c r="A1411" i="1"/>
  <c r="A1360" i="1"/>
  <c r="A1197" i="1"/>
  <c r="A1412" i="1"/>
  <c r="A1361" i="1"/>
  <c r="A1198" i="1"/>
  <c r="A1413" i="1"/>
  <c r="A1175" i="1"/>
  <c r="A1390" i="1"/>
  <c r="A1176" i="1"/>
  <c r="A1391" i="1"/>
  <c r="A1200" i="1"/>
  <c r="A1415" i="1"/>
  <c r="A1177" i="1"/>
  <c r="A1392" i="1"/>
  <c r="A1201" i="1"/>
  <c r="A1416" i="1"/>
  <c r="A1199" i="1"/>
  <c r="A1414" i="1"/>
  <c r="A1202" i="1"/>
  <c r="A1417" i="1"/>
  <c r="A1178" i="1"/>
  <c r="A1393" i="1"/>
  <c r="A1179" i="1"/>
  <c r="A1394" i="1"/>
  <c r="A1180" i="1"/>
  <c r="A1395" i="1"/>
  <c r="A1181" i="1"/>
  <c r="A1396" i="1"/>
  <c r="A1182" i="1"/>
  <c r="A1397" i="1"/>
  <c r="B1010" i="1"/>
  <c r="B1221" i="1"/>
  <c r="A1133" i="1"/>
  <c r="A1134" i="1"/>
  <c r="A939" i="1"/>
  <c r="A1140" i="1"/>
  <c r="A940" i="1"/>
  <c r="A1141" i="1"/>
  <c r="A941" i="1"/>
  <c r="A1142" i="1"/>
  <c r="A1143" i="1"/>
  <c r="A1145" i="1"/>
  <c r="A1146" i="1"/>
  <c r="A983" i="1"/>
  <c r="A1184" i="1"/>
  <c r="A934" i="1"/>
  <c r="A1135" i="1"/>
  <c r="A935" i="1"/>
  <c r="A1136" i="1"/>
  <c r="A1144" i="1"/>
  <c r="A936" i="1"/>
  <c r="A1137" i="1"/>
  <c r="A938" i="1"/>
  <c r="A1139" i="1"/>
  <c r="B805" i="1"/>
  <c r="B1014" i="1"/>
  <c r="B806" i="1"/>
  <c r="B1015" i="1"/>
  <c r="B804" i="1"/>
  <c r="B1013" i="1"/>
  <c r="B803" i="1"/>
  <c r="B1012" i="1"/>
  <c r="B802" i="1"/>
  <c r="B1011" i="1"/>
  <c r="B807" i="1"/>
  <c r="B1016" i="1"/>
  <c r="A937" i="1"/>
  <c r="A731" i="1"/>
  <c r="A932" i="1"/>
  <c r="A732" i="1"/>
  <c r="A933" i="1"/>
  <c r="A784" i="1"/>
  <c r="A985" i="1"/>
  <c r="A785" i="1"/>
  <c r="A986" i="1"/>
  <c r="A786" i="1"/>
  <c r="A987" i="1"/>
  <c r="A787" i="1"/>
  <c r="A988" i="1"/>
  <c r="A783" i="1"/>
  <c r="A984" i="1"/>
  <c r="A789" i="1"/>
  <c r="A990" i="1"/>
  <c r="A791" i="1"/>
  <c r="A992" i="1"/>
  <c r="A942" i="1"/>
  <c r="A944" i="1"/>
  <c r="A795" i="1"/>
  <c r="A996" i="1"/>
  <c r="A945" i="1"/>
  <c r="A796" i="1"/>
  <c r="A997" i="1"/>
  <c r="A779" i="1"/>
  <c r="A980" i="1"/>
  <c r="A781" i="1"/>
  <c r="A982" i="1"/>
  <c r="A790" i="1"/>
  <c r="A991" i="1"/>
  <c r="A780" i="1"/>
  <c r="A981" i="1"/>
  <c r="A792" i="1"/>
  <c r="A993" i="1"/>
  <c r="A793" i="1"/>
  <c r="A994" i="1"/>
  <c r="A943" i="1"/>
  <c r="A794" i="1"/>
  <c r="A995" i="1"/>
  <c r="A773" i="1"/>
  <c r="A974" i="1"/>
  <c r="A797" i="1"/>
  <c r="A998" i="1"/>
  <c r="A798" i="1"/>
  <c r="A999" i="1"/>
  <c r="A775" i="1"/>
  <c r="A976" i="1"/>
  <c r="A799" i="1"/>
  <c r="A1000" i="1"/>
  <c r="A776" i="1"/>
  <c r="A977" i="1"/>
  <c r="A800" i="1"/>
  <c r="A1001" i="1"/>
  <c r="A788" i="1"/>
  <c r="A989" i="1"/>
  <c r="A774" i="1"/>
  <c r="A975" i="1"/>
  <c r="A777" i="1"/>
  <c r="A978" i="1"/>
  <c r="A778" i="1"/>
  <c r="A979" i="1"/>
  <c r="A782" i="1"/>
  <c r="A737" i="1"/>
  <c r="A733" i="1"/>
  <c r="A738" i="1"/>
  <c r="A734" i="1"/>
  <c r="A735" i="1"/>
  <c r="A736" i="1"/>
  <c r="A741" i="1"/>
  <c r="A739" i="1"/>
  <c r="A740" i="1"/>
  <c r="A744" i="1"/>
  <c r="A743" i="1"/>
  <c r="A742" i="1"/>
</calcChain>
</file>

<file path=xl/sharedStrings.xml><?xml version="1.0" encoding="utf-8"?>
<sst xmlns="http://schemas.openxmlformats.org/spreadsheetml/2006/main" count="262" uniqueCount="216">
  <si>
    <t>제품명</t>
  </si>
  <si>
    <t>자료없음</t>
  </si>
  <si>
    <t xml:space="preserve">2. 유해성·위험성 </t>
  </si>
  <si>
    <t>가.유해성·위험성 분류</t>
  </si>
  <si>
    <t xml:space="preserve">   나. 예방조치문구를 포함한 경고표지 항목 </t>
  </si>
  <si>
    <t xml:space="preserve">   다. 유해·위험성 분류기준에 포함되지 않는 기타 유해·위험성(NFPA) </t>
  </si>
  <si>
    <t xml:space="preserve">3. 구성성분의 명칭 및 함유량  </t>
  </si>
  <si>
    <t xml:space="preserve">5. 폭발·화재시 대처방법 </t>
  </si>
  <si>
    <t>6. 누출사고시 대처방법</t>
  </si>
  <si>
    <t xml:space="preserve">7. 취급 및 저장방법 </t>
  </si>
  <si>
    <t>8. 노출방지 및 개인보호구</t>
  </si>
  <si>
    <t>9. 물리화학적 특성</t>
  </si>
  <si>
    <t>10. 안정성 및 반응성</t>
  </si>
  <si>
    <t>11. 독성에 관한 정보</t>
  </si>
  <si>
    <t>12. 환경에 미치는 영향</t>
  </si>
  <si>
    <t>13. 폐기시 주의사항</t>
  </si>
  <si>
    <t>해당없음</t>
  </si>
  <si>
    <t>15. 법적규제 현황</t>
  </si>
  <si>
    <t>16. 그 밖의 참고사항</t>
  </si>
  <si>
    <t xml:space="preserve">    가.자료의 출처</t>
  </si>
  <si>
    <t xml:space="preserve">    나. 최초작성일</t>
  </si>
  <si>
    <t xml:space="preserve">    다. 개정횟수 및 최종 개정일자</t>
  </si>
  <si>
    <t xml:space="preserve">   라. 기타</t>
  </si>
  <si>
    <t>자료없음</t>
    <phoneticPr fontId="21" type="noConversion"/>
  </si>
  <si>
    <t>화장품 및 생활용품 첨가용</t>
    <phoneticPr fontId="21" type="noConversion"/>
  </si>
  <si>
    <t>식품 및 식품첨가물로 사용할 수 없음</t>
    <phoneticPr fontId="21" type="noConversion"/>
  </si>
  <si>
    <t>자료없음</t>
    <phoneticPr fontId="21" type="noConversion"/>
  </si>
  <si>
    <t>MAIN COMPONENTS</t>
    <phoneticPr fontId="21" type="noConversion"/>
  </si>
  <si>
    <t>CAS NO.</t>
    <phoneticPr fontId="21" type="noConversion"/>
  </si>
  <si>
    <t>액체</t>
  </si>
  <si>
    <t>알코올에 용해.</t>
    <phoneticPr fontId="21" type="noConversion"/>
  </si>
  <si>
    <t>0 회</t>
    <phoneticPr fontId="21" type="noConversion"/>
  </si>
  <si>
    <t>본 자료는 참고용으로만 사용가능합니다. 기타 의문사항은 "아로마준"으로 문의 바랍니다.</t>
    <phoneticPr fontId="21" type="noConversion"/>
  </si>
  <si>
    <t>CONC(%)</t>
    <phoneticPr fontId="21" type="noConversion"/>
  </si>
  <si>
    <t>자료없음</t>
    <phoneticPr fontId="21" type="noConversion"/>
  </si>
  <si>
    <t>가연성 물질, 환원성 물질</t>
    <phoneticPr fontId="21" type="noConversion"/>
  </si>
  <si>
    <t>1) 기름과 물 분리가 가능한 것은 기름과 물 분리방법으로 사전처리 하시오.</t>
    <phoneticPr fontId="21" type="noConversion"/>
  </si>
  <si>
    <t>(관련 법규에 명시된 내용에 따라) 내용물 용기를 폐기하시오.</t>
    <phoneticPr fontId="21" type="noConversion"/>
  </si>
  <si>
    <t>화학물질 방어용 안경과 보안면을 사용하시오</t>
    <phoneticPr fontId="21" type="noConversion"/>
  </si>
  <si>
    <t>적합한 내화학성 장갑을 착용하시오</t>
    <phoneticPr fontId="21" type="noConversion"/>
  </si>
  <si>
    <t>적합한 내화학성 보호의를 착용하시오</t>
    <phoneticPr fontId="21" type="noConversion"/>
  </si>
  <si>
    <t>열, 스파크, 화염 등 점화원</t>
    <phoneticPr fontId="21" type="noConversion"/>
  </si>
  <si>
    <t xml:space="preserve"> ○ 작성된 물질안전보건자료(MSDS)는 한국산업안전보건공단에서 제공한 MSDS를 참고하여 편집, 일부 수정한 자료입니다.</t>
    <phoneticPr fontId="21" type="noConversion"/>
  </si>
  <si>
    <t>경기도 수원시 영통구 창룡대로 256번길 91 에이스광교타워2 1301호</t>
    <phoneticPr fontId="21" type="noConversion"/>
  </si>
  <si>
    <t>14. 운송에 필요한 정보</t>
    <phoneticPr fontId="21" type="noConversion"/>
  </si>
  <si>
    <t>가열시 용기가 폭발할 수 있음
일부는 탈 수 있으나 쉽게 점화하지 않음
화재시 자극성, 독성 가스를 발생할 수 있음
접촉 시 피부와 눈에 화상을 입힐 수 있음
물질의 흡입은 유해할 수 있음
석면의 흡입은 폐에 손상을 줄 수 있음
일부 액체에서 현기증 및 질식을 유발하는 증기를 발생할 수 있음</t>
    <phoneticPr fontId="21" type="noConversion"/>
  </si>
  <si>
    <t>타는 동안 열분해 또는 연소에 의해 자극적이고 매우 유독한 가스가 발생될 수 있음
자극성, 독성 가스
부식성/독성 흄</t>
    <phoneticPr fontId="21" type="noConversion"/>
  </si>
  <si>
    <t>해당없음</t>
    <phoneticPr fontId="21" type="noConversion"/>
  </si>
  <si>
    <t>지정폐기물</t>
    <phoneticPr fontId="21" type="noConversion"/>
  </si>
  <si>
    <t>가스, 증기, 미스트, 흄 또는 분진이 발산되는 작업장에 대하여는 공기 중에 이들 함유농도가 보건상  유해한 정도를 초과하지 않기를 권장함</t>
    <phoneticPr fontId="21" type="noConversion"/>
  </si>
  <si>
    <t>경구</t>
    <phoneticPr fontId="21" type="noConversion"/>
  </si>
  <si>
    <t>경피</t>
    <phoneticPr fontId="21" type="noConversion"/>
  </si>
  <si>
    <t>흡입</t>
    <phoneticPr fontId="21" type="noConversion"/>
  </si>
  <si>
    <t>갑각류</t>
    <phoneticPr fontId="21" type="noConversion"/>
  </si>
  <si>
    <t>어류</t>
    <phoneticPr fontId="21" type="noConversion"/>
  </si>
  <si>
    <t>조류</t>
    <phoneticPr fontId="21" type="noConversion"/>
  </si>
  <si>
    <t>국내규정</t>
    <phoneticPr fontId="21" type="noConversion"/>
  </si>
  <si>
    <t>제품의 권고 용도</t>
  </si>
  <si>
    <t>제품의 사용상의 제한</t>
  </si>
  <si>
    <t>회사명</t>
  </si>
  <si>
    <t>주소</t>
  </si>
  <si>
    <t>긴급전화번호</t>
  </si>
  <si>
    <t>그림문자</t>
  </si>
  <si>
    <t>신호어</t>
  </si>
  <si>
    <t>보건</t>
  </si>
  <si>
    <t>화재</t>
  </si>
  <si>
    <t>반응성</t>
  </si>
  <si>
    <t>생물학적 노출기준</t>
  </si>
  <si>
    <t>호흡기 보호</t>
  </si>
  <si>
    <t>눈 보호</t>
  </si>
  <si>
    <t>손 보호</t>
  </si>
  <si>
    <t>신체 보호</t>
  </si>
  <si>
    <t>성상</t>
  </si>
  <si>
    <t>색상</t>
  </si>
  <si>
    <t>급성독성</t>
  </si>
  <si>
    <t xml:space="preserve">피부부식성 또는 자극성 </t>
  </si>
  <si>
    <t xml:space="preserve">심한 눈손상 또는 자극성 </t>
  </si>
  <si>
    <t>호흡기과민성</t>
  </si>
  <si>
    <t>피부과민성</t>
  </si>
  <si>
    <t>발암성</t>
  </si>
  <si>
    <t>생식세포변이원성</t>
  </si>
  <si>
    <t>생식독성</t>
  </si>
  <si>
    <t>잔류성</t>
  </si>
  <si>
    <t>분해성</t>
  </si>
  <si>
    <t>농축성</t>
  </si>
  <si>
    <t>생분해성</t>
  </si>
  <si>
    <t>국내규제</t>
  </si>
  <si>
    <t>국외규제</t>
  </si>
  <si>
    <t>개정횟수</t>
  </si>
  <si>
    <t>최종 개정일자</t>
  </si>
  <si>
    <t>가. 화학물질의 노출기준, 생물학적 노출기준 등</t>
    <phoneticPr fontId="21" type="noConversion"/>
  </si>
  <si>
    <t>나. 적절한 공학적 관리</t>
    <phoneticPr fontId="21" type="noConversion"/>
  </si>
  <si>
    <t>다. 개인보호구</t>
    <phoneticPr fontId="21" type="noConversion"/>
  </si>
  <si>
    <t>가. 외관</t>
    <phoneticPr fontId="21" type="noConversion"/>
  </si>
  <si>
    <t>나. 냄새</t>
    <phoneticPr fontId="21" type="noConversion"/>
  </si>
  <si>
    <t>다. 냄새역치</t>
    <phoneticPr fontId="21" type="noConversion"/>
  </si>
  <si>
    <t>라. pH</t>
    <phoneticPr fontId="21" type="noConversion"/>
  </si>
  <si>
    <t>마. 녹는점/어는점</t>
    <phoneticPr fontId="21" type="noConversion"/>
  </si>
  <si>
    <t>바. 초기 끓는점과 끓는점 범위</t>
    <phoneticPr fontId="21" type="noConversion"/>
  </si>
  <si>
    <t>사. 인화점</t>
  </si>
  <si>
    <t>아. 증발속도</t>
  </si>
  <si>
    <t>자. 인화성(고체, 기체)</t>
  </si>
  <si>
    <t>차. 인화 또는 폭발 범위의 상한/하한</t>
  </si>
  <si>
    <t>카. 증기압</t>
  </si>
  <si>
    <t>타. 용해도</t>
  </si>
  <si>
    <t>파. 증기밀도</t>
  </si>
  <si>
    <t>하. 비중 (20℃) (물=1)</t>
  </si>
  <si>
    <t>거. n-옥탄올/물분배계수</t>
  </si>
  <si>
    <t>너. 자연발화온도</t>
  </si>
  <si>
    <t>더. 분해온도</t>
  </si>
  <si>
    <t>러. 점도</t>
  </si>
  <si>
    <t>머. 분자량</t>
  </si>
  <si>
    <t>버. 굴절률 (20℃)</t>
  </si>
  <si>
    <t>가. 화학적 안정성 및 유해 반응의 가능성</t>
  </si>
  <si>
    <t>나. 피해야 할 조건</t>
  </si>
  <si>
    <t>다. 피해야 할 물질</t>
  </si>
  <si>
    <t>라. 분해시 생성되는 유해물질</t>
  </si>
  <si>
    <t>가. 가능성이 높은 노출 경로에 관한 정보</t>
  </si>
  <si>
    <t>나. 건강 유해성 정보</t>
  </si>
  <si>
    <t>산업안전보건법</t>
  </si>
  <si>
    <t>고용노동부고시</t>
  </si>
  <si>
    <t>IARC</t>
  </si>
  <si>
    <t>OSHA</t>
  </si>
  <si>
    <t>ACGIH</t>
  </si>
  <si>
    <t>NTP</t>
  </si>
  <si>
    <t>EU CLP</t>
  </si>
  <si>
    <t>가. 생태독성</t>
    <phoneticPr fontId="21" type="noConversion"/>
  </si>
  <si>
    <t>나. 잔류성 및 분해성</t>
    <phoneticPr fontId="21" type="noConversion"/>
  </si>
  <si>
    <t>다. 생물농축성</t>
    <phoneticPr fontId="21" type="noConversion"/>
  </si>
  <si>
    <t>라. 토양이동성</t>
    <phoneticPr fontId="21" type="noConversion"/>
  </si>
  <si>
    <t>마. 기타 유해 영향</t>
    <phoneticPr fontId="21" type="noConversion"/>
  </si>
  <si>
    <t>가. 폐기방법</t>
    <phoneticPr fontId="21" type="noConversion"/>
  </si>
  <si>
    <t>나. 폐기시 주의사항</t>
    <phoneticPr fontId="21" type="noConversion"/>
  </si>
  <si>
    <t>가. 유엔번호(UN No.)</t>
  </si>
  <si>
    <t>나. 적정선적명</t>
  </si>
  <si>
    <t>다. 운송에서의 위험성 등급</t>
  </si>
  <si>
    <t>라. 용기등급</t>
  </si>
  <si>
    <t>마. 해양오염물질</t>
  </si>
  <si>
    <t>가. 산업안전보건법에 의한 규제</t>
  </si>
  <si>
    <t>나. 화학물질관리법에 의한 규제</t>
  </si>
  <si>
    <t>라. 폐기물관리법에 의한 규제</t>
  </si>
  <si>
    <t>마. 기타 국내 및 외국법에 의한 규제</t>
  </si>
  <si>
    <t>잔류성유기오염물질관리법</t>
  </si>
  <si>
    <t>미국관리정보(OSHA 규정)</t>
  </si>
  <si>
    <t>미국관리정보(CERCLA 규정)</t>
  </si>
  <si>
    <t>미국관리정보(EPCRA 302 규정)</t>
  </si>
  <si>
    <t>미국관리정보(EPCRA 304 규정)</t>
  </si>
  <si>
    <t>미국관리정보(EPCRA 313 규정)</t>
  </si>
  <si>
    <t>미국관리정보(로테르담협약물질)</t>
  </si>
  <si>
    <t>미국관리정보(스톡홀름협약물질)</t>
  </si>
  <si>
    <t>미국관리정보(몬트리올의정서물질)</t>
  </si>
  <si>
    <t>EU 분류정보(확정분류결과)</t>
  </si>
  <si>
    <t>EU 분류정보(위험문구)</t>
  </si>
  <si>
    <t>EU 분류정보(안전문구)</t>
  </si>
  <si>
    <t>가. 적절한(부적절한) 소화제</t>
    <phoneticPr fontId="21" type="noConversion"/>
  </si>
  <si>
    <t>다. 화재진압시 착용할 보호구 및 예방조치</t>
    <phoneticPr fontId="21" type="noConversion"/>
  </si>
  <si>
    <t>나. 환경을 보호하기 위해 필요한 조치사항</t>
    <phoneticPr fontId="21" type="noConversion"/>
  </si>
  <si>
    <t>다. 정화 또는 제거방법</t>
    <phoneticPr fontId="21" type="noConversion"/>
  </si>
  <si>
    <t>가. 안전취급요령</t>
    <phoneticPr fontId="21" type="noConversion"/>
  </si>
  <si>
    <t>나. 안전한 저장방법</t>
    <phoneticPr fontId="21" type="noConversion"/>
  </si>
  <si>
    <t>해당물질에 직접적인 노출 또는 노출 가능성이 있는 경우, 한국산업안전보건공단 인증을 받은 방독마스크를 착용할 것</t>
    <phoneticPr fontId="21" type="noConversion"/>
  </si>
  <si>
    <t>가. 제품명</t>
    <phoneticPr fontId="21" type="noConversion"/>
  </si>
  <si>
    <t>나. 제품의 권고 용도와 사용상의 제한</t>
    <phoneticPr fontId="21" type="noConversion"/>
  </si>
  <si>
    <t>다. 제조 및 공급자 정보(수입품의 경우 긴급 연락 가능한 국내 공급자 정보 기재)</t>
    <phoneticPr fontId="21" type="noConversion"/>
  </si>
  <si>
    <t>가. 눈에 들어갔을 때</t>
  </si>
  <si>
    <t>나. 피부에 접촉했을 때</t>
  </si>
  <si>
    <t>다. 흡입했을 때</t>
  </si>
  <si>
    <t>라. 먹었을 때</t>
  </si>
  <si>
    <t>마. 기타 의사의 주의사항</t>
  </si>
  <si>
    <t xml:space="preserve">4. 응급조치요령 </t>
    <phoneticPr fontId="21" type="noConversion"/>
  </si>
  <si>
    <t>예방조치문구</t>
    <phoneticPr fontId="21" type="noConversion"/>
  </si>
  <si>
    <t>예방</t>
    <phoneticPr fontId="21" type="noConversion"/>
  </si>
  <si>
    <t>대응</t>
    <phoneticPr fontId="21" type="noConversion"/>
  </si>
  <si>
    <t>저장</t>
    <phoneticPr fontId="21" type="noConversion"/>
  </si>
  <si>
    <t>폐기</t>
    <phoneticPr fontId="21" type="noConversion"/>
  </si>
  <si>
    <t>자료없음</t>
    <phoneticPr fontId="21" type="noConversion"/>
  </si>
  <si>
    <t xml:space="preserve">1. 화학제품과 회사에 관한 정보 </t>
    <phoneticPr fontId="21" type="noConversion"/>
  </si>
  <si>
    <t>해당없음</t>
    <phoneticPr fontId="21" type="noConversion"/>
  </si>
  <si>
    <t>가. 인체를 보호하기 위해 필요한 조치사항 및 보호구</t>
    <phoneticPr fontId="21" type="noConversion"/>
  </si>
  <si>
    <t>유해·위험문구</t>
    <phoneticPr fontId="21" type="noConversion"/>
  </si>
  <si>
    <t>4류 제3석유류(비수용성) 2,000L</t>
    <phoneticPr fontId="21" type="noConversion"/>
  </si>
  <si>
    <t>번호 : AA01828-0000000012</t>
    <phoneticPr fontId="21" type="noConversion"/>
  </si>
  <si>
    <t xml:space="preserve"> -본 MSDS는 산업안전보건법 제 110조 및 고용노동부고시 제2020-130호(화학물질의 분류•표시 및 물질안전보건자료에 관한 기준)에 근거하여 국내 관련 규제 법규 현황 등을 고려하여 작성함.
- 본 MSDS는 KOSHA, NITE, ECHA, NLM, SIDS, IPCS, NICS 등을 근거로 작성하였음.</t>
    <phoneticPr fontId="21" type="noConversion"/>
  </si>
  <si>
    <t>피부에 자극을 일으킴</t>
    <phoneticPr fontId="21" type="noConversion"/>
  </si>
  <si>
    <t>눈에 자극을 일으킴</t>
    <phoneticPr fontId="21" type="noConversion"/>
  </si>
  <si>
    <t>무색 ~ 미황색</t>
    <phoneticPr fontId="21" type="noConversion"/>
  </si>
  <si>
    <t>031-8014-2626</t>
    <phoneticPr fontId="21" type="noConversion"/>
  </si>
  <si>
    <t>주식회사 아로마준</t>
    <phoneticPr fontId="21" type="noConversion"/>
  </si>
  <si>
    <t>인화성 액체 : 구분4
피부 부식성/피부 자극성 : 구분2
심한 눈 손상성/눈 자극성 : 구분1
피부 과민성 : 구분1
급성 수생환경 유해성 : 구분1
만성 수생환경 유해성 : 구분1</t>
    <phoneticPr fontId="21" type="noConversion"/>
  </si>
  <si>
    <t>H227</t>
    <phoneticPr fontId="21" type="noConversion"/>
  </si>
  <si>
    <t>긴급 의료조치를 받으시오
눈에 묻으면 몇 분간 물로 조심해서 씻으시오. 
가능하면 콘택트렌즈를 제거하시오. 
계속씻으시오
물질과 접촉시 즉시 20분 이상 흐르는 물에 피부와 눈을 씻어내시오</t>
    <phoneticPr fontId="21" type="noConversion"/>
  </si>
  <si>
    <t>따뜻하게 하고 안정되게 해주시오
신선한 공기가 있는 곳으로 옮기시오
즉시 의료기관(의사)의 진찰을 받으시오호흡이 힘들 경우 산소를 공급하시오
호흡하지 않는 경우 인공호흡을 실시하시오</t>
    <phoneticPr fontId="21" type="noConversion"/>
  </si>
  <si>
    <t>긴급 의료조치를 받으시오</t>
    <phoneticPr fontId="21" type="noConversion"/>
  </si>
  <si>
    <t>의료인력이 해당물질에 대해 인지하고 보호조치를 취하도록 하시오</t>
    <phoneticPr fontId="21" type="noConversion"/>
  </si>
  <si>
    <t>경미한 피부 접촉 시 오염부위 확산을 방지하시오
긴급 의료조치를 받으시오
다시 사용전 오염된 의복은 세척하시오
뜨거운 물질인 경우, 열을 없애기 위해 영향을 받은 부위를 다량의 차가운 물에 담그거나 씻어내시오
물질과 접촉시 즉시 20분 이상 흐르는 물에 피부와 눈을 씻어내시오
비누와 물로 피부를 씻으시오
오염된 옷과 신발을 제거하고 오염지역을 격리하시오
오염된 의복은 벗고 다시 사용 전 세탁하시오
피부 자극이 생기면 의학적인 조치·조언을 구하시오
피부(또는 머리카락)에 묻으면 오염된 모든 의복은 벗거나 제거하시오.
피부를 물로 씻으시오/샤워하시오
피부자극성 또는 홍반이 나타나면 의학적인 조치·조언을 구하시오
화상의 경우 즉시 찬물로 가능한 오래 해당부위를 식히고, 피부에 들러붙은 옷은 제거하지 마시오</t>
    <phoneticPr fontId="21" type="noConversion"/>
  </si>
  <si>
    <t>이 물질과 관련된 소화시 알콜 포말, 이산화탄소 또는 물분무를 사용할 것
질식소화시 건조한 모래 또는 흙을 사용할 것</t>
    <phoneticPr fontId="21" type="noConversion"/>
  </si>
  <si>
    <t>가열시 용기가 폭발할 수 있음
격렬하게 중합반응하여 화재와 폭발을 일으킬 수 있음
고인화성: 열, 스파크, 화염에 의해 쉽게 점화됨
누출물은 화재/폭발 위험이 있음
실내, 실외, 하수구에서 증기 폭발 위험이 있음인화성 액체 및 증기
인화점이나 그 이상에서 폭발성 혼합물을 형성할 수 있음
일부는 탈 수 있으나 쉽게 점화하지 않음
증기는 공기와 폭발성 혼합물을 형성할 수 있음
증기는 점화원에 옮겨져 발화 될 수 있음
타는 동안 열분해 또는 연소에 의해 자극적이고 매우 유독한 가스가 발생될 수 있음
화재시 자극성, 부식성, 독성 가스를 발생할 수 있음</t>
    <phoneticPr fontId="21" type="noConversion"/>
  </si>
  <si>
    <t xml:space="preserve">나. 화학물질로부터 생기는 특정 유해성
</t>
    <phoneticPr fontId="21" type="noConversion"/>
  </si>
  <si>
    <t>지역을 벗어나 안전거리를 유지하여 소화하시오
소화수의 처분을 위해 도랑을 파서 가두고 물질이 흩어지지 않게 하시오
위험하지 않다면 화재지역에서 용기를 옮기시오
탱크 화재시 소화가 진화된 후에도 다량의 물로 용기를 식히시오
탱크 화재시 압력 방출장치에서 고음이 있거나 탱크가 변색할 경우 즉시 물러나시오
탱크 화재시 화염에 휩싸인 탱크에서 물러나시오
구조자는 적절한 보호구를 착용하시오
대부분 물보다 가벼우니 주의하시오
대부분의 증기는 공기보다 무겁기 때문에 지면을 따라 확산하고 저지대나 밀폐공간에 축적될 수 있음
탱크 화재시 결빙될 수 있으므로 노출원 또는 안전장치에 직접주수하지 마시오
탱크 화재시 최대거리에서 소화하거나 무인 소화장비를 이용하시오
탱크 화재시 대규모 화재의 경우 무인 소화장비를 이용하고 불가능하다면 물러나 타게 놔 두시오
용융되어 운송될 수도 있으니 주의하시오</t>
    <phoneticPr fontId="21" type="noConversion"/>
  </si>
  <si>
    <t>(분진·흄·가스·미스트·증기·스프레이)의 흡입을 피하시오
노출물을 만지거나 걸어다니지 마시오
매우 미세한 입자는 화재나 폭발을 일으킬 수 있으므로 모든 점화원을 제거하시오
물질 취급시 모든 장비를 반드시 접지하시오
엎질러진 것을 즉시 닦아내고, 보호구 항의 예방조치를 따르시오
위험하지 않다면 누출을 멈추시오
적절한 보호의를 착용하지 않고 파손된 용기나 누출물에 손대지 마시오
증기발생을 줄이기 위해 증기억제포말을 사용할 수 있음
플라스틱 시트로 덮어 확산을 막으시오
피해야할 물질 및 조건에 유의하시오</t>
    <phoneticPr fontId="21" type="noConversion"/>
  </si>
  <si>
    <t>수로, 하수구, 지하실, 밀폐공간으로의 유입을 방지하시오</t>
    <phoneticPr fontId="21" type="noConversion"/>
  </si>
  <si>
    <t>건조모래/흙, 기타 비가연성 물질로 덮거나 흡수한 후 용기에 옮기시오
다량 누출시 액체 누출물과 멀게하여 도랑을 만드시오
불활성 물질(예를 들어 건조한 모래 또는 흙)로 엎지른 것을 흡수하고, 화학폐기물 용기에 넣으시오
소화를 위해 제방을 쌓고 물을 수거하시오
액체를 흡수하고 오염된 지역을 세제와 물로 씻어 내시오
청결한 방폭 도구를 사용하여 흡수된 물질을 수거하시오</t>
    <phoneticPr fontId="21" type="noConversion"/>
  </si>
  <si>
    <t>(분진·흄·가스·미스트·증기·스프레이)의 흡입을 피하시오
물질 취급시 모든 장비를 반드시 접지하시오피해야할 물질 및 조건에 유의하시오
공학적 관리 및 개인보호구를 참조하여 작업하시오
스파크가 발생하지 않는 도구만을 사용하시오
압력을 가하거나, 자르거나, 용접, 납땜, 접합, 뚫기, 연마 또는 열에 폭로, 화염, 불꽃, 정전기 또는 다른 점화원에 폭로하지 마시오
열에 주의하시오
용기가 비워진 후에도 제품 찌꺼기가 남아 있을 수 있으므로 모든 MSDS/라벨 예방조치를 따르시오
작업장 밖으로 오염된 의복을 반출하지 마시오
장기간 또는 지속적인 피부접촉을 막으시오
저지대 밀폐공간에서 작업시 산소결핍의 우려가 있으므로 작업중, 공기중 산소농도 측정및 환기를 하시오
정전기 방지 조치를 취하시오
취급 후에는 취급 부위를 철저히 씻으시오
폭발 방지용 전기·환기·조명·장비를 사용하시오</t>
    <phoneticPr fontId="21" type="noConversion"/>
  </si>
  <si>
    <t>빈 드럼통은 완전히 배수하고 적절히 막아 즉시 드럼 조절기에 되돌려 놓거나 적절히 배치하시오
용기를 단단히 밀폐하시오
열·스파크·화염·고열로부터 멀리하시오 - 금연
환기가 잘 되는 곳에 보관하시오</t>
    <phoneticPr fontId="21" type="noConversion"/>
  </si>
  <si>
    <t>91℃</t>
    <phoneticPr fontId="21" type="noConversion"/>
  </si>
  <si>
    <t>0.937 ± 0.01</t>
    <phoneticPr fontId="21" type="noConversion"/>
  </si>
  <si>
    <t>1.463 ± 0.005</t>
    <phoneticPr fontId="21" type="noConversion"/>
  </si>
  <si>
    <t xml:space="preserve">Corrosive liquids, N.O.S. </t>
    <phoneticPr fontId="21" type="noConversion"/>
  </si>
  <si>
    <t>위험</t>
    <phoneticPr fontId="21" type="noConversion"/>
  </si>
  <si>
    <t>2025.07.10</t>
    <phoneticPr fontId="21" type="noConversion"/>
  </si>
  <si>
    <t>VARIETY PEAK</t>
    <phoneticPr fontId="21" type="noConversion"/>
  </si>
  <si>
    <t>흡인유해성</t>
    <phoneticPr fontId="21" type="noConversion"/>
  </si>
  <si>
    <t>ACGIH 규정</t>
    <phoneticPr fontId="21" type="noConversion"/>
  </si>
  <si>
    <t>특정 표적장기 독성 (1회 노출)</t>
    <phoneticPr fontId="21" type="noConversion"/>
  </si>
  <si>
    <t>특정 표적장기 독성 (반복 노출)</t>
    <phoneticPr fontId="21" type="noConversion"/>
  </si>
  <si>
    <t>다. 위험물안전관리법에 의한 규제</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</si>
</sst>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2" formatCode="_-&quot;₩&quot;* #,##0_-;\-&quot;₩&quot;* #,##0_-;_-&quot;₩&quot;* &quot;-&quot;_-;_-@_-"/>
    <numFmt numFmtId="41" formatCode="_-* #,##0_-;\-* #,##0_-;_-* &quot;-&quot;_-;_-@_-"/>
    <numFmt numFmtId="176" formatCode="&quot;₩&quot;#,##0;[Red]&quot;₩&quot;&quot;₩&quot;&quot;₩&quot;&quot;₩&quot;&quot;₩&quot;&quot;₩&quot;&quot;₩&quot;\-&quot;₩&quot;#,##0"/>
    <numFmt numFmtId="177" formatCode="_ &quot;₩&quot;* #,##0_ ;_ &quot;₩&quot;* \-#,##0_ ;_ &quot;₩&quot;* &quot;-&quot;_ ;_ @_ "/>
    <numFmt numFmtId="178" formatCode="_ &quot;₩&quot;* #,##0.00_ ;_ &quot;₩&quot;* \-#,##0.00_ ;_ &quot;₩&quot;* &quot;-&quot;??_ ;_ @_ "/>
    <numFmt numFmtId="179" formatCode="_-&quot;₩&quot;* #,##0.00_-;&quot;₩&quot;&quot;₩&quot;&quot;₩&quot;&quot;₩&quot;&quot;₩&quot;&quot;₩&quot;&quot;₩&quot;\-&quot;₩&quot;* #,##0.00_-;_-&quot;₩&quot;* &quot;-&quot;??_-;_-@_-"/>
    <numFmt numFmtId="180" formatCode="_ * #,##0_ ;_ * \-#,##0_ ;_ * &quot;-&quot;_ ;_ @_ "/>
    <numFmt numFmtId="181" formatCode="&quot;₩&quot;#,##0.00;[Red]&quot;₩&quot;&quot;₩&quot;&quot;₩&quot;&quot;₩&quot;&quot;₩&quot;&quot;₩&quot;&quot;₩&quot;\-&quot;₩&quot;#,##0.00"/>
    <numFmt numFmtId="182" formatCode="_ * #,##0.00_ ;_ * \-#,##0.00_ ;_ * &quot;-&quot;??_ ;_ @_ "/>
    <numFmt numFmtId="183" formatCode="_ * #,##0_ ;_ * &quot;₩&quot;&quot;₩&quot;&quot;₩&quot;&quot;₩&quot;&quot;₩&quot;&quot;₩&quot;\-#,##0_ ;_ * &quot;-&quot;_ ;_ @_ "/>
    <numFmt numFmtId="184" formatCode="#,##0.000"/>
    <numFmt numFmtId="185" formatCode="#,##0;[Red]&quot;₩&quot;&quot;₩&quot;&quot;₩&quot;&quot;₩&quot;&quot;₩&quot;&quot;₩&quot;\(#,##0&quot;₩&quot;&quot;₩&quot;&quot;₩&quot;&quot;₩&quot;&quot;₩&quot;&quot;₩&quot;\)"/>
    <numFmt numFmtId="186" formatCode="#,##0.0;[Red]&quot;₩&quot;&quot;₩&quot;&quot;₩&quot;&quot;₩&quot;&quot;₩&quot;&quot;₩&quot;\(#,##0.0&quot;₩&quot;&quot;₩&quot;&quot;₩&quot;&quot;₩&quot;&quot;₩&quot;&quot;₩&quot;\)"/>
    <numFmt numFmtId="187" formatCode="&quot;$&quot;#,###"/>
    <numFmt numFmtId="188" formatCode="[$-409]mmm&quot;-&quot;yy;@"/>
    <numFmt numFmtId="189" formatCode="#."/>
    <numFmt numFmtId="190" formatCode="#,##0;[Red]&quot;-&quot;#,##0"/>
    <numFmt numFmtId="191" formatCode="&quot;$&quot;#.##0_);&quot;₩&quot;&quot;₩&quot;&quot;₩&quot;&quot;₩&quot;&quot;₩&quot;&quot;₩&quot;\(&quot;$&quot;#.##0&quot;₩&quot;&quot;₩&quot;&quot;₩&quot;&quot;₩&quot;&quot;₩&quot;&quot;₩&quot;\)"/>
    <numFmt numFmtId="192" formatCode="#,##0.00;[Red]&quot;-&quot;#,##0.00"/>
    <numFmt numFmtId="193" formatCode="#,##0.00;&quot;-&quot;#,##0.00"/>
    <numFmt numFmtId="194" formatCode="d"/>
    <numFmt numFmtId="195" formatCode="&quot;₩&quot;#,##0.00;&quot;₩&quot;\-#,##0.00"/>
    <numFmt numFmtId="196" formatCode="_(&quot;$&quot;* #,##0.00_);_(&quot;$&quot;* \(#,##0.00\);_(&quot;$&quot;* &quot;-&quot;??_);_(@_)"/>
    <numFmt numFmtId="197" formatCode="_(&quot;$&quot;* #,##0_);_(&quot;$&quot;* \(#,##0\);_(&quot;$&quot;* &quot;-&quot;_);_(@_)"/>
    <numFmt numFmtId="198" formatCode="#,###&quot; &quot;;\(#,###\)"/>
    <numFmt numFmtId="199" formatCode="#,###&quot;  &quot;;\(#,###\)&quot; &quot;"/>
  </numFmts>
  <fonts count="119">
    <font>
      <sz val="11"/>
      <name val="돋움"/>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돋움"/>
      <family val="3"/>
      <charset val="129"/>
    </font>
    <font>
      <sz val="11"/>
      <name val="돋움"/>
      <family val="3"/>
      <charset val="129"/>
    </font>
    <font>
      <sz val="8"/>
      <name val="굴림"/>
      <family val="3"/>
      <charset val="129"/>
    </font>
    <font>
      <sz val="9"/>
      <name val="굴림"/>
      <family val="3"/>
      <charset val="129"/>
    </font>
    <font>
      <sz val="10"/>
      <name val="돋움"/>
      <family val="3"/>
      <charset val="129"/>
    </font>
    <font>
      <sz val="9"/>
      <name val="돋움체"/>
      <family val="3"/>
      <charset val="129"/>
    </font>
    <font>
      <b/>
      <sz val="9"/>
      <name val="굴림"/>
      <family val="3"/>
      <charset val="129"/>
    </font>
    <font>
      <b/>
      <sz val="9"/>
      <name val="돋움"/>
      <family val="3"/>
      <charset val="129"/>
    </font>
    <font>
      <b/>
      <sz val="8"/>
      <name val="굴림"/>
      <family val="3"/>
      <charset val="129"/>
    </font>
    <font>
      <sz val="11"/>
      <color indexed="8"/>
      <name val="맑은 고딕"/>
      <family val="3"/>
      <charset val="129"/>
    </font>
    <font>
      <sz val="9"/>
      <color rgb="FF000000"/>
      <name val="굴림"/>
      <family val="3"/>
      <charset val="129"/>
    </font>
    <font>
      <sz val="8"/>
      <color rgb="FF000000"/>
      <name val="굴림"/>
      <family val="3"/>
      <charset val="129"/>
    </font>
    <font>
      <sz val="12"/>
      <name val="宋体"/>
      <family val="3"/>
      <charset val="129"/>
    </font>
    <font>
      <sz val="12"/>
      <name val="바탕체"/>
      <family val="1"/>
      <charset val="129"/>
    </font>
    <font>
      <sz val="10"/>
      <name val="Arial"/>
      <family val="2"/>
    </font>
    <font>
      <sz val="12"/>
      <name val="¹ÙÅÁÃ¼"/>
      <family val="1"/>
      <charset val="129"/>
    </font>
    <font>
      <sz val="12"/>
      <name val="돋움체"/>
      <family val="3"/>
      <charset val="129"/>
    </font>
    <font>
      <sz val="9"/>
      <color indexed="8"/>
      <name val="돋움"/>
      <family val="3"/>
      <charset val="129"/>
    </font>
    <font>
      <sz val="12"/>
      <name val="명조"/>
      <family val="3"/>
      <charset val="129"/>
    </font>
    <font>
      <b/>
      <sz val="10"/>
      <color indexed="8"/>
      <name val="휴먼엑스포"/>
      <family val="1"/>
      <charset val="129"/>
    </font>
    <font>
      <sz val="11"/>
      <color theme="1"/>
      <name val="맑은 고딕"/>
      <family val="3"/>
      <charset val="129"/>
      <scheme val="minor"/>
    </font>
    <font>
      <sz val="11"/>
      <color indexed="9"/>
      <name val="맑은 고딕"/>
      <family val="3"/>
      <charset val="129"/>
    </font>
    <font>
      <sz val="12"/>
      <name val="¹UAAA¼"/>
      <family val="1"/>
      <charset val="129"/>
    </font>
    <font>
      <sz val="11"/>
      <name val="µ¸¿ò"/>
      <family val="3"/>
      <charset val="129"/>
    </font>
    <font>
      <b/>
      <sz val="10"/>
      <name val="Helv"/>
      <family val="2"/>
    </font>
    <font>
      <sz val="10"/>
      <name val="VNI-Times"/>
      <family val="2"/>
    </font>
    <font>
      <sz val="8"/>
      <name val="Arial"/>
      <family val="2"/>
    </font>
    <font>
      <b/>
      <sz val="12"/>
      <name val="Helv"/>
      <family val="2"/>
    </font>
    <font>
      <b/>
      <sz val="12"/>
      <name val="Arial"/>
      <family val="2"/>
    </font>
    <font>
      <b/>
      <sz val="18"/>
      <name val="Arial"/>
      <family val="2"/>
    </font>
    <font>
      <b/>
      <sz val="11"/>
      <name val="Helv"/>
      <family val="2"/>
    </font>
    <font>
      <sz val="10"/>
      <color rgb="FF000000"/>
      <name val="Times New Roman"/>
      <family val="1"/>
    </font>
    <font>
      <sz val="10"/>
      <color theme="1"/>
      <name val="Tahoma"/>
      <family val="2"/>
    </font>
    <font>
      <sz val="12"/>
      <name val="굴림체"/>
      <family val="3"/>
      <charset val="129"/>
    </font>
    <font>
      <sz val="10"/>
      <color indexed="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sz val="11"/>
      <color indexed="10"/>
      <name val="맑은 고딕"/>
      <family val="3"/>
      <charset val="129"/>
    </font>
    <font>
      <b/>
      <sz val="11"/>
      <color indexed="52"/>
      <name val="맑은 고딕"/>
      <family val="3"/>
      <charset val="129"/>
    </font>
    <font>
      <sz val="1"/>
      <color indexed="16"/>
      <name val="Courier"/>
      <family val="3"/>
    </font>
    <font>
      <b/>
      <sz val="1"/>
      <color indexed="16"/>
      <name val="Courier"/>
      <family val="3"/>
    </font>
    <font>
      <sz val="11"/>
      <color indexed="20"/>
      <name val="맑은 고딕"/>
      <family val="3"/>
      <charset val="129"/>
    </font>
    <font>
      <sz val="11"/>
      <color rgb="FF9C0006"/>
      <name val="맑은 고딕"/>
      <family val="3"/>
      <charset val="129"/>
      <scheme val="minor"/>
    </font>
    <font>
      <u/>
      <sz val="11"/>
      <color indexed="20"/>
      <name val="돋움"/>
      <family val="3"/>
      <charset val="129"/>
    </font>
    <font>
      <sz val="14"/>
      <name val="뼻뮝"/>
      <family val="3"/>
      <charset val="129"/>
    </font>
    <font>
      <sz val="11"/>
      <color theme="1"/>
      <name val="맑은 고딕"/>
      <family val="2"/>
      <charset val="129"/>
    </font>
    <font>
      <sz val="11"/>
      <color indexed="60"/>
      <name val="맑은 고딕"/>
      <family val="3"/>
      <charset val="129"/>
    </font>
    <font>
      <sz val="12"/>
      <name val="뼻뮝"/>
      <family val="3"/>
      <charset val="129"/>
    </font>
    <font>
      <sz val="11"/>
      <color indexed="8"/>
      <name val="宋体"/>
    </font>
    <font>
      <sz val="12"/>
      <color indexed="8"/>
      <name val="宋体"/>
      <family val="3"/>
      <charset val="129"/>
    </font>
    <font>
      <i/>
      <sz val="11"/>
      <color indexed="23"/>
      <name val="맑은 고딕"/>
      <family val="3"/>
      <charset val="129"/>
    </font>
    <font>
      <b/>
      <sz val="11"/>
      <color indexed="9"/>
      <name val="맑은 고딕"/>
      <family val="3"/>
      <charset val="129"/>
    </font>
    <font>
      <b/>
      <sz val="11"/>
      <color theme="0"/>
      <name val="맑은 고딕"/>
      <family val="3"/>
      <charset val="129"/>
      <scheme val="minor"/>
    </font>
    <font>
      <b/>
      <sz val="12"/>
      <color indexed="16"/>
      <name val="굴림체"/>
      <family val="3"/>
      <charset val="129"/>
    </font>
    <font>
      <sz val="11"/>
      <color rgb="FF000000"/>
      <name val="맑은 고딕"/>
      <family val="3"/>
      <charset val="129"/>
    </font>
    <font>
      <sz val="9"/>
      <color rgb="FF0000FF"/>
      <name val="돋움"/>
      <family val="3"/>
      <charset val="129"/>
    </font>
    <font>
      <b/>
      <sz val="9"/>
      <color rgb="FF0000FF"/>
      <name val="돋움"/>
      <family val="3"/>
      <charset val="129"/>
    </font>
    <font>
      <sz val="11"/>
      <color indexed="52"/>
      <name val="맑은 고딕"/>
      <family val="3"/>
      <charset val="129"/>
    </font>
    <font>
      <sz val="11"/>
      <color rgb="FFFA7D00"/>
      <name val="맑은 고딕"/>
      <family val="3"/>
      <charset val="129"/>
      <scheme val="minor"/>
    </font>
    <font>
      <sz val="9"/>
      <name val="돋움"/>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8"/>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1"/>
      <color rgb="FF3F3F3F"/>
      <name val="맑은 고딕"/>
      <family val="3"/>
      <charset val="129"/>
      <scheme val="minor"/>
    </font>
    <font>
      <sz val="10"/>
      <name val="굴림체"/>
      <family val="3"/>
      <charset val="129"/>
    </font>
    <font>
      <sz val="11"/>
      <name val="굴림"/>
      <family val="3"/>
      <charset val="129"/>
    </font>
    <font>
      <sz val="10"/>
      <name val=".VnArial"/>
      <family val="2"/>
    </font>
    <font>
      <sz val="10"/>
      <name val="QBJ-명조10pt"/>
      <family val="3"/>
      <charset val="129"/>
    </font>
    <font>
      <sz val="12"/>
      <color indexed="8"/>
      <name val="바탕체"/>
      <family val="1"/>
      <charset val="129"/>
    </font>
    <font>
      <sz val="12"/>
      <color theme="1"/>
      <name val="맑은 고딕"/>
      <family val="3"/>
      <charset val="129"/>
      <scheme val="minor"/>
    </font>
    <font>
      <sz val="11"/>
      <color theme="1"/>
      <name val="맑은 고딕"/>
      <family val="2"/>
      <scheme val="minor"/>
    </font>
    <font>
      <sz val="11"/>
      <color indexed="8"/>
      <name val="맑은 고딕"/>
      <family val="2"/>
      <scheme val="minor"/>
    </font>
    <font>
      <sz val="11"/>
      <color indexed="8"/>
      <name val="맑은 고딕"/>
      <family val="3"/>
    </font>
    <font>
      <sz val="10"/>
      <color theme="1"/>
      <name val="맑은 고딕"/>
      <family val="3"/>
      <charset val="129"/>
      <scheme val="minor"/>
    </font>
    <font>
      <sz val="11"/>
      <color theme="1"/>
      <name val="맑은 고딕"/>
      <family val="3"/>
      <charset val="128"/>
      <scheme val="minor"/>
    </font>
    <font>
      <sz val="11"/>
      <color rgb="FF000000"/>
      <name val="돋움"/>
      <family val="3"/>
      <charset val="129"/>
    </font>
    <font>
      <sz val="12"/>
      <name val="宋体"/>
      <family val="3"/>
      <charset val="129"/>
    </font>
    <font>
      <sz val="10"/>
      <color theme="1"/>
      <name val="맑은 고딕"/>
      <family val="2"/>
      <charset val="129"/>
    </font>
    <font>
      <sz val="9"/>
      <color theme="1"/>
      <name val="맑은 고딕"/>
      <family val="3"/>
      <charset val="129"/>
    </font>
    <font>
      <sz val="11"/>
      <color indexed="8"/>
      <name val="가는각진제목체"/>
      <family val="1"/>
      <charset val="129"/>
    </font>
    <font>
      <sz val="11"/>
      <color theme="1"/>
      <name val="가는각진제목체"/>
      <family val="1"/>
      <charset val="129"/>
    </font>
    <font>
      <sz val="11"/>
      <color theme="1"/>
      <name val="돋움"/>
      <family val="2"/>
      <charset val="129"/>
    </font>
    <font>
      <sz val="10"/>
      <color theme="1"/>
      <name val="맑은 고딕"/>
      <family val="3"/>
      <charset val="129"/>
    </font>
    <font>
      <sz val="11"/>
      <name val="ＭＳ Ｐゴシック"/>
      <family val="2"/>
    </font>
    <font>
      <u/>
      <sz val="11"/>
      <color theme="10"/>
      <name val="돋움"/>
      <family val="3"/>
      <charset val="129"/>
    </font>
    <font>
      <u/>
      <sz val="11"/>
      <color indexed="12"/>
      <name val="돋움"/>
      <family val="3"/>
      <charset val="129"/>
    </font>
    <font>
      <u/>
      <sz val="10"/>
      <color indexed="12"/>
      <name val="Arial"/>
      <family val="2"/>
    </font>
    <font>
      <u/>
      <sz val="11"/>
      <color theme="10"/>
      <name val="맑은 고딕"/>
      <family val="3"/>
      <charset val="129"/>
      <scheme val="minor"/>
    </font>
    <font>
      <u/>
      <sz val="7.7"/>
      <color theme="10"/>
      <name val="맑은 고딕"/>
      <family val="3"/>
      <charset val="129"/>
    </font>
    <font>
      <u/>
      <sz val="11"/>
      <color theme="10"/>
      <name val="맑은 고딕"/>
      <family val="3"/>
      <charset val="129"/>
    </font>
  </fonts>
  <fills count="8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8E8E8"/>
        <bgColor indexed="64"/>
      </patternFill>
    </fill>
    <fill>
      <patternFill patternType="solid">
        <fgColor rgb="FFF0F7F0"/>
        <bgColor indexed="64"/>
      </patternFill>
    </fill>
    <fill>
      <patternFill patternType="solid">
        <fgColor theme="0" tint="-0.14999847407452621"/>
        <bgColor indexed="64"/>
      </patternFill>
    </fill>
    <fill>
      <patternFill patternType="solid">
        <fgColor rgb="FFCCFFCC"/>
        <bgColor indexed="64"/>
      </patternFill>
    </fill>
    <fill>
      <patternFill patternType="solid">
        <fgColor rgb="FFFFFF99"/>
        <bgColor indexed="64"/>
      </patternFill>
    </fill>
    <fill>
      <gradientFill degree="90">
        <stop position="0">
          <color theme="0"/>
        </stop>
        <stop position="1">
          <color rgb="FFFFFF99"/>
        </stop>
      </gradient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rgb="FFFFCC99"/>
        <bgColor indexed="64"/>
      </patternFill>
    </fill>
    <fill>
      <patternFill patternType="solid">
        <fgColor theme="9" tint="0.39994506668294322"/>
        <bgColor indexed="64"/>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4C4C4"/>
      </left>
      <right style="medium">
        <color rgb="FFC4C4C4"/>
      </right>
      <top style="medium">
        <color rgb="FFC4C4C4"/>
      </top>
      <bottom style="medium">
        <color rgb="FFC4C4C4"/>
      </bottom>
      <diagonal/>
    </border>
    <border>
      <left/>
      <right style="medium">
        <color rgb="FFC4C4C4"/>
      </right>
      <top style="medium">
        <color rgb="FFC4C4C4"/>
      </top>
      <bottom style="medium">
        <color rgb="FFC4C4C4"/>
      </bottom>
      <diagonal/>
    </border>
    <border>
      <left/>
      <right/>
      <top style="medium">
        <color rgb="FFC4C4C4"/>
      </top>
      <bottom style="medium">
        <color rgb="FFC4C4C4"/>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medium">
        <color rgb="FFC4C4C4"/>
      </left>
      <right/>
      <top style="medium">
        <color rgb="FFC4C4C4"/>
      </top>
      <bottom style="medium">
        <color rgb="FFC4C4C4"/>
      </bottom>
      <diagonal/>
    </border>
    <border>
      <left/>
      <right/>
      <top style="medium">
        <color rgb="FFC4C4C4"/>
      </top>
      <bottom/>
      <diagonal/>
    </border>
    <border>
      <left/>
      <right/>
      <top/>
      <bottom style="double">
        <color rgb="FF000000"/>
      </bottom>
      <diagonal/>
    </border>
    <border>
      <left/>
      <right/>
      <top style="medium">
        <color indexed="64"/>
      </top>
      <bottom style="medium">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style="hair">
        <color indexed="64"/>
      </left>
      <right style="hair">
        <color indexed="64"/>
      </right>
      <top style="hair">
        <color indexed="64"/>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s>
  <cellStyleXfs count="10239">
    <xf numFmtId="0" fontId="0" fillId="0" borderId="0">
      <alignment vertical="center" wrapText="1"/>
    </xf>
    <xf numFmtId="0" fontId="5" fillId="0" borderId="0" applyNumberFormat="0" applyFill="0" applyBorder="0" applyAlignment="0" applyProtection="0">
      <alignment vertical="center"/>
    </xf>
    <xf numFmtId="0" fontId="6" fillId="0" borderId="1"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2" borderId="0" applyNumberFormat="0" applyBorder="0" applyAlignment="0" applyProtection="0">
      <alignment vertical="center"/>
    </xf>
    <xf numFmtId="0" fontId="10" fillId="3" borderId="0" applyNumberFormat="0" applyBorder="0" applyAlignment="0" applyProtection="0">
      <alignment vertical="center"/>
    </xf>
    <xf numFmtId="0" fontId="11" fillId="4" borderId="0" applyNumberFormat="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0" borderId="6" applyNumberFormat="0" applyFill="0" applyAlignment="0" applyProtection="0">
      <alignment vertical="center"/>
    </xf>
    <xf numFmtId="0" fontId="16" fillId="7" borderId="7" applyNumberFormat="0" applyAlignment="0" applyProtection="0">
      <alignment vertical="center"/>
    </xf>
    <xf numFmtId="0" fontId="17" fillId="0" borderId="0" applyNumberFormat="0" applyFill="0" applyBorder="0" applyAlignment="0" applyProtection="0">
      <alignment vertical="center"/>
    </xf>
    <xf numFmtId="0" fontId="4" fillId="8" borderId="8" applyNumberFormat="0" applyFont="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4" fillId="10" borderId="0" applyNumberFormat="0" applyBorder="0" applyAlignment="0" applyProtection="0">
      <alignment vertical="center"/>
    </xf>
    <xf numFmtId="0" fontId="4"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4" fillId="18" borderId="0" applyNumberFormat="0" applyBorder="0" applyAlignment="0" applyProtection="0">
      <alignment vertical="center"/>
    </xf>
    <xf numFmtId="0" fontId="4"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20" fillId="32" borderId="0" applyNumberFormat="0" applyBorder="0" applyAlignment="0" applyProtection="0">
      <alignment vertical="center"/>
    </xf>
    <xf numFmtId="0" fontId="30" fillId="0" borderId="0">
      <alignment vertical="center"/>
    </xf>
    <xf numFmtId="0" fontId="22" fillId="0" borderId="0">
      <alignment vertical="center" wrapText="1"/>
    </xf>
    <xf numFmtId="0" fontId="3" fillId="0" borderId="0">
      <alignment vertical="center"/>
    </xf>
    <xf numFmtId="0" fontId="22" fillId="0" borderId="0">
      <alignment vertical="center" wrapText="1"/>
    </xf>
    <xf numFmtId="0" fontId="33" fillId="0" borderId="0"/>
    <xf numFmtId="0" fontId="34" fillId="0" borderId="0"/>
    <xf numFmtId="0" fontId="35" fillId="0" borderId="0"/>
    <xf numFmtId="0" fontId="36" fillId="0" borderId="0"/>
    <xf numFmtId="0" fontId="34" fillId="0" borderId="0"/>
    <xf numFmtId="0" fontId="34" fillId="0" borderId="0" applyFont="0" applyFill="0" applyBorder="0" applyAlignment="0" applyProtection="0"/>
    <xf numFmtId="0" fontId="37" fillId="0" borderId="0" applyFont="0" applyFill="0" applyBorder="0" applyAlignment="0" applyProtection="0"/>
    <xf numFmtId="0" fontId="34" fillId="0" borderId="0"/>
    <xf numFmtId="0" fontId="38" fillId="36" borderId="0" applyNumberFormat="0" applyBorder="0" applyAlignment="0" applyProtection="0">
      <alignment vertical="center"/>
    </xf>
    <xf numFmtId="0" fontId="38" fillId="36" borderId="0" applyNumberFormat="0" applyBorder="0" applyAlignment="0" applyProtection="0">
      <alignment vertical="center"/>
    </xf>
    <xf numFmtId="9" fontId="36" fillId="0" borderId="0" applyFont="0" applyFill="0" applyBorder="0" applyAlignment="0" applyProtection="0"/>
    <xf numFmtId="0" fontId="39" fillId="0" borderId="0" applyFont="0" applyFill="0" applyBorder="0" applyAlignment="0" applyProtection="0"/>
    <xf numFmtId="0" fontId="38" fillId="37" borderId="0" applyNumberFormat="0" applyBorder="0" applyAlignment="0" applyProtection="0">
      <alignment vertical="center"/>
    </xf>
    <xf numFmtId="0" fontId="40" fillId="38"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 fillId="10"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 fillId="14"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41"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 fillId="18"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 fillId="2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 fillId="26"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 fillId="30"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 fillId="11"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 fillId="1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 fillId="19"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 fillId="23"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 fillId="27"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 fillId="31"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9"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47"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42" fillId="52" borderId="0" applyNumberFormat="0" applyBorder="0" applyAlignment="0" applyProtection="0">
      <alignment vertical="center"/>
    </xf>
    <xf numFmtId="0" fontId="34" fillId="0" borderId="0" applyFont="0" applyFill="0" applyBorder="0" applyAlignment="0" applyProtection="0"/>
    <xf numFmtId="176" fontId="35" fillId="0" borderId="0" applyFont="0" applyFill="0" applyBorder="0" applyAlignment="0" applyProtection="0"/>
    <xf numFmtId="0" fontId="43" fillId="0" borderId="0" applyFont="0" applyFill="0" applyBorder="0" applyAlignment="0" applyProtection="0"/>
    <xf numFmtId="177" fontId="36"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178" fontId="36" fillId="0" borderId="0" applyFont="0" applyFill="0" applyBorder="0" applyAlignment="0" applyProtection="0"/>
    <xf numFmtId="179" fontId="35" fillId="0" borderId="0" applyFont="0" applyFill="0" applyBorder="0" applyAlignment="0" applyProtection="0"/>
    <xf numFmtId="0" fontId="43" fillId="0" borderId="0" applyFont="0" applyFill="0" applyBorder="0" applyAlignment="0" applyProtection="0"/>
    <xf numFmtId="180" fontId="36" fillId="0" borderId="0" applyFont="0" applyFill="0" applyBorder="0" applyAlignment="0" applyProtection="0"/>
    <xf numFmtId="181" fontId="35" fillId="0" borderId="0" applyFont="0" applyFill="0" applyBorder="0" applyAlignment="0" applyProtection="0"/>
    <xf numFmtId="0" fontId="43" fillId="0" borderId="0" applyFont="0" applyFill="0" applyBorder="0" applyAlignment="0" applyProtection="0"/>
    <xf numFmtId="182" fontId="36" fillId="0" borderId="0" applyFont="0" applyFill="0" applyBorder="0" applyAlignment="0" applyProtection="0"/>
    <xf numFmtId="0" fontId="43" fillId="0" borderId="0"/>
    <xf numFmtId="0" fontId="44" fillId="0" borderId="0"/>
    <xf numFmtId="0" fontId="45" fillId="0" borderId="0"/>
    <xf numFmtId="41" fontId="41" fillId="0" borderId="0" applyFont="0" applyFill="0" applyBorder="0" applyAlignment="0" applyProtection="0">
      <alignment vertical="center"/>
    </xf>
    <xf numFmtId="0" fontId="35" fillId="0" borderId="0" applyFont="0" applyFill="0" applyBorder="0" applyAlignment="0" applyProtection="0"/>
    <xf numFmtId="183" fontId="34" fillId="0" borderId="0"/>
    <xf numFmtId="0" fontId="35" fillId="0" borderId="0" applyFont="0" applyFill="0" applyBorder="0" applyAlignment="0" applyProtection="0"/>
    <xf numFmtId="3" fontId="35"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184" fontId="46" fillId="0" borderId="0" applyFont="0" applyFill="0" applyBorder="0" applyAlignment="0" applyProtection="0"/>
    <xf numFmtId="185" fontId="34" fillId="0" borderId="0"/>
    <xf numFmtId="0" fontId="35" fillId="0" borderId="0" applyFont="0" applyFill="0" applyBorder="0" applyAlignment="0" applyProtection="0"/>
    <xf numFmtId="186" fontId="34" fillId="0" borderId="0"/>
    <xf numFmtId="0" fontId="34" fillId="0" borderId="0"/>
    <xf numFmtId="11" fontId="35" fillId="0" borderId="0" applyFont="0" applyFill="0" applyBorder="0" applyAlignment="0" applyProtection="0"/>
    <xf numFmtId="11" fontId="35" fillId="0" borderId="0" applyFont="0" applyFill="0" applyBorder="0" applyAlignment="0" applyProtection="0"/>
    <xf numFmtId="11" fontId="35" fillId="0" borderId="0" applyFont="0" applyFill="0" applyBorder="0" applyAlignment="0" applyProtection="0"/>
    <xf numFmtId="11" fontId="35" fillId="0" borderId="0" applyFont="0" applyFill="0" applyBorder="0" applyAlignment="0" applyProtection="0"/>
    <xf numFmtId="2" fontId="35" fillId="0" borderId="0" applyFont="0" applyFill="0" applyBorder="0" applyAlignment="0" applyProtection="0"/>
    <xf numFmtId="0" fontId="34" fillId="0" borderId="0" applyFont="0" applyFill="0" applyBorder="0" applyAlignment="0" applyProtection="0"/>
    <xf numFmtId="38" fontId="47" fillId="53" borderId="0" applyNumberFormat="0" applyBorder="0" applyAlignment="0" applyProtection="0"/>
    <xf numFmtId="0" fontId="48" fillId="0" borderId="0">
      <alignment horizontal="left"/>
    </xf>
    <xf numFmtId="0" fontId="49" fillId="0" borderId="19" applyNumberFormat="0" applyAlignment="0" applyProtection="0">
      <alignment horizontal="left" vertical="center"/>
    </xf>
    <xf numFmtId="0" fontId="49" fillId="0" borderId="20">
      <alignment horizontal="left" vertical="center"/>
    </xf>
    <xf numFmtId="0" fontId="50" fillId="0" borderId="0" applyNumberFormat="0" applyFill="0" applyBorder="0" applyAlignment="0" applyProtection="0"/>
    <xf numFmtId="0" fontId="49" fillId="0" borderId="0" applyNumberFormat="0" applyFill="0" applyBorder="0" applyAlignment="0" applyProtection="0"/>
    <xf numFmtId="10" fontId="47" fillId="53" borderId="21" applyNumberFormat="0" applyBorder="0" applyAlignment="0" applyProtection="0"/>
    <xf numFmtId="0" fontId="51" fillId="0" borderId="22"/>
    <xf numFmtId="0" fontId="26" fillId="0" borderId="0">
      <alignment vertical="top"/>
      <protection locked="0"/>
    </xf>
    <xf numFmtId="187" fontId="34" fillId="0" borderId="0"/>
    <xf numFmtId="0" fontId="3" fillId="0" borderId="0">
      <alignment vertical="center"/>
    </xf>
    <xf numFmtId="0" fontId="52" fillId="0" borderId="0"/>
    <xf numFmtId="0" fontId="41" fillId="0" borderId="0"/>
    <xf numFmtId="188" fontId="33" fillId="0" borderId="0">
      <alignment vertical="center"/>
    </xf>
    <xf numFmtId="0" fontId="35" fillId="0" borderId="0" applyNumberFormat="0" applyFill="0" applyBorder="0" applyAlignment="0" applyProtection="0"/>
    <xf numFmtId="0" fontId="41" fillId="0" borderId="0"/>
    <xf numFmtId="0" fontId="35" fillId="0" borderId="0"/>
    <xf numFmtId="0" fontId="53" fillId="0" borderId="0"/>
    <xf numFmtId="0" fontId="35" fillId="0" borderId="0"/>
    <xf numFmtId="0" fontId="54" fillId="0" borderId="0" applyFont="0" applyFill="0" applyBorder="0" applyAlignment="0" applyProtection="0"/>
    <xf numFmtId="10" fontId="35" fillId="0" borderId="0" applyFont="0" applyFill="0" applyBorder="0" applyAlignment="0" applyProtection="0"/>
    <xf numFmtId="4" fontId="55" fillId="54" borderId="23" applyNumberFormat="0" applyProtection="0">
      <alignment vertical="center"/>
    </xf>
    <xf numFmtId="4" fontId="27" fillId="52" borderId="24" applyNumberFormat="0" applyProtection="0">
      <alignment vertical="center"/>
    </xf>
    <xf numFmtId="4" fontId="56" fillId="54" borderId="23" applyNumberFormat="0" applyProtection="0">
      <alignment vertical="center"/>
    </xf>
    <xf numFmtId="4" fontId="55" fillId="54" borderId="23" applyNumberFormat="0" applyProtection="0">
      <alignment horizontal="left" vertical="center" indent="1"/>
    </xf>
    <xf numFmtId="4" fontId="55" fillId="54"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56" borderId="23" applyNumberFormat="0" applyProtection="0">
      <alignment horizontal="right" vertical="center"/>
    </xf>
    <xf numFmtId="4" fontId="55" fillId="57" borderId="23" applyNumberFormat="0" applyProtection="0">
      <alignment horizontal="right" vertical="center"/>
    </xf>
    <xf numFmtId="4" fontId="55" fillId="58" borderId="23" applyNumberFormat="0" applyProtection="0">
      <alignment horizontal="right" vertical="center"/>
    </xf>
    <xf numFmtId="4" fontId="55" fillId="59" borderId="23" applyNumberFormat="0" applyProtection="0">
      <alignment horizontal="right" vertical="center"/>
    </xf>
    <xf numFmtId="4" fontId="55" fillId="60" borderId="23" applyNumberFormat="0" applyProtection="0">
      <alignment horizontal="right" vertical="center"/>
    </xf>
    <xf numFmtId="4" fontId="55" fillId="61" borderId="23" applyNumberFormat="0" applyProtection="0">
      <alignment horizontal="right" vertical="center"/>
    </xf>
    <xf numFmtId="4" fontId="55" fillId="62" borderId="23" applyNumberFormat="0" applyProtection="0">
      <alignment horizontal="right" vertical="center"/>
    </xf>
    <xf numFmtId="4" fontId="55" fillId="63" borderId="23" applyNumberFormat="0" applyProtection="0">
      <alignment horizontal="right" vertical="center"/>
    </xf>
    <xf numFmtId="4" fontId="55" fillId="64" borderId="23" applyNumberFormat="0" applyProtection="0">
      <alignment horizontal="right" vertical="center"/>
    </xf>
    <xf numFmtId="4" fontId="57" fillId="65" borderId="23" applyNumberFormat="0" applyProtection="0">
      <alignment horizontal="left" vertical="center" indent="1"/>
    </xf>
    <xf numFmtId="4" fontId="55" fillId="66" borderId="25"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4" fontId="58" fillId="67" borderId="0"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6"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4" fontId="5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8"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69"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70"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4" fontId="55" fillId="71" borderId="23" applyNumberFormat="0" applyProtection="0">
      <alignment vertical="center"/>
    </xf>
    <xf numFmtId="4" fontId="56" fillId="71" borderId="23" applyNumberFormat="0" applyProtection="0">
      <alignment vertical="center"/>
    </xf>
    <xf numFmtId="4" fontId="55" fillId="71" borderId="23" applyNumberFormat="0" applyProtection="0">
      <alignment horizontal="left" vertical="center" indent="1"/>
    </xf>
    <xf numFmtId="4" fontId="55" fillId="71" borderId="23" applyNumberFormat="0" applyProtection="0">
      <alignment horizontal="left" vertical="center" indent="1"/>
    </xf>
    <xf numFmtId="4" fontId="55" fillId="66" borderId="23" applyNumberFormat="0" applyProtection="0">
      <alignment horizontal="right" vertical="center"/>
    </xf>
    <xf numFmtId="4" fontId="56" fillId="66" borderId="23" applyNumberFormat="0" applyProtection="0">
      <alignment horizontal="right" vertical="center"/>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35" fillId="55" borderId="23" applyNumberFormat="0" applyProtection="0">
      <alignment horizontal="left" vertical="center" indent="1"/>
    </xf>
    <xf numFmtId="0" fontId="59" fillId="0" borderId="0"/>
    <xf numFmtId="0" fontId="59" fillId="0" borderId="0"/>
    <xf numFmtId="0" fontId="59" fillId="0" borderId="0"/>
    <xf numFmtId="0" fontId="59" fillId="0" borderId="0"/>
    <xf numFmtId="4" fontId="60" fillId="66" borderId="23" applyNumberFormat="0" applyProtection="0">
      <alignment horizontal="right" vertical="center"/>
    </xf>
    <xf numFmtId="0" fontId="51" fillId="0" borderId="0"/>
    <xf numFmtId="0" fontId="35" fillId="0" borderId="26" applyNumberFormat="0" applyFont="0" applyFill="0" applyAlignment="0" applyProtection="0"/>
    <xf numFmtId="0" fontId="54" fillId="0" borderId="0" applyFont="0" applyFill="0" applyBorder="0" applyAlignment="0" applyProtection="0"/>
    <xf numFmtId="0" fontId="54" fillId="0" borderId="0" applyFont="0" applyFill="0" applyBorder="0" applyAlignment="0" applyProtection="0"/>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2"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3"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74"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51"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42" fillId="75" borderId="0" applyNumberFormat="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0" fontId="62" fillId="76" borderId="27" applyNumberFormat="0" applyAlignment="0" applyProtection="0">
      <alignment vertical="center"/>
    </xf>
    <xf numFmtId="189" fontId="63" fillId="0" borderId="0">
      <protection locked="0"/>
    </xf>
    <xf numFmtId="189" fontId="64" fillId="0" borderId="0">
      <protection locked="0"/>
    </xf>
    <xf numFmtId="189" fontId="64" fillId="0" borderId="0">
      <protection locked="0"/>
    </xf>
    <xf numFmtId="0" fontId="34" fillId="0" borderId="0"/>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6" fillId="3" borderId="0" applyNumberFormat="0" applyBorder="0" applyAlignment="0" applyProtection="0">
      <alignment vertical="center"/>
    </xf>
    <xf numFmtId="0" fontId="65" fillId="40" borderId="0" applyNumberFormat="0" applyBorder="0" applyAlignment="0" applyProtection="0">
      <alignment vertical="center"/>
    </xf>
    <xf numFmtId="0" fontId="66" fillId="3"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0" fontId="65" fillId="40" borderId="0" applyNumberFormat="0" applyBorder="0" applyAlignment="0" applyProtection="0">
      <alignment vertical="center"/>
    </xf>
    <xf numFmtId="189" fontId="63" fillId="0" borderId="0">
      <protection locked="0"/>
    </xf>
    <xf numFmtId="189" fontId="63" fillId="0" borderId="0">
      <protection locked="0"/>
    </xf>
    <xf numFmtId="0" fontId="67" fillId="0" borderId="0" applyNumberFormat="0" applyFill="0" applyBorder="0" applyAlignment="0" applyProtection="0">
      <alignment vertical="top"/>
      <protection locked="0"/>
    </xf>
    <xf numFmtId="40" fontId="68" fillId="0" borderId="0" applyFont="0" applyFill="0" applyBorder="0" applyAlignment="0" applyProtection="0"/>
    <xf numFmtId="38" fontId="68" fillId="0" borderId="0" applyFont="0" applyFill="0" applyBorder="0" applyAlignment="0" applyProtection="0"/>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3" fillId="8" borderId="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22"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0" fillId="77" borderId="28" applyNumberFormat="0" applyFont="0" applyAlignment="0" applyProtection="0">
      <alignment vertical="center"/>
    </xf>
    <xf numFmtId="0" fontId="3" fillId="8" borderId="8" applyNumberFormat="0" applyFont="0" applyAlignment="0" applyProtection="0">
      <alignment vertical="center"/>
    </xf>
    <xf numFmtId="0" fontId="22" fillId="77" borderId="28" applyNumberFormat="0" applyFont="0" applyAlignment="0" applyProtection="0">
      <alignment vertical="center"/>
    </xf>
    <xf numFmtId="0" fontId="41" fillId="8" borderId="8" applyNumberFormat="0" applyFont="0" applyAlignment="0" applyProtection="0">
      <alignment vertical="center"/>
    </xf>
    <xf numFmtId="0" fontId="22" fillId="77" borderId="28" applyNumberFormat="0" applyFont="0" applyAlignment="0" applyProtection="0">
      <alignment vertical="center"/>
    </xf>
    <xf numFmtId="0" fontId="3" fillId="8" borderId="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22" fillId="77" borderId="28" applyNumberFormat="0" applyFont="0" applyAlignment="0" applyProtection="0">
      <alignment vertical="center"/>
    </xf>
    <xf numFmtId="0" fontId="68" fillId="0" borderId="0" applyFont="0" applyFill="0" applyBorder="0" applyAlignment="0" applyProtection="0"/>
    <xf numFmtId="0" fontId="68" fillId="0" borderId="0" applyFont="0" applyFill="0" applyBorder="0" applyAlignment="0" applyProtection="0"/>
    <xf numFmtId="9" fontId="22" fillId="0" borderId="0" applyFont="0" applyFill="0" applyBorder="0" applyAlignment="0" applyProtection="0">
      <alignment vertical="center"/>
    </xf>
    <xf numFmtId="9" fontId="41" fillId="0" borderId="0" applyFont="0" applyFill="0" applyBorder="0" applyAlignment="0" applyProtection="0">
      <alignment vertical="center"/>
    </xf>
    <xf numFmtId="9" fontId="22" fillId="0" borderId="0" applyFont="0" applyFill="0" applyBorder="0" applyAlignment="0" applyProtection="0">
      <alignment vertical="center"/>
    </xf>
    <xf numFmtId="9" fontId="30" fillId="0" borderId="0" applyFont="0" applyFill="0" applyBorder="0" applyAlignment="0" applyProtection="0">
      <alignment vertical="center"/>
    </xf>
    <xf numFmtId="9" fontId="69" fillId="0" borderId="0" applyFont="0" applyFill="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0" fillId="78" borderId="0" applyNumberFormat="0" applyBorder="0" applyAlignment="0" applyProtection="0">
      <alignment vertical="center"/>
    </xf>
    <xf numFmtId="0" fontId="71" fillId="0" borderId="0"/>
    <xf numFmtId="188" fontId="72" fillId="0" borderId="0">
      <alignment vertical="center"/>
    </xf>
    <xf numFmtId="0" fontId="73" fillId="0" borderId="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6" fillId="7" borderId="7"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5" fillId="79" borderId="29" applyNumberFormat="0" applyAlignment="0" applyProtection="0">
      <alignment vertical="center"/>
    </xf>
    <xf numFmtId="0" fontId="77" fillId="0" borderId="0">
      <alignment vertical="center"/>
    </xf>
    <xf numFmtId="42" fontId="22" fillId="0" borderId="0" applyFont="0" applyFill="0" applyBorder="0" applyAlignment="0" applyProtection="0">
      <alignment vertical="center"/>
    </xf>
    <xf numFmtId="41" fontId="22" fillId="0" borderId="0" applyFont="0" applyFill="0" applyBorder="0" applyAlignment="0" applyProtection="0">
      <alignment vertical="center"/>
    </xf>
    <xf numFmtId="190" fontId="34" fillId="0" borderId="0" applyFont="0" applyFill="0" applyBorder="0" applyAlignment="0" applyProtection="0"/>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41"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41"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1" fontId="69" fillId="0" borderId="0" applyFont="0" applyFill="0" applyBorder="0" applyAlignment="0" applyProtection="0">
      <alignment vertical="center"/>
    </xf>
    <xf numFmtId="41" fontId="3" fillId="0" borderId="0" applyFont="0" applyFill="0" applyBorder="0" applyAlignment="0" applyProtection="0">
      <alignment vertical="center"/>
    </xf>
    <xf numFmtId="41" fontId="78" fillId="0" borderId="0">
      <alignment vertical="center"/>
    </xf>
    <xf numFmtId="41" fontId="3" fillId="0" borderId="0" applyFont="0" applyFill="0" applyBorder="0" applyAlignment="0" applyProtection="0">
      <alignment vertical="center"/>
    </xf>
    <xf numFmtId="0" fontId="34" fillId="0" borderId="0" applyFont="0" applyFill="0" applyBorder="0" applyAlignment="0" applyProtection="0"/>
    <xf numFmtId="0" fontId="3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79" fillId="0" borderId="0" applyNumberFormat="0" applyFill="0" applyBorder="0" applyAlignment="0" applyProtection="0">
      <alignment horizontal="left" vertical="center"/>
    </xf>
    <xf numFmtId="0" fontId="80" fillId="0" borderId="30">
      <alignment horizontal="left" vertical="center"/>
    </xf>
    <xf numFmtId="0" fontId="80" fillId="80" borderId="0" applyNumberFormat="0" applyFill="0" applyBorder="0" applyAlignment="0" applyProtection="0">
      <alignment vertical="center"/>
    </xf>
    <xf numFmtId="189" fontId="63" fillId="0" borderId="0">
      <protection locked="0"/>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2" fillId="0" borderId="6"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0" fontId="81" fillId="0" borderId="31" applyNumberFormat="0" applyFill="0" applyAlignment="0" applyProtection="0">
      <alignment vertical="center"/>
    </xf>
    <xf numFmtId="41" fontId="83" fillId="81" borderId="30" applyNumberFormat="0" applyBorder="0" applyAlignment="0" applyProtection="0">
      <alignment horizontal="center" vertical="center"/>
    </xf>
    <xf numFmtId="41" fontId="83" fillId="82" borderId="30" applyNumberFormat="0" applyBorder="0" applyAlignment="0" applyProtection="0">
      <alignment horizontal="center" vertical="center"/>
    </xf>
    <xf numFmtId="41" fontId="83" fillId="81" borderId="30" applyNumberFormat="0" applyBorder="0" applyAlignment="0" applyProtection="0">
      <alignment horizontal="center" vertical="center"/>
    </xf>
    <xf numFmtId="41" fontId="83" fillId="81" borderId="30" applyNumberFormat="0" applyBorder="0" applyAlignment="0" applyProtection="0">
      <alignment horizontal="center" vertical="center"/>
    </xf>
    <xf numFmtId="41" fontId="83" fillId="37" borderId="30" applyNumberFormat="0" applyBorder="0" applyAlignment="0" applyProtection="0">
      <alignment horizontal="center" vertical="center"/>
    </xf>
    <xf numFmtId="42" fontId="83" fillId="37" borderId="30" applyNumberFormat="0" applyBorder="0" applyAlignment="0" applyProtection="0">
      <alignment horizontal="center"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0" fontId="84" fillId="0" borderId="32" applyNumberFormat="0" applyFill="0" applyAlignment="0" applyProtection="0">
      <alignment vertical="center"/>
    </xf>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92"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94" fontId="22" fillId="0" borderId="0" applyFont="0" applyFill="0" applyBorder="0" applyAlignment="0" applyProtection="0"/>
    <xf numFmtId="193" fontId="39"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95" fontId="34" fillId="0" borderId="0" applyFont="0" applyFill="0" applyBorder="0" applyAlignment="0" applyProtection="0"/>
    <xf numFmtId="195"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1" fontId="34" fillId="0" borderId="0" applyFont="0" applyFill="0" applyBorder="0" applyAlignment="0" applyProtection="0"/>
    <xf numFmtId="180" fontId="22" fillId="0" borderId="0" applyFont="0" applyFill="0" applyBorder="0" applyAlignment="0" applyProtection="0"/>
    <xf numFmtId="180" fontId="22" fillId="0" borderId="0" applyFont="0" applyFill="0" applyBorder="0" applyAlignment="0" applyProtection="0"/>
    <xf numFmtId="193" fontId="39" fillId="0" borderId="0" applyFont="0" applyFill="0" applyBorder="0" applyAlignment="0" applyProtection="0"/>
    <xf numFmtId="191" fontId="34" fillId="0" borderId="0" applyFont="0" applyFill="0" applyBorder="0" applyAlignment="0" applyProtection="0"/>
    <xf numFmtId="193" fontId="39" fillId="0" borderId="0" applyFont="0" applyFill="0" applyBorder="0" applyAlignment="0" applyProtection="0"/>
    <xf numFmtId="180" fontId="22" fillId="0" borderId="0" applyFont="0" applyFill="0" applyBorder="0" applyAlignment="0" applyProtection="0"/>
    <xf numFmtId="0" fontId="34" fillId="0" borderId="0" applyFont="0" applyFill="0" applyBorder="0" applyAlignment="0" applyProtection="0"/>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0" fontId="85" fillId="44" borderId="27" applyNumberFormat="0" applyAlignment="0" applyProtection="0">
      <alignment vertical="center"/>
    </xf>
    <xf numFmtId="189" fontId="63" fillId="0" borderId="0">
      <protection locked="0"/>
    </xf>
    <xf numFmtId="189" fontId="63" fillId="0" borderId="0">
      <protection locked="0"/>
    </xf>
    <xf numFmtId="41" fontId="83" fillId="37" borderId="30" applyNumberFormat="0" applyBorder="0" applyAlignment="0" applyProtection="0">
      <alignment horizontal="center" vertical="center"/>
    </xf>
    <xf numFmtId="41" fontId="83" fillId="37" borderId="30" applyNumberFormat="0" applyBorder="0" applyAlignment="0" applyProtection="0">
      <alignment horizontal="center"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6" fillId="0" borderId="33" applyNumberFormat="0" applyFill="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8" fillId="0" borderId="34"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35" applyNumberFormat="0" applyFill="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9"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90" fillId="41" borderId="0" applyNumberFormat="0" applyBorder="0" applyAlignment="0" applyProtection="0">
      <alignment vertical="center"/>
    </xf>
    <xf numFmtId="0" fontId="34" fillId="0" borderId="0"/>
    <xf numFmtId="0" fontId="54" fillId="0" borderId="0" applyFont="0" applyFill="0" applyBorder="0" applyAlignment="0" applyProtection="0"/>
    <xf numFmtId="41" fontId="83" fillId="36" borderId="30" applyNumberFormat="0" applyBorder="0" applyAlignment="0" applyProtection="0">
      <alignment horizontal="center" vertical="center"/>
    </xf>
    <xf numFmtId="41" fontId="83" fillId="36" borderId="30" applyNumberFormat="0" applyBorder="0" applyAlignment="0" applyProtection="0">
      <alignment horizontal="center" vertical="center"/>
    </xf>
    <xf numFmtId="41" fontId="83" fillId="36" borderId="30" applyNumberFormat="0" applyBorder="0" applyAlignment="0" applyProtection="0">
      <alignment horizontal="center"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2" fillId="6" borderId="5"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0" fontId="91" fillId="76" borderId="23" applyNumberFormat="0" applyAlignment="0" applyProtection="0">
      <alignment vertical="center"/>
    </xf>
    <xf numFmtId="180" fontId="93" fillId="0" borderId="0" applyFont="0" applyFill="0" applyBorder="0" applyAlignment="0" applyProtection="0"/>
    <xf numFmtId="0" fontId="94" fillId="0" borderId="0" applyFont="0" applyFill="0" applyBorder="0" applyAlignment="0" applyProtection="0"/>
    <xf numFmtId="196" fontId="95" fillId="0" borderId="0" applyFont="0" applyFill="0" applyBorder="0" applyAlignment="0" applyProtection="0"/>
    <xf numFmtId="42" fontId="22" fillId="0" borderId="0" applyFont="0" applyFill="0" applyBorder="0" applyAlignment="0" applyProtection="0">
      <alignment vertical="center"/>
    </xf>
    <xf numFmtId="197" fontId="95" fillId="0" borderId="0" applyFont="0" applyFill="0" applyBorder="0" applyAlignment="0" applyProtection="0"/>
    <xf numFmtId="189" fontId="63" fillId="0" borderId="0">
      <protection locked="0"/>
    </xf>
    <xf numFmtId="198" fontId="96" fillId="0" borderId="0" applyFill="0" applyBorder="0" applyProtection="0">
      <alignment vertical="center"/>
    </xf>
    <xf numFmtId="199" fontId="97" fillId="0" borderId="0" applyFill="0" applyBorder="0" applyProtection="0">
      <alignment vertical="center"/>
      <protection locked="0"/>
    </xf>
    <xf numFmtId="0" fontId="69" fillId="0" borderId="0">
      <alignment vertical="center"/>
    </xf>
    <xf numFmtId="0" fontId="41" fillId="0" borderId="0">
      <alignment vertical="center"/>
    </xf>
    <xf numFmtId="0" fontId="98" fillId="0" borderId="0"/>
    <xf numFmtId="0" fontId="52" fillId="0" borderId="0"/>
    <xf numFmtId="0" fontId="3" fillId="0" borderId="0">
      <alignment vertical="center"/>
    </xf>
    <xf numFmtId="0" fontId="3" fillId="0" borderId="0">
      <alignment vertical="center"/>
    </xf>
    <xf numFmtId="0" fontId="41" fillId="0" borderId="0">
      <alignment vertical="center"/>
    </xf>
    <xf numFmtId="0" fontId="41"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78" fillId="0" borderId="0">
      <alignment vertical="center"/>
    </xf>
    <xf numFmtId="0" fontId="99" fillId="0" borderId="0"/>
    <xf numFmtId="0" fontId="41" fillId="0" borderId="0">
      <alignment vertical="center"/>
    </xf>
    <xf numFmtId="0" fontId="30" fillId="0" borderId="0" applyNumberFormat="0" applyFill="0" applyBorder="0" applyProtection="0">
      <alignment vertical="center"/>
    </xf>
    <xf numFmtId="0" fontId="35" fillId="0" borderId="0" applyNumberFormat="0" applyFont="0" applyFill="0" applyBorder="0" applyAlignment="0" applyProtection="0"/>
    <xf numFmtId="0" fontId="100" fillId="0" borderId="0"/>
    <xf numFmtId="0" fontId="41" fillId="0" borderId="0">
      <alignment vertical="center"/>
    </xf>
    <xf numFmtId="0" fontId="101" fillId="0" borderId="0">
      <alignment vertical="center"/>
    </xf>
    <xf numFmtId="0" fontId="41" fillId="0" borderId="0">
      <alignment vertical="center"/>
    </xf>
    <xf numFmtId="0" fontId="22" fillId="0" borderId="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2" fillId="0" borderId="0"/>
    <xf numFmtId="0" fontId="41" fillId="0" borderId="0">
      <alignment vertical="center"/>
    </xf>
    <xf numFmtId="0" fontId="102" fillId="0" borderId="0">
      <alignment vertical="center"/>
    </xf>
    <xf numFmtId="0" fontId="41" fillId="0" borderId="0">
      <alignment vertical="center"/>
    </xf>
    <xf numFmtId="0" fontId="22" fillId="0" borderId="0"/>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2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02" fillId="0" borderId="0">
      <alignment vertical="center"/>
    </xf>
    <xf numFmtId="0" fontId="104" fillId="0" borderId="0"/>
    <xf numFmtId="0" fontId="102" fillId="0" borderId="0">
      <alignment vertical="center"/>
    </xf>
    <xf numFmtId="0" fontId="41" fillId="0" borderId="0">
      <alignment vertical="center"/>
    </xf>
    <xf numFmtId="0" fontId="41"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41" fillId="0" borderId="0">
      <alignment vertical="center"/>
    </xf>
    <xf numFmtId="0" fontId="41" fillId="0" borderId="0">
      <alignment vertical="center"/>
    </xf>
    <xf numFmtId="0" fontId="22" fillId="0" borderId="0"/>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69" fillId="0" borderId="0">
      <alignment vertical="center"/>
    </xf>
    <xf numFmtId="0" fontId="102" fillId="0" borderId="0">
      <alignment vertical="center"/>
    </xf>
    <xf numFmtId="0" fontId="22" fillId="0" borderId="0">
      <alignment vertical="center"/>
    </xf>
    <xf numFmtId="0" fontId="102" fillId="0" borderId="0">
      <alignment vertical="center"/>
    </xf>
    <xf numFmtId="0" fontId="105" fillId="0" borderId="0">
      <alignment vertical="center"/>
    </xf>
    <xf numFmtId="0" fontId="102" fillId="0" borderId="0">
      <alignment vertical="center"/>
    </xf>
    <xf numFmtId="0" fontId="22" fillId="0" borderId="0">
      <alignment vertical="center"/>
    </xf>
    <xf numFmtId="0" fontId="22" fillId="0" borderId="0"/>
    <xf numFmtId="0" fontId="105"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5"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106"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2" fillId="0" borderId="0">
      <alignment vertical="center"/>
    </xf>
    <xf numFmtId="0" fontId="2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 fillId="0" borderId="0">
      <alignment vertical="center"/>
    </xf>
    <xf numFmtId="0" fontId="107"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22" fillId="0" borderId="0"/>
    <xf numFmtId="0" fontId="102" fillId="0" borderId="0">
      <alignment vertical="center"/>
    </xf>
    <xf numFmtId="0" fontId="78"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102" fillId="0" borderId="0">
      <alignment vertical="center"/>
    </xf>
    <xf numFmtId="0" fontId="22" fillId="0" borderId="0">
      <alignment vertical="center"/>
    </xf>
    <xf numFmtId="0" fontId="35" fillId="0" borderId="0">
      <alignment vertical="center"/>
    </xf>
    <xf numFmtId="0" fontId="102" fillId="0" borderId="0">
      <alignment vertical="center"/>
    </xf>
    <xf numFmtId="0" fontId="3" fillId="0" borderId="0">
      <alignment vertical="center"/>
    </xf>
    <xf numFmtId="0" fontId="102"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22" fillId="0" borderId="0"/>
    <xf numFmtId="0" fontId="22" fillId="0" borderId="0"/>
    <xf numFmtId="0" fontId="35" fillId="0" borderId="0"/>
    <xf numFmtId="0" fontId="100" fillId="0" borderId="0"/>
    <xf numFmtId="0" fontId="100" fillId="0" borderId="0"/>
    <xf numFmtId="0" fontId="100" fillId="0" borderId="0"/>
    <xf numFmtId="0" fontId="41" fillId="0" borderId="0">
      <alignment vertical="center"/>
    </xf>
    <xf numFmtId="0" fontId="41" fillId="0" borderId="0">
      <alignment vertical="center"/>
    </xf>
    <xf numFmtId="0" fontId="41" fillId="0" borderId="0">
      <alignment vertical="center"/>
    </xf>
    <xf numFmtId="0" fontId="102"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108"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22"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41"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5" fillId="0" borderId="0"/>
    <xf numFmtId="0" fontId="99"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22" fillId="0" borderId="0">
      <alignment vertical="center"/>
    </xf>
    <xf numFmtId="0" fontId="22" fillId="0" borderId="0"/>
    <xf numFmtId="0" fontId="41" fillId="0" borderId="0">
      <alignment vertical="center"/>
    </xf>
    <xf numFmtId="0" fontId="22" fillId="0" borderId="0">
      <alignment vertical="center"/>
    </xf>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0"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41" fillId="0" borderId="0">
      <alignment vertical="center"/>
    </xf>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104" fillId="0" borderId="0">
      <alignment vertical="center"/>
    </xf>
    <xf numFmtId="0" fontId="41" fillId="0" borderId="0">
      <alignment vertical="center"/>
    </xf>
    <xf numFmtId="0" fontId="41" fillId="0" borderId="0">
      <alignment vertical="center"/>
    </xf>
    <xf numFmtId="0" fontId="41" fillId="0" borderId="0">
      <alignment vertical="center"/>
    </xf>
    <xf numFmtId="0" fontId="35" fillId="0" borderId="0" applyNumberFormat="0" applyFill="0" applyBorder="0" applyAlignment="0" applyProtection="0"/>
    <xf numFmtId="0" fontId="30" fillId="0" borderId="0">
      <alignment vertical="center"/>
    </xf>
    <xf numFmtId="0" fontId="22" fillId="0" borderId="0">
      <alignment vertical="center"/>
    </xf>
    <xf numFmtId="0" fontId="35" fillId="0" borderId="0" applyNumberFormat="0" applyFill="0" applyBorder="0" applyAlignment="0" applyProtection="0"/>
    <xf numFmtId="0" fontId="35" fillId="0" borderId="0"/>
    <xf numFmtId="0" fontId="100" fillId="0" borderId="0"/>
    <xf numFmtId="0" fontId="109"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0" fillId="0" borderId="0">
      <alignment vertical="center"/>
    </xf>
    <xf numFmtId="0" fontId="102" fillId="0" borderId="0">
      <alignment vertical="center"/>
    </xf>
    <xf numFmtId="0" fontId="102" fillId="0" borderId="0">
      <alignment vertical="center"/>
    </xf>
    <xf numFmtId="0" fontId="3" fillId="0" borderId="0">
      <alignment vertical="center"/>
    </xf>
    <xf numFmtId="0" fontId="3" fillId="0" borderId="0">
      <alignment vertical="center"/>
    </xf>
    <xf numFmtId="0" fontId="102" fillId="0" borderId="0">
      <alignment vertical="center"/>
    </xf>
    <xf numFmtId="0" fontId="102" fillId="0" borderId="0">
      <alignment vertical="center"/>
    </xf>
    <xf numFmtId="0" fontId="3" fillId="0" borderId="0">
      <alignment vertical="center"/>
    </xf>
    <xf numFmtId="0" fontId="102" fillId="0" borderId="0">
      <alignment vertical="center"/>
    </xf>
    <xf numFmtId="0" fontId="35" fillId="0" borderId="0"/>
    <xf numFmtId="0" fontId="3" fillId="0" borderId="0">
      <alignment vertical="center"/>
    </xf>
    <xf numFmtId="0" fontId="35" fillId="0" borderId="0"/>
    <xf numFmtId="0" fontId="22" fillId="0" borderId="0"/>
    <xf numFmtId="0" fontId="35" fillId="0" borderId="0"/>
    <xf numFmtId="0" fontId="30" fillId="0" borderId="0">
      <alignment vertical="center"/>
    </xf>
    <xf numFmtId="0" fontId="3" fillId="0" borderId="0">
      <alignment vertical="center"/>
    </xf>
    <xf numFmtId="0" fontId="102" fillId="0" borderId="0">
      <alignment vertical="center"/>
    </xf>
    <xf numFmtId="0" fontId="106" fillId="0" borderId="0">
      <alignment vertical="center"/>
    </xf>
    <xf numFmtId="0" fontId="102" fillId="0" borderId="0">
      <alignment vertical="center"/>
    </xf>
    <xf numFmtId="0" fontId="30" fillId="0" borderId="0">
      <alignment vertical="center"/>
    </xf>
    <xf numFmtId="0" fontId="102" fillId="0" borderId="0">
      <alignment vertical="center"/>
    </xf>
    <xf numFmtId="0" fontId="3" fillId="0" borderId="0">
      <alignment vertical="center"/>
    </xf>
    <xf numFmtId="0" fontId="102" fillId="0" borderId="0"/>
    <xf numFmtId="0" fontId="3" fillId="0" borderId="0">
      <alignment vertical="center"/>
    </xf>
    <xf numFmtId="0" fontId="102" fillId="0" borderId="0"/>
    <xf numFmtId="0" fontId="30" fillId="0" borderId="0">
      <alignment vertical="center"/>
    </xf>
    <xf numFmtId="0" fontId="102" fillId="0" borderId="0"/>
    <xf numFmtId="0" fontId="22" fillId="0" borderId="0">
      <alignment vertical="center" wrapText="1"/>
    </xf>
    <xf numFmtId="0" fontId="35" fillId="0" borderId="0"/>
    <xf numFmtId="0" fontId="110" fillId="0" borderId="0">
      <alignment vertical="center"/>
    </xf>
    <xf numFmtId="0" fontId="35" fillId="0" borderId="0"/>
    <xf numFmtId="0" fontId="35" fillId="0" borderId="0"/>
    <xf numFmtId="0" fontId="35" fillId="0" borderId="0"/>
    <xf numFmtId="0" fontId="22" fillId="0" borderId="0">
      <alignment vertical="center"/>
    </xf>
    <xf numFmtId="0" fontId="35" fillId="0" borderId="0"/>
    <xf numFmtId="0" fontId="110" fillId="0" borderId="0">
      <alignment vertical="center"/>
    </xf>
    <xf numFmtId="0" fontId="99" fillId="0" borderId="0"/>
    <xf numFmtId="0" fontId="22" fillId="0" borderId="0">
      <alignment vertical="center"/>
    </xf>
    <xf numFmtId="0" fontId="41" fillId="0" borderId="0">
      <alignment vertical="center"/>
    </xf>
    <xf numFmtId="0" fontId="3" fillId="0" borderId="0">
      <alignment vertical="center"/>
    </xf>
    <xf numFmtId="0" fontId="3" fillId="0" borderId="0">
      <alignment vertical="center"/>
    </xf>
    <xf numFmtId="0" fontId="111" fillId="0" borderId="0">
      <alignment vertical="center"/>
    </xf>
    <xf numFmtId="0" fontId="112" fillId="0" borderId="0">
      <alignment vertical="center"/>
    </xf>
    <xf numFmtId="0" fontId="113"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5" fillId="0" borderId="0" applyNumberFormat="0" applyFill="0" applyBorder="0" applyAlignment="0" applyProtection="0">
      <alignment vertical="top"/>
      <protection locked="0"/>
    </xf>
    <xf numFmtId="0" fontId="114" fillId="0" borderId="0" applyNumberFormat="0" applyFill="0" applyBorder="0" applyAlignment="0" applyProtection="0">
      <alignment vertical="top"/>
      <protection locked="0"/>
    </xf>
    <xf numFmtId="0" fontId="116" fillId="0" borderId="0" applyNumberFormat="0" applyFill="0" applyBorder="0" applyAlignment="0" applyProtection="0">
      <alignment vertical="center"/>
    </xf>
    <xf numFmtId="0" fontId="117" fillId="0" borderId="0" applyNumberFormat="0" applyFill="0" applyBorder="0" applyAlignment="0" applyProtection="0">
      <alignment vertical="top"/>
      <protection locked="0"/>
    </xf>
    <xf numFmtId="0" fontId="118" fillId="0" borderId="0" applyNumberFormat="0" applyFill="0" applyBorder="0" applyAlignment="0" applyProtection="0">
      <alignment vertical="top"/>
      <protection locked="0"/>
    </xf>
    <xf numFmtId="189" fontId="63" fillId="0" borderId="26">
      <protection locked="0"/>
    </xf>
    <xf numFmtId="182" fontId="95" fillId="0" borderId="0" applyFont="0" applyFill="0" applyBorder="0" applyAlignment="0" applyProtection="0"/>
    <xf numFmtId="180" fontId="95" fillId="0" borderId="0" applyFont="0" applyFill="0" applyBorder="0" applyAlignment="0" applyProtection="0"/>
    <xf numFmtId="189" fontId="63" fillId="0" borderId="0">
      <protection locked="0"/>
    </xf>
    <xf numFmtId="189" fontId="63" fillId="0" borderId="0">
      <protection locked="0"/>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105" fillId="0" borderId="0"/>
    <xf numFmtId="0" fontId="2" fillId="0" borderId="0">
      <alignment vertical="center"/>
    </xf>
    <xf numFmtId="188" fontId="105"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0" borderId="0">
      <alignment vertical="center" wrapText="1"/>
    </xf>
    <xf numFmtId="0" fontId="105" fillId="0" borderId="0">
      <alignment vertical="center"/>
    </xf>
    <xf numFmtId="0" fontId="105" fillId="0" borderId="0">
      <alignment vertical="center"/>
    </xf>
    <xf numFmtId="0" fontId="22" fillId="0" borderId="0">
      <alignment vertical="center" wrapText="1"/>
    </xf>
    <xf numFmtId="0" fontId="22" fillId="0" borderId="0">
      <alignment vertical="center" wrapText="1"/>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2" fillId="0" borderId="0">
      <alignment vertical="center" wrapText="1"/>
    </xf>
    <xf numFmtId="0" fontId="2"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0" fontId="2" fillId="8" borderId="8"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34">
    <xf numFmtId="0" fontId="22" fillId="0" borderId="0" xfId="0" applyFont="1">
      <alignment vertical="center" wrapText="1"/>
    </xf>
    <xf numFmtId="0" fontId="23" fillId="33" borderId="10" xfId="0" applyFont="1" applyFill="1" applyBorder="1" applyAlignment="1">
      <alignment horizontal="center" vertical="center" wrapText="1"/>
    </xf>
    <xf numFmtId="0" fontId="28" fillId="35" borderId="0" xfId="0" applyFont="1" applyFill="1" applyAlignment="1">
      <alignment horizontal="center" vertical="center" wrapText="1"/>
    </xf>
    <xf numFmtId="49" fontId="31" fillId="0" borderId="0" xfId="42" applyNumberFormat="1" applyFont="1" applyAlignment="1">
      <alignment horizontal="center" vertical="center"/>
    </xf>
    <xf numFmtId="49" fontId="24" fillId="0" borderId="0" xfId="0" applyNumberFormat="1" applyFont="1" applyAlignment="1">
      <alignment horizontal="center" vertical="center" wrapText="1"/>
    </xf>
    <xf numFmtId="0" fontId="24" fillId="0" borderId="0" xfId="0" applyFont="1">
      <alignment vertical="center" wrapText="1"/>
    </xf>
    <xf numFmtId="0" fontId="24" fillId="0" borderId="0" xfId="0" applyFont="1" applyAlignment="1">
      <alignment horizontal="center" vertical="center" wrapText="1"/>
    </xf>
    <xf numFmtId="0" fontId="22" fillId="34" borderId="0" xfId="0" applyFont="1" applyFill="1" applyAlignment="1">
      <alignment horizontal="left" vertical="center" wrapText="1"/>
    </xf>
    <xf numFmtId="0" fontId="23" fillId="0" borderId="0" xfId="0" applyFont="1" applyAlignment="1">
      <alignment horizontal="left" vertical="center" wrapText="1"/>
    </xf>
    <xf numFmtId="0" fontId="24" fillId="34" borderId="0" xfId="0" applyFont="1" applyFill="1" applyAlignment="1">
      <alignment horizontal="left" vertical="center" wrapText="1"/>
    </xf>
    <xf numFmtId="0" fontId="23" fillId="34" borderId="0" xfId="0" applyFont="1" applyFill="1" applyAlignment="1">
      <alignment horizontal="left" vertical="center" wrapText="1"/>
    </xf>
    <xf numFmtId="0" fontId="23" fillId="0" borderId="0" xfId="0" applyFont="1">
      <alignment vertical="center" wrapText="1"/>
    </xf>
    <xf numFmtId="0" fontId="32" fillId="0" borderId="0" xfId="0" applyFont="1" applyAlignment="1">
      <alignment horizontal="left" vertical="center" wrapText="1"/>
    </xf>
    <xf numFmtId="0" fontId="31" fillId="0" borderId="0" xfId="42" applyFont="1" applyAlignment="1">
      <alignment horizontal="left" vertical="center" wrapText="1"/>
    </xf>
    <xf numFmtId="0" fontId="22" fillId="0" borderId="0" xfId="0" applyFont="1" applyAlignment="1">
      <alignment horizontal="center" vertical="center" wrapText="1"/>
    </xf>
    <xf numFmtId="0" fontId="23" fillId="0" borderId="0" xfId="0" applyFont="1" applyAlignment="1">
      <alignment horizontal="left" vertical="center" wrapText="1"/>
    </xf>
    <xf numFmtId="0" fontId="27" fillId="35" borderId="0" xfId="0" applyFont="1" applyFill="1" applyAlignment="1">
      <alignment horizontal="center" vertical="center" wrapText="1"/>
    </xf>
    <xf numFmtId="0" fontId="22" fillId="0" borderId="0" xfId="0" applyFont="1" applyAlignment="1">
      <alignment horizontal="right" vertical="center" wrapText="1"/>
    </xf>
    <xf numFmtId="0" fontId="22" fillId="0" borderId="0" xfId="0" applyFont="1">
      <alignment vertical="center" wrapText="1"/>
    </xf>
    <xf numFmtId="0" fontId="22" fillId="34" borderId="0" xfId="0" applyFont="1" applyFill="1" applyAlignment="1">
      <alignment horizontal="left" vertical="center" wrapText="1"/>
    </xf>
    <xf numFmtId="0" fontId="24" fillId="34" borderId="0" xfId="0" applyFont="1" applyFill="1" applyAlignment="1">
      <alignment horizontal="left" vertical="center" wrapText="1"/>
    </xf>
    <xf numFmtId="0" fontId="23" fillId="34" borderId="0" xfId="0" applyFont="1" applyFill="1" applyAlignment="1">
      <alignment horizontal="left" vertical="center" wrapText="1"/>
    </xf>
    <xf numFmtId="0" fontId="29" fillId="0" borderId="16"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11" xfId="0" applyFont="1" applyBorder="1" applyAlignment="1">
      <alignment horizontal="center" vertical="center" wrapText="1"/>
    </xf>
    <xf numFmtId="0" fontId="22" fillId="0" borderId="17" xfId="0" applyFont="1" applyBorder="1">
      <alignment vertical="center" wrapText="1"/>
    </xf>
    <xf numFmtId="0" fontId="25" fillId="0" borderId="0" xfId="0" applyFont="1" applyAlignment="1">
      <alignment horizontal="left" vertical="center" wrapText="1"/>
    </xf>
    <xf numFmtId="0" fontId="22" fillId="0" borderId="18" xfId="0" applyFont="1" applyBorder="1">
      <alignment vertical="center" wrapText="1"/>
    </xf>
    <xf numFmtId="0" fontId="26" fillId="0" borderId="13" xfId="0" applyFont="1" applyBorder="1" applyAlignment="1">
      <alignment horizontal="left" vertical="center" wrapText="1"/>
    </xf>
    <xf numFmtId="0" fontId="26" fillId="0" borderId="14" xfId="0" applyFont="1" applyBorder="1" applyAlignment="1">
      <alignment horizontal="left" vertical="center" wrapText="1"/>
    </xf>
    <xf numFmtId="0" fontId="26" fillId="0" borderId="15" xfId="0" applyFont="1" applyBorder="1" applyAlignment="1">
      <alignment horizontal="left" vertical="center" wrapText="1"/>
    </xf>
    <xf numFmtId="0" fontId="21" fillId="0" borderId="0" xfId="0" applyFont="1" applyAlignment="1">
      <alignment horizontal="left" vertical="center" wrapText="1"/>
    </xf>
    <xf numFmtId="14" fontId="23" fillId="0" borderId="0" xfId="0" applyNumberFormat="1" applyFont="1" applyAlignment="1">
      <alignment horizontal="left" vertical="center" wrapText="1"/>
    </xf>
    <xf numFmtId="49" fontId="23" fillId="0" borderId="0" xfId="0" applyNumberFormat="1" applyFont="1" applyAlignment="1">
      <alignment horizontal="left" vertical="center"/>
    </xf>
  </cellXfs>
  <cellStyles count="10239">
    <cellStyle name="          _x000d__x000a_386grabber=VGA.3GR_x000d__x000a_" xfId="46" xr:uid="{00000000-0005-0000-0000-000000000000}"/>
    <cellStyle name="          _x000d__x000a_386grabber=VGA.3GR_x000d__x000a_ 2" xfId="6077" xr:uid="{00000000-0005-0000-0000-000001000000}"/>
    <cellStyle name="?" xfId="47" xr:uid="{00000000-0005-0000-0000-000002000000}"/>
    <cellStyle name="??_x000c_þ_x001b__x000d_|?_x0001_??_x0007__x0001__x0001_" xfId="48" xr:uid="{00000000-0005-0000-0000-000003000000}"/>
    <cellStyle name="??&amp;O?&amp;H?_x0008_??_x0007__x0001__x0001_" xfId="49" xr:uid="{00000000-0005-0000-0000-000004000000}"/>
    <cellStyle name="]_x0004_" xfId="50" xr:uid="{00000000-0005-0000-0000-000005000000}"/>
    <cellStyle name="_7" xfId="51" xr:uid="{00000000-0005-0000-0000-000006000000}"/>
    <cellStyle name="_월례매출_1_상반기_11월당월 (2)_1월" xfId="52" xr:uid="{00000000-0005-0000-0000-000007000000}"/>
    <cellStyle name="_조직유지_총괄표" xfId="53" xr:uid="{00000000-0005-0000-0000-000008000000}"/>
    <cellStyle name="1.월말마감업체" xfId="54" xr:uid="{00000000-0005-0000-0000-000009000000}"/>
    <cellStyle name="1.월말마감업체 2" xfId="55" xr:uid="{00000000-0005-0000-0000-00000A000000}"/>
    <cellStyle name="¹éºÐÀ²_±âÅ¸" xfId="56" xr:uid="{00000000-0005-0000-0000-00000B000000}"/>
    <cellStyle name="1월당월 (2)_1월" xfId="57" xr:uid="{00000000-0005-0000-0000-00000C000000}"/>
    <cellStyle name="2.월말마감끝낸업체" xfId="58" xr:uid="{00000000-0005-0000-0000-00000D000000}"/>
    <cellStyle name="20% - 강조색1" xfId="19" builtinId="30" customBuiltin="1"/>
    <cellStyle name="20% - 강조색1 10" xfId="59" xr:uid="{00000000-0005-0000-0000-00000F000000}"/>
    <cellStyle name="20% - 강조색1 11" xfId="60" xr:uid="{00000000-0005-0000-0000-000010000000}"/>
    <cellStyle name="20% - 강조색1 12" xfId="61" xr:uid="{00000000-0005-0000-0000-000011000000}"/>
    <cellStyle name="20% - 강조색1 13" xfId="62" xr:uid="{00000000-0005-0000-0000-000012000000}"/>
    <cellStyle name="20% - 강조색1 14" xfId="63" xr:uid="{00000000-0005-0000-0000-000013000000}"/>
    <cellStyle name="20% - 강조색1 15" xfId="6874" xr:uid="{00000000-0005-0000-0000-000014000000}"/>
    <cellStyle name="20% - 강조색1 15 2" xfId="9398" xr:uid="{00000000-0005-0000-0000-000015000000}"/>
    <cellStyle name="20% - 강조색1 16" xfId="7716" xr:uid="{00000000-0005-0000-0000-000016000000}"/>
    <cellStyle name="20% - 강조색1 17" xfId="8556" xr:uid="{00000000-0005-0000-0000-000017000000}"/>
    <cellStyle name="20% - 강조색1 18" xfId="6026" xr:uid="{00000000-0005-0000-0000-000018000000}"/>
    <cellStyle name="20% - 강조색1 2" xfId="64" xr:uid="{00000000-0005-0000-0000-000019000000}"/>
    <cellStyle name="20% - 강조색1 2 10" xfId="65" xr:uid="{00000000-0005-0000-0000-00001A000000}"/>
    <cellStyle name="20% - 강조색1 2 11" xfId="66" xr:uid="{00000000-0005-0000-0000-00001B000000}"/>
    <cellStyle name="20% - 강조색1 2 12" xfId="67" xr:uid="{00000000-0005-0000-0000-00001C000000}"/>
    <cellStyle name="20% - 강조색1 2 13" xfId="68" xr:uid="{00000000-0005-0000-0000-00001D000000}"/>
    <cellStyle name="20% - 강조색1 2 14" xfId="69" xr:uid="{00000000-0005-0000-0000-00001E000000}"/>
    <cellStyle name="20% - 강조색1 2 15" xfId="70" xr:uid="{00000000-0005-0000-0000-00001F000000}"/>
    <cellStyle name="20% - 강조색1 2 16" xfId="71" xr:uid="{00000000-0005-0000-0000-000020000000}"/>
    <cellStyle name="20% - 강조색1 2 17" xfId="72" xr:uid="{00000000-0005-0000-0000-000021000000}"/>
    <cellStyle name="20% - 강조색1 2 18" xfId="73" xr:uid="{00000000-0005-0000-0000-000022000000}"/>
    <cellStyle name="20% - 강조색1 2 19" xfId="74" xr:uid="{00000000-0005-0000-0000-000023000000}"/>
    <cellStyle name="20% - 강조색1 2 2" xfId="75" xr:uid="{00000000-0005-0000-0000-000024000000}"/>
    <cellStyle name="20% - 강조색1 2 2 10" xfId="76" xr:uid="{00000000-0005-0000-0000-000025000000}"/>
    <cellStyle name="20% - 강조색1 2 2 11" xfId="77" xr:uid="{00000000-0005-0000-0000-000026000000}"/>
    <cellStyle name="20% - 강조색1 2 2 12" xfId="78" xr:uid="{00000000-0005-0000-0000-000027000000}"/>
    <cellStyle name="20% - 강조색1 2 2 13" xfId="79" xr:uid="{00000000-0005-0000-0000-000028000000}"/>
    <cellStyle name="20% - 강조색1 2 2 14" xfId="80" xr:uid="{00000000-0005-0000-0000-000029000000}"/>
    <cellStyle name="20% - 강조색1 2 2 15" xfId="81" xr:uid="{00000000-0005-0000-0000-00002A000000}"/>
    <cellStyle name="20% - 강조색1 2 2 16" xfId="82" xr:uid="{00000000-0005-0000-0000-00002B000000}"/>
    <cellStyle name="20% - 강조색1 2 2 17" xfId="83" xr:uid="{00000000-0005-0000-0000-00002C000000}"/>
    <cellStyle name="20% - 강조색1 2 2 18" xfId="84" xr:uid="{00000000-0005-0000-0000-00002D000000}"/>
    <cellStyle name="20% - 강조색1 2 2 2" xfId="85" xr:uid="{00000000-0005-0000-0000-00002E000000}"/>
    <cellStyle name="20% - 강조색1 2 2 2 10" xfId="86" xr:uid="{00000000-0005-0000-0000-00002F000000}"/>
    <cellStyle name="20% - 강조색1 2 2 2 11" xfId="87" xr:uid="{00000000-0005-0000-0000-000030000000}"/>
    <cellStyle name="20% - 강조색1 2 2 2 12" xfId="88" xr:uid="{00000000-0005-0000-0000-000031000000}"/>
    <cellStyle name="20% - 강조색1 2 2 2 13" xfId="89" xr:uid="{00000000-0005-0000-0000-000032000000}"/>
    <cellStyle name="20% - 강조색1 2 2 2 14" xfId="90" xr:uid="{00000000-0005-0000-0000-000033000000}"/>
    <cellStyle name="20% - 강조색1 2 2 2 15" xfId="91" xr:uid="{00000000-0005-0000-0000-000034000000}"/>
    <cellStyle name="20% - 강조색1 2 2 2 16" xfId="92" xr:uid="{00000000-0005-0000-0000-000035000000}"/>
    <cellStyle name="20% - 강조색1 2 2 2 17" xfId="93" xr:uid="{00000000-0005-0000-0000-000036000000}"/>
    <cellStyle name="20% - 강조색1 2 2 2 2" xfId="94" xr:uid="{00000000-0005-0000-0000-000037000000}"/>
    <cellStyle name="20% - 강조색1 2 2 2 2 2" xfId="95" xr:uid="{00000000-0005-0000-0000-000038000000}"/>
    <cellStyle name="20% - 강조색1 2 2 2 3" xfId="96" xr:uid="{00000000-0005-0000-0000-000039000000}"/>
    <cellStyle name="20% - 강조색1 2 2 2 4" xfId="97" xr:uid="{00000000-0005-0000-0000-00003A000000}"/>
    <cellStyle name="20% - 강조색1 2 2 2 5" xfId="98" xr:uid="{00000000-0005-0000-0000-00003B000000}"/>
    <cellStyle name="20% - 강조색1 2 2 2 6" xfId="99" xr:uid="{00000000-0005-0000-0000-00003C000000}"/>
    <cellStyle name="20% - 강조색1 2 2 2 7" xfId="100" xr:uid="{00000000-0005-0000-0000-00003D000000}"/>
    <cellStyle name="20% - 강조색1 2 2 2 8" xfId="101" xr:uid="{00000000-0005-0000-0000-00003E000000}"/>
    <cellStyle name="20% - 강조색1 2 2 2 9" xfId="102" xr:uid="{00000000-0005-0000-0000-00003F000000}"/>
    <cellStyle name="20% - 강조색1 2 2 3" xfId="103" xr:uid="{00000000-0005-0000-0000-000040000000}"/>
    <cellStyle name="20% - 강조색1 2 2 3 2" xfId="104" xr:uid="{00000000-0005-0000-0000-000041000000}"/>
    <cellStyle name="20% - 강조색1 2 2 4" xfId="105" xr:uid="{00000000-0005-0000-0000-000042000000}"/>
    <cellStyle name="20% - 강조색1 2 2 5" xfId="106" xr:uid="{00000000-0005-0000-0000-000043000000}"/>
    <cellStyle name="20% - 강조색1 2 2 6" xfId="107" xr:uid="{00000000-0005-0000-0000-000044000000}"/>
    <cellStyle name="20% - 강조색1 2 2 7" xfId="108" xr:uid="{00000000-0005-0000-0000-000045000000}"/>
    <cellStyle name="20% - 강조색1 2 2 8" xfId="109" xr:uid="{00000000-0005-0000-0000-000046000000}"/>
    <cellStyle name="20% - 강조색1 2 2 9" xfId="110" xr:uid="{00000000-0005-0000-0000-000047000000}"/>
    <cellStyle name="20% - 강조색1 2 20" xfId="111" xr:uid="{00000000-0005-0000-0000-000048000000}"/>
    <cellStyle name="20% - 강조색1 2 21" xfId="6888" xr:uid="{00000000-0005-0000-0000-000049000000}"/>
    <cellStyle name="20% - 강조색1 2 21 2" xfId="9411" xr:uid="{00000000-0005-0000-0000-00004A000000}"/>
    <cellStyle name="20% - 강조색1 2 22" xfId="7729" xr:uid="{00000000-0005-0000-0000-00004B000000}"/>
    <cellStyle name="20% - 강조색1 2 23" xfId="8571" xr:uid="{00000000-0005-0000-0000-00004C000000}"/>
    <cellStyle name="20% - 강조색1 2 24" xfId="6039" xr:uid="{00000000-0005-0000-0000-00004D000000}"/>
    <cellStyle name="20% - 강조색1 2 3" xfId="112" xr:uid="{00000000-0005-0000-0000-00004E000000}"/>
    <cellStyle name="20% - 강조색1 2 3 10" xfId="113" xr:uid="{00000000-0005-0000-0000-00004F000000}"/>
    <cellStyle name="20% - 강조색1 2 3 11" xfId="114" xr:uid="{00000000-0005-0000-0000-000050000000}"/>
    <cellStyle name="20% - 강조색1 2 3 12" xfId="115" xr:uid="{00000000-0005-0000-0000-000051000000}"/>
    <cellStyle name="20% - 강조색1 2 3 13" xfId="116" xr:uid="{00000000-0005-0000-0000-000052000000}"/>
    <cellStyle name="20% - 강조색1 2 3 14" xfId="117" xr:uid="{00000000-0005-0000-0000-000053000000}"/>
    <cellStyle name="20% - 강조색1 2 3 15" xfId="118" xr:uid="{00000000-0005-0000-0000-000054000000}"/>
    <cellStyle name="20% - 강조색1 2 3 16" xfId="119" xr:uid="{00000000-0005-0000-0000-000055000000}"/>
    <cellStyle name="20% - 강조색1 2 3 17" xfId="120" xr:uid="{00000000-0005-0000-0000-000056000000}"/>
    <cellStyle name="20% - 강조색1 2 3 2" xfId="121" xr:uid="{00000000-0005-0000-0000-000057000000}"/>
    <cellStyle name="20% - 강조색1 2 3 2 2" xfId="122" xr:uid="{00000000-0005-0000-0000-000058000000}"/>
    <cellStyle name="20% - 강조색1 2 3 3" xfId="123" xr:uid="{00000000-0005-0000-0000-000059000000}"/>
    <cellStyle name="20% - 강조색1 2 3 4" xfId="124" xr:uid="{00000000-0005-0000-0000-00005A000000}"/>
    <cellStyle name="20% - 강조색1 2 3 5" xfId="125" xr:uid="{00000000-0005-0000-0000-00005B000000}"/>
    <cellStyle name="20% - 강조색1 2 3 6" xfId="126" xr:uid="{00000000-0005-0000-0000-00005C000000}"/>
    <cellStyle name="20% - 강조색1 2 3 7" xfId="127" xr:uid="{00000000-0005-0000-0000-00005D000000}"/>
    <cellStyle name="20% - 강조색1 2 3 8" xfId="128" xr:uid="{00000000-0005-0000-0000-00005E000000}"/>
    <cellStyle name="20% - 강조색1 2 3 9" xfId="129" xr:uid="{00000000-0005-0000-0000-00005F000000}"/>
    <cellStyle name="20% - 강조색1 2 4" xfId="130" xr:uid="{00000000-0005-0000-0000-000060000000}"/>
    <cellStyle name="20% - 강조색1 2 4 2" xfId="131" xr:uid="{00000000-0005-0000-0000-000061000000}"/>
    <cellStyle name="20% - 강조색1 2 5" xfId="132" xr:uid="{00000000-0005-0000-0000-000062000000}"/>
    <cellStyle name="20% - 강조색1 2 6" xfId="133" xr:uid="{00000000-0005-0000-0000-000063000000}"/>
    <cellStyle name="20% - 강조색1 2 7" xfId="134" xr:uid="{00000000-0005-0000-0000-000064000000}"/>
    <cellStyle name="20% - 강조색1 2 8" xfId="135" xr:uid="{00000000-0005-0000-0000-000065000000}"/>
    <cellStyle name="20% - 강조색1 2 9" xfId="136" xr:uid="{00000000-0005-0000-0000-000066000000}"/>
    <cellStyle name="20% - 강조색1 3" xfId="137" xr:uid="{00000000-0005-0000-0000-000067000000}"/>
    <cellStyle name="20% - 강조색1 3 2" xfId="138" xr:uid="{00000000-0005-0000-0000-000068000000}"/>
    <cellStyle name="20% - 강조색1 3 3" xfId="6889" xr:uid="{00000000-0005-0000-0000-000069000000}"/>
    <cellStyle name="20% - 강조색1 3 3 2" xfId="9424" xr:uid="{00000000-0005-0000-0000-00006A000000}"/>
    <cellStyle name="20% - 강조색1 3 4" xfId="7742" xr:uid="{00000000-0005-0000-0000-00006B000000}"/>
    <cellStyle name="20% - 강조색1 3 5" xfId="8572" xr:uid="{00000000-0005-0000-0000-00006C000000}"/>
    <cellStyle name="20% - 강조색1 3 6" xfId="6052" xr:uid="{00000000-0005-0000-0000-00006D000000}"/>
    <cellStyle name="20% - 강조색1 4" xfId="139" xr:uid="{00000000-0005-0000-0000-00006E000000}"/>
    <cellStyle name="20% - 강조색1 4 2" xfId="140" xr:uid="{00000000-0005-0000-0000-00006F000000}"/>
    <cellStyle name="20% - 강조색1 4 3" xfId="6890" xr:uid="{00000000-0005-0000-0000-000070000000}"/>
    <cellStyle name="20% - 강조색1 4 3 2" xfId="9437" xr:uid="{00000000-0005-0000-0000-000071000000}"/>
    <cellStyle name="20% - 강조색1 4 4" xfId="7755" xr:uid="{00000000-0005-0000-0000-000072000000}"/>
    <cellStyle name="20% - 강조색1 4 5" xfId="8573" xr:uid="{00000000-0005-0000-0000-000073000000}"/>
    <cellStyle name="20% - 강조색1 4 6" xfId="6065" xr:uid="{00000000-0005-0000-0000-000074000000}"/>
    <cellStyle name="20% - 강조색1 5" xfId="141" xr:uid="{00000000-0005-0000-0000-000075000000}"/>
    <cellStyle name="20% - 강조색1 6" xfId="142" xr:uid="{00000000-0005-0000-0000-000076000000}"/>
    <cellStyle name="20% - 강조색1 7" xfId="143" xr:uid="{00000000-0005-0000-0000-000077000000}"/>
    <cellStyle name="20% - 강조색1 8" xfId="144" xr:uid="{00000000-0005-0000-0000-000078000000}"/>
    <cellStyle name="20% - 강조색1 9" xfId="145" xr:uid="{00000000-0005-0000-0000-000079000000}"/>
    <cellStyle name="20% - 강조색2" xfId="23" builtinId="34" customBuiltin="1"/>
    <cellStyle name="20% - 강조색2 10" xfId="146" xr:uid="{00000000-0005-0000-0000-00007B000000}"/>
    <cellStyle name="20% - 강조색2 11" xfId="147" xr:uid="{00000000-0005-0000-0000-00007C000000}"/>
    <cellStyle name="20% - 강조색2 12" xfId="148" xr:uid="{00000000-0005-0000-0000-00007D000000}"/>
    <cellStyle name="20% - 강조색2 13" xfId="149" xr:uid="{00000000-0005-0000-0000-00007E000000}"/>
    <cellStyle name="20% - 강조색2 14" xfId="150" xr:uid="{00000000-0005-0000-0000-00007F000000}"/>
    <cellStyle name="20% - 강조색2 15" xfId="6876" xr:uid="{00000000-0005-0000-0000-000080000000}"/>
    <cellStyle name="20% - 강조색2 15 2" xfId="9400" xr:uid="{00000000-0005-0000-0000-000081000000}"/>
    <cellStyle name="20% - 강조색2 16" xfId="7718" xr:uid="{00000000-0005-0000-0000-000082000000}"/>
    <cellStyle name="20% - 강조색2 17" xfId="8558" xr:uid="{00000000-0005-0000-0000-000083000000}"/>
    <cellStyle name="20% - 강조색2 18" xfId="6028" xr:uid="{00000000-0005-0000-0000-000084000000}"/>
    <cellStyle name="20% - 강조색2 2" xfId="151" xr:uid="{00000000-0005-0000-0000-000085000000}"/>
    <cellStyle name="20% - 강조색2 2 10" xfId="152" xr:uid="{00000000-0005-0000-0000-000086000000}"/>
    <cellStyle name="20% - 강조색2 2 11" xfId="153" xr:uid="{00000000-0005-0000-0000-000087000000}"/>
    <cellStyle name="20% - 강조색2 2 12" xfId="154" xr:uid="{00000000-0005-0000-0000-000088000000}"/>
    <cellStyle name="20% - 강조색2 2 13" xfId="155" xr:uid="{00000000-0005-0000-0000-000089000000}"/>
    <cellStyle name="20% - 강조색2 2 14" xfId="156" xr:uid="{00000000-0005-0000-0000-00008A000000}"/>
    <cellStyle name="20% - 강조색2 2 15" xfId="157" xr:uid="{00000000-0005-0000-0000-00008B000000}"/>
    <cellStyle name="20% - 강조색2 2 16" xfId="158" xr:uid="{00000000-0005-0000-0000-00008C000000}"/>
    <cellStyle name="20% - 강조색2 2 17" xfId="159" xr:uid="{00000000-0005-0000-0000-00008D000000}"/>
    <cellStyle name="20% - 강조색2 2 18" xfId="160" xr:uid="{00000000-0005-0000-0000-00008E000000}"/>
    <cellStyle name="20% - 강조색2 2 19" xfId="161" xr:uid="{00000000-0005-0000-0000-00008F000000}"/>
    <cellStyle name="20% - 강조색2 2 2" xfId="162" xr:uid="{00000000-0005-0000-0000-000090000000}"/>
    <cellStyle name="20% - 강조색2 2 2 10" xfId="163" xr:uid="{00000000-0005-0000-0000-000091000000}"/>
    <cellStyle name="20% - 강조색2 2 2 11" xfId="164" xr:uid="{00000000-0005-0000-0000-000092000000}"/>
    <cellStyle name="20% - 강조색2 2 2 12" xfId="165" xr:uid="{00000000-0005-0000-0000-000093000000}"/>
    <cellStyle name="20% - 강조색2 2 2 13" xfId="166" xr:uid="{00000000-0005-0000-0000-000094000000}"/>
    <cellStyle name="20% - 강조색2 2 2 14" xfId="167" xr:uid="{00000000-0005-0000-0000-000095000000}"/>
    <cellStyle name="20% - 강조색2 2 2 15" xfId="168" xr:uid="{00000000-0005-0000-0000-000096000000}"/>
    <cellStyle name="20% - 강조색2 2 2 16" xfId="169" xr:uid="{00000000-0005-0000-0000-000097000000}"/>
    <cellStyle name="20% - 강조색2 2 2 17" xfId="170" xr:uid="{00000000-0005-0000-0000-000098000000}"/>
    <cellStyle name="20% - 강조색2 2 2 18" xfId="171" xr:uid="{00000000-0005-0000-0000-000099000000}"/>
    <cellStyle name="20% - 강조색2 2 2 2" xfId="172" xr:uid="{00000000-0005-0000-0000-00009A000000}"/>
    <cellStyle name="20% - 강조색2 2 2 2 10" xfId="173" xr:uid="{00000000-0005-0000-0000-00009B000000}"/>
    <cellStyle name="20% - 강조색2 2 2 2 11" xfId="174" xr:uid="{00000000-0005-0000-0000-00009C000000}"/>
    <cellStyle name="20% - 강조색2 2 2 2 12" xfId="175" xr:uid="{00000000-0005-0000-0000-00009D000000}"/>
    <cellStyle name="20% - 강조색2 2 2 2 13" xfId="176" xr:uid="{00000000-0005-0000-0000-00009E000000}"/>
    <cellStyle name="20% - 강조색2 2 2 2 14" xfId="177" xr:uid="{00000000-0005-0000-0000-00009F000000}"/>
    <cellStyle name="20% - 강조색2 2 2 2 15" xfId="178" xr:uid="{00000000-0005-0000-0000-0000A0000000}"/>
    <cellStyle name="20% - 강조색2 2 2 2 16" xfId="179" xr:uid="{00000000-0005-0000-0000-0000A1000000}"/>
    <cellStyle name="20% - 강조색2 2 2 2 17" xfId="180" xr:uid="{00000000-0005-0000-0000-0000A2000000}"/>
    <cellStyle name="20% - 강조색2 2 2 2 2" xfId="181" xr:uid="{00000000-0005-0000-0000-0000A3000000}"/>
    <cellStyle name="20% - 강조색2 2 2 2 2 2" xfId="182" xr:uid="{00000000-0005-0000-0000-0000A4000000}"/>
    <cellStyle name="20% - 강조색2 2 2 2 3" xfId="183" xr:uid="{00000000-0005-0000-0000-0000A5000000}"/>
    <cellStyle name="20% - 강조색2 2 2 2 4" xfId="184" xr:uid="{00000000-0005-0000-0000-0000A6000000}"/>
    <cellStyle name="20% - 강조색2 2 2 2 5" xfId="185" xr:uid="{00000000-0005-0000-0000-0000A7000000}"/>
    <cellStyle name="20% - 강조색2 2 2 2 6" xfId="186" xr:uid="{00000000-0005-0000-0000-0000A8000000}"/>
    <cellStyle name="20% - 강조색2 2 2 2 7" xfId="187" xr:uid="{00000000-0005-0000-0000-0000A9000000}"/>
    <cellStyle name="20% - 강조색2 2 2 2 8" xfId="188" xr:uid="{00000000-0005-0000-0000-0000AA000000}"/>
    <cellStyle name="20% - 강조색2 2 2 2 9" xfId="189" xr:uid="{00000000-0005-0000-0000-0000AB000000}"/>
    <cellStyle name="20% - 강조색2 2 2 3" xfId="190" xr:uid="{00000000-0005-0000-0000-0000AC000000}"/>
    <cellStyle name="20% - 강조색2 2 2 3 2" xfId="191" xr:uid="{00000000-0005-0000-0000-0000AD000000}"/>
    <cellStyle name="20% - 강조색2 2 2 4" xfId="192" xr:uid="{00000000-0005-0000-0000-0000AE000000}"/>
    <cellStyle name="20% - 강조색2 2 2 5" xfId="193" xr:uid="{00000000-0005-0000-0000-0000AF000000}"/>
    <cellStyle name="20% - 강조색2 2 2 6" xfId="194" xr:uid="{00000000-0005-0000-0000-0000B0000000}"/>
    <cellStyle name="20% - 강조색2 2 2 7" xfId="195" xr:uid="{00000000-0005-0000-0000-0000B1000000}"/>
    <cellStyle name="20% - 강조색2 2 2 8" xfId="196" xr:uid="{00000000-0005-0000-0000-0000B2000000}"/>
    <cellStyle name="20% - 강조색2 2 2 9" xfId="197" xr:uid="{00000000-0005-0000-0000-0000B3000000}"/>
    <cellStyle name="20% - 강조색2 2 20" xfId="198" xr:uid="{00000000-0005-0000-0000-0000B4000000}"/>
    <cellStyle name="20% - 강조색2 2 21" xfId="6891" xr:uid="{00000000-0005-0000-0000-0000B5000000}"/>
    <cellStyle name="20% - 강조색2 2 21 2" xfId="9413" xr:uid="{00000000-0005-0000-0000-0000B6000000}"/>
    <cellStyle name="20% - 강조색2 2 22" xfId="7731" xr:uid="{00000000-0005-0000-0000-0000B7000000}"/>
    <cellStyle name="20% - 강조색2 2 23" xfId="8574" xr:uid="{00000000-0005-0000-0000-0000B8000000}"/>
    <cellStyle name="20% - 강조색2 2 24" xfId="6041" xr:uid="{00000000-0005-0000-0000-0000B9000000}"/>
    <cellStyle name="20% - 강조색2 2 3" xfId="199" xr:uid="{00000000-0005-0000-0000-0000BA000000}"/>
    <cellStyle name="20% - 강조색2 2 3 10" xfId="200" xr:uid="{00000000-0005-0000-0000-0000BB000000}"/>
    <cellStyle name="20% - 강조색2 2 3 11" xfId="201" xr:uid="{00000000-0005-0000-0000-0000BC000000}"/>
    <cellStyle name="20% - 강조색2 2 3 12" xfId="202" xr:uid="{00000000-0005-0000-0000-0000BD000000}"/>
    <cellStyle name="20% - 강조색2 2 3 13" xfId="203" xr:uid="{00000000-0005-0000-0000-0000BE000000}"/>
    <cellStyle name="20% - 강조색2 2 3 14" xfId="204" xr:uid="{00000000-0005-0000-0000-0000BF000000}"/>
    <cellStyle name="20% - 강조색2 2 3 15" xfId="205" xr:uid="{00000000-0005-0000-0000-0000C0000000}"/>
    <cellStyle name="20% - 강조색2 2 3 16" xfId="206" xr:uid="{00000000-0005-0000-0000-0000C1000000}"/>
    <cellStyle name="20% - 강조색2 2 3 17" xfId="207" xr:uid="{00000000-0005-0000-0000-0000C2000000}"/>
    <cellStyle name="20% - 강조색2 2 3 2" xfId="208" xr:uid="{00000000-0005-0000-0000-0000C3000000}"/>
    <cellStyle name="20% - 강조색2 2 3 2 2" xfId="209" xr:uid="{00000000-0005-0000-0000-0000C4000000}"/>
    <cellStyle name="20% - 강조색2 2 3 3" xfId="210" xr:uid="{00000000-0005-0000-0000-0000C5000000}"/>
    <cellStyle name="20% - 강조색2 2 3 4" xfId="211" xr:uid="{00000000-0005-0000-0000-0000C6000000}"/>
    <cellStyle name="20% - 강조색2 2 3 5" xfId="212" xr:uid="{00000000-0005-0000-0000-0000C7000000}"/>
    <cellStyle name="20% - 강조색2 2 3 6" xfId="213" xr:uid="{00000000-0005-0000-0000-0000C8000000}"/>
    <cellStyle name="20% - 강조색2 2 3 7" xfId="214" xr:uid="{00000000-0005-0000-0000-0000C9000000}"/>
    <cellStyle name="20% - 강조색2 2 3 8" xfId="215" xr:uid="{00000000-0005-0000-0000-0000CA000000}"/>
    <cellStyle name="20% - 강조색2 2 3 9" xfId="216" xr:uid="{00000000-0005-0000-0000-0000CB000000}"/>
    <cellStyle name="20% - 강조색2 2 4" xfId="217" xr:uid="{00000000-0005-0000-0000-0000CC000000}"/>
    <cellStyle name="20% - 강조색2 2 4 2" xfId="218" xr:uid="{00000000-0005-0000-0000-0000CD000000}"/>
    <cellStyle name="20% - 강조색2 2 5" xfId="219" xr:uid="{00000000-0005-0000-0000-0000CE000000}"/>
    <cellStyle name="20% - 강조색2 2 6" xfId="220" xr:uid="{00000000-0005-0000-0000-0000CF000000}"/>
    <cellStyle name="20% - 강조색2 2 7" xfId="221" xr:uid="{00000000-0005-0000-0000-0000D0000000}"/>
    <cellStyle name="20% - 강조색2 2 8" xfId="222" xr:uid="{00000000-0005-0000-0000-0000D1000000}"/>
    <cellStyle name="20% - 강조색2 2 9" xfId="223" xr:uid="{00000000-0005-0000-0000-0000D2000000}"/>
    <cellStyle name="20% - 강조색2 3" xfId="224" xr:uid="{00000000-0005-0000-0000-0000D3000000}"/>
    <cellStyle name="20% - 강조색2 3 2" xfId="225" xr:uid="{00000000-0005-0000-0000-0000D4000000}"/>
    <cellStyle name="20% - 강조색2 3 3" xfId="6892" xr:uid="{00000000-0005-0000-0000-0000D5000000}"/>
    <cellStyle name="20% - 강조색2 3 3 2" xfId="9426" xr:uid="{00000000-0005-0000-0000-0000D6000000}"/>
    <cellStyle name="20% - 강조색2 3 4" xfId="7744" xr:uid="{00000000-0005-0000-0000-0000D7000000}"/>
    <cellStyle name="20% - 강조색2 3 5" xfId="8575" xr:uid="{00000000-0005-0000-0000-0000D8000000}"/>
    <cellStyle name="20% - 강조색2 3 6" xfId="6054" xr:uid="{00000000-0005-0000-0000-0000D9000000}"/>
    <cellStyle name="20% - 강조색2 4" xfId="226" xr:uid="{00000000-0005-0000-0000-0000DA000000}"/>
    <cellStyle name="20% - 강조색2 4 2" xfId="227" xr:uid="{00000000-0005-0000-0000-0000DB000000}"/>
    <cellStyle name="20% - 강조색2 4 3" xfId="6893" xr:uid="{00000000-0005-0000-0000-0000DC000000}"/>
    <cellStyle name="20% - 강조색2 4 3 2" xfId="9439" xr:uid="{00000000-0005-0000-0000-0000DD000000}"/>
    <cellStyle name="20% - 강조색2 4 4" xfId="7757" xr:uid="{00000000-0005-0000-0000-0000DE000000}"/>
    <cellStyle name="20% - 강조색2 4 5" xfId="8576" xr:uid="{00000000-0005-0000-0000-0000DF000000}"/>
    <cellStyle name="20% - 강조색2 4 6" xfId="6067" xr:uid="{00000000-0005-0000-0000-0000E0000000}"/>
    <cellStyle name="20% - 강조색2 5" xfId="228" xr:uid="{00000000-0005-0000-0000-0000E1000000}"/>
    <cellStyle name="20% - 강조색2 6" xfId="229" xr:uid="{00000000-0005-0000-0000-0000E2000000}"/>
    <cellStyle name="20% - 강조색2 7" xfId="230" xr:uid="{00000000-0005-0000-0000-0000E3000000}"/>
    <cellStyle name="20% - 강조색2 8" xfId="231" xr:uid="{00000000-0005-0000-0000-0000E4000000}"/>
    <cellStyle name="20% - 강조색2 9" xfId="232" xr:uid="{00000000-0005-0000-0000-0000E5000000}"/>
    <cellStyle name="20% - 강조색3" xfId="27" builtinId="38" customBuiltin="1"/>
    <cellStyle name="20% - 강조색3 10" xfId="233" xr:uid="{00000000-0005-0000-0000-0000E7000000}"/>
    <cellStyle name="20% - 강조색3 11" xfId="234" xr:uid="{00000000-0005-0000-0000-0000E8000000}"/>
    <cellStyle name="20% - 강조색3 12" xfId="235" xr:uid="{00000000-0005-0000-0000-0000E9000000}"/>
    <cellStyle name="20% - 강조색3 13" xfId="236" xr:uid="{00000000-0005-0000-0000-0000EA000000}"/>
    <cellStyle name="20% - 강조색3 14" xfId="237" xr:uid="{00000000-0005-0000-0000-0000EB000000}"/>
    <cellStyle name="20% - 강조색3 15" xfId="6878" xr:uid="{00000000-0005-0000-0000-0000EC000000}"/>
    <cellStyle name="20% - 강조색3 15 2" xfId="9402" xr:uid="{00000000-0005-0000-0000-0000ED000000}"/>
    <cellStyle name="20% - 강조색3 16" xfId="7720" xr:uid="{00000000-0005-0000-0000-0000EE000000}"/>
    <cellStyle name="20% - 강조색3 17" xfId="8560" xr:uid="{00000000-0005-0000-0000-0000EF000000}"/>
    <cellStyle name="20% - 강조색3 18" xfId="6030" xr:uid="{00000000-0005-0000-0000-0000F0000000}"/>
    <cellStyle name="20% - 강조색3 2" xfId="238" xr:uid="{00000000-0005-0000-0000-0000F1000000}"/>
    <cellStyle name="20% - 강조색3 2 10" xfId="239" xr:uid="{00000000-0005-0000-0000-0000F2000000}"/>
    <cellStyle name="20% - 강조색3 2 11" xfId="240" xr:uid="{00000000-0005-0000-0000-0000F3000000}"/>
    <cellStyle name="20% - 강조색3 2 12" xfId="241" xr:uid="{00000000-0005-0000-0000-0000F4000000}"/>
    <cellStyle name="20% - 강조색3 2 13" xfId="242" xr:uid="{00000000-0005-0000-0000-0000F5000000}"/>
    <cellStyle name="20% - 강조색3 2 14" xfId="243" xr:uid="{00000000-0005-0000-0000-0000F6000000}"/>
    <cellStyle name="20% - 강조색3 2 15" xfId="244" xr:uid="{00000000-0005-0000-0000-0000F7000000}"/>
    <cellStyle name="20% - 강조색3 2 16" xfId="245" xr:uid="{00000000-0005-0000-0000-0000F8000000}"/>
    <cellStyle name="20% - 강조색3 2 17" xfId="246" xr:uid="{00000000-0005-0000-0000-0000F9000000}"/>
    <cellStyle name="20% - 강조색3 2 18" xfId="247" xr:uid="{00000000-0005-0000-0000-0000FA000000}"/>
    <cellStyle name="20% - 강조색3 2 19" xfId="248" xr:uid="{00000000-0005-0000-0000-0000FB000000}"/>
    <cellStyle name="20% - 강조색3 2 2" xfId="249" xr:uid="{00000000-0005-0000-0000-0000FC000000}"/>
    <cellStyle name="20% - 강조색3 2 2 10" xfId="250" xr:uid="{00000000-0005-0000-0000-0000FD000000}"/>
    <cellStyle name="20% - 강조색3 2 2 11" xfId="251" xr:uid="{00000000-0005-0000-0000-0000FE000000}"/>
    <cellStyle name="20% - 강조색3 2 2 12" xfId="252" xr:uid="{00000000-0005-0000-0000-0000FF000000}"/>
    <cellStyle name="20% - 강조색3 2 2 13" xfId="253" xr:uid="{00000000-0005-0000-0000-000000010000}"/>
    <cellStyle name="20% - 강조색3 2 2 14" xfId="254" xr:uid="{00000000-0005-0000-0000-000001010000}"/>
    <cellStyle name="20% - 강조색3 2 2 15" xfId="255" xr:uid="{00000000-0005-0000-0000-000002010000}"/>
    <cellStyle name="20% - 강조색3 2 2 16" xfId="256" xr:uid="{00000000-0005-0000-0000-000003010000}"/>
    <cellStyle name="20% - 강조색3 2 2 17" xfId="257" xr:uid="{00000000-0005-0000-0000-000004010000}"/>
    <cellStyle name="20% - 강조색3 2 2 18" xfId="258" xr:uid="{00000000-0005-0000-0000-000005010000}"/>
    <cellStyle name="20% - 강조색3 2 2 2" xfId="259" xr:uid="{00000000-0005-0000-0000-000006010000}"/>
    <cellStyle name="20% - 강조색3 2 2 2 10" xfId="260" xr:uid="{00000000-0005-0000-0000-000007010000}"/>
    <cellStyle name="20% - 강조색3 2 2 2 11" xfId="261" xr:uid="{00000000-0005-0000-0000-000008010000}"/>
    <cellStyle name="20% - 강조색3 2 2 2 12" xfId="262" xr:uid="{00000000-0005-0000-0000-000009010000}"/>
    <cellStyle name="20% - 강조색3 2 2 2 13" xfId="263" xr:uid="{00000000-0005-0000-0000-00000A010000}"/>
    <cellStyle name="20% - 강조색3 2 2 2 14" xfId="264" xr:uid="{00000000-0005-0000-0000-00000B010000}"/>
    <cellStyle name="20% - 강조색3 2 2 2 15" xfId="265" xr:uid="{00000000-0005-0000-0000-00000C010000}"/>
    <cellStyle name="20% - 강조색3 2 2 2 16" xfId="266" xr:uid="{00000000-0005-0000-0000-00000D010000}"/>
    <cellStyle name="20% - 강조색3 2 2 2 17" xfId="267" xr:uid="{00000000-0005-0000-0000-00000E010000}"/>
    <cellStyle name="20% - 강조색3 2 2 2 2" xfId="268" xr:uid="{00000000-0005-0000-0000-00000F010000}"/>
    <cellStyle name="20% - 강조색3 2 2 2 2 2" xfId="269" xr:uid="{00000000-0005-0000-0000-000010010000}"/>
    <cellStyle name="20% - 강조색3 2 2 2 3" xfId="270" xr:uid="{00000000-0005-0000-0000-000011010000}"/>
    <cellStyle name="20% - 강조색3 2 2 2 4" xfId="271" xr:uid="{00000000-0005-0000-0000-000012010000}"/>
    <cellStyle name="20% - 강조색3 2 2 2 5" xfId="272" xr:uid="{00000000-0005-0000-0000-000013010000}"/>
    <cellStyle name="20% - 강조색3 2 2 2 6" xfId="273" xr:uid="{00000000-0005-0000-0000-000014010000}"/>
    <cellStyle name="20% - 강조색3 2 2 2 7" xfId="274" xr:uid="{00000000-0005-0000-0000-000015010000}"/>
    <cellStyle name="20% - 강조색3 2 2 2 8" xfId="275" xr:uid="{00000000-0005-0000-0000-000016010000}"/>
    <cellStyle name="20% - 강조색3 2 2 2 9" xfId="276" xr:uid="{00000000-0005-0000-0000-000017010000}"/>
    <cellStyle name="20% - 강조색3 2 2 3" xfId="277" xr:uid="{00000000-0005-0000-0000-000018010000}"/>
    <cellStyle name="20% - 강조색3 2 2 3 2" xfId="278" xr:uid="{00000000-0005-0000-0000-000019010000}"/>
    <cellStyle name="20% - 강조색3 2 2 4" xfId="279" xr:uid="{00000000-0005-0000-0000-00001A010000}"/>
    <cellStyle name="20% - 강조색3 2 2 5" xfId="280" xr:uid="{00000000-0005-0000-0000-00001B010000}"/>
    <cellStyle name="20% - 강조색3 2 2 6" xfId="281" xr:uid="{00000000-0005-0000-0000-00001C010000}"/>
    <cellStyle name="20% - 강조색3 2 2 7" xfId="282" xr:uid="{00000000-0005-0000-0000-00001D010000}"/>
    <cellStyle name="20% - 강조색3 2 2 8" xfId="283" xr:uid="{00000000-0005-0000-0000-00001E010000}"/>
    <cellStyle name="20% - 강조색3 2 2 9" xfId="284" xr:uid="{00000000-0005-0000-0000-00001F010000}"/>
    <cellStyle name="20% - 강조색3 2 20" xfId="285" xr:uid="{00000000-0005-0000-0000-000020010000}"/>
    <cellStyle name="20% - 강조색3 2 21" xfId="286" xr:uid="{00000000-0005-0000-0000-000021010000}"/>
    <cellStyle name="20% - 강조색3 2 22" xfId="6894" xr:uid="{00000000-0005-0000-0000-000022010000}"/>
    <cellStyle name="20% - 강조색3 2 22 2" xfId="9415" xr:uid="{00000000-0005-0000-0000-000023010000}"/>
    <cellStyle name="20% - 강조색3 2 23" xfId="7733" xr:uid="{00000000-0005-0000-0000-000024010000}"/>
    <cellStyle name="20% - 강조색3 2 24" xfId="8577" xr:uid="{00000000-0005-0000-0000-000025010000}"/>
    <cellStyle name="20% - 강조색3 2 25" xfId="6043" xr:uid="{00000000-0005-0000-0000-000026010000}"/>
    <cellStyle name="20% - 강조색3 2 3" xfId="287" xr:uid="{00000000-0005-0000-0000-000027010000}"/>
    <cellStyle name="20% - 강조색3 2 3 10" xfId="288" xr:uid="{00000000-0005-0000-0000-000028010000}"/>
    <cellStyle name="20% - 강조색3 2 3 11" xfId="289" xr:uid="{00000000-0005-0000-0000-000029010000}"/>
    <cellStyle name="20% - 강조색3 2 3 12" xfId="290" xr:uid="{00000000-0005-0000-0000-00002A010000}"/>
    <cellStyle name="20% - 강조색3 2 3 13" xfId="291" xr:uid="{00000000-0005-0000-0000-00002B010000}"/>
    <cellStyle name="20% - 강조색3 2 3 14" xfId="292" xr:uid="{00000000-0005-0000-0000-00002C010000}"/>
    <cellStyle name="20% - 강조색3 2 3 15" xfId="293" xr:uid="{00000000-0005-0000-0000-00002D010000}"/>
    <cellStyle name="20% - 강조색3 2 3 16" xfId="294" xr:uid="{00000000-0005-0000-0000-00002E010000}"/>
    <cellStyle name="20% - 강조색3 2 3 17" xfId="295" xr:uid="{00000000-0005-0000-0000-00002F010000}"/>
    <cellStyle name="20% - 강조색3 2 3 2" xfId="296" xr:uid="{00000000-0005-0000-0000-000030010000}"/>
    <cellStyle name="20% - 강조색3 2 3 2 2" xfId="297" xr:uid="{00000000-0005-0000-0000-000031010000}"/>
    <cellStyle name="20% - 강조색3 2 3 3" xfId="298" xr:uid="{00000000-0005-0000-0000-000032010000}"/>
    <cellStyle name="20% - 강조색3 2 3 4" xfId="299" xr:uid="{00000000-0005-0000-0000-000033010000}"/>
    <cellStyle name="20% - 강조색3 2 3 5" xfId="300" xr:uid="{00000000-0005-0000-0000-000034010000}"/>
    <cellStyle name="20% - 강조색3 2 3 6" xfId="301" xr:uid="{00000000-0005-0000-0000-000035010000}"/>
    <cellStyle name="20% - 강조색3 2 3 7" xfId="302" xr:uid="{00000000-0005-0000-0000-000036010000}"/>
    <cellStyle name="20% - 강조색3 2 3 8" xfId="303" xr:uid="{00000000-0005-0000-0000-000037010000}"/>
    <cellStyle name="20% - 강조색3 2 3 9" xfId="304" xr:uid="{00000000-0005-0000-0000-000038010000}"/>
    <cellStyle name="20% - 강조색3 2 4" xfId="305" xr:uid="{00000000-0005-0000-0000-000039010000}"/>
    <cellStyle name="20% - 강조색3 2 4 2" xfId="306" xr:uid="{00000000-0005-0000-0000-00003A010000}"/>
    <cellStyle name="20% - 강조색3 2 5" xfId="307" xr:uid="{00000000-0005-0000-0000-00003B010000}"/>
    <cellStyle name="20% - 강조색3 2 6" xfId="308" xr:uid="{00000000-0005-0000-0000-00003C010000}"/>
    <cellStyle name="20% - 강조색3 2 7" xfId="309" xr:uid="{00000000-0005-0000-0000-00003D010000}"/>
    <cellStyle name="20% - 강조색3 2 8" xfId="310" xr:uid="{00000000-0005-0000-0000-00003E010000}"/>
    <cellStyle name="20% - 강조색3 2 9" xfId="311" xr:uid="{00000000-0005-0000-0000-00003F010000}"/>
    <cellStyle name="20% - 강조색3 3" xfId="312" xr:uid="{00000000-0005-0000-0000-000040010000}"/>
    <cellStyle name="20% - 강조색3 3 2" xfId="313" xr:uid="{00000000-0005-0000-0000-000041010000}"/>
    <cellStyle name="20% - 강조색3 3 3" xfId="6895" xr:uid="{00000000-0005-0000-0000-000042010000}"/>
    <cellStyle name="20% - 강조색3 3 3 2" xfId="9428" xr:uid="{00000000-0005-0000-0000-000043010000}"/>
    <cellStyle name="20% - 강조색3 3 4" xfId="7746" xr:uid="{00000000-0005-0000-0000-000044010000}"/>
    <cellStyle name="20% - 강조색3 3 5" xfId="8578" xr:uid="{00000000-0005-0000-0000-000045010000}"/>
    <cellStyle name="20% - 강조색3 3 6" xfId="6056" xr:uid="{00000000-0005-0000-0000-000046010000}"/>
    <cellStyle name="20% - 강조색3 4" xfId="314" xr:uid="{00000000-0005-0000-0000-000047010000}"/>
    <cellStyle name="20% - 강조색3 4 2" xfId="315" xr:uid="{00000000-0005-0000-0000-000048010000}"/>
    <cellStyle name="20% - 강조색3 4 3" xfId="6896" xr:uid="{00000000-0005-0000-0000-000049010000}"/>
    <cellStyle name="20% - 강조색3 4 3 2" xfId="9441" xr:uid="{00000000-0005-0000-0000-00004A010000}"/>
    <cellStyle name="20% - 강조색3 4 4" xfId="7759" xr:uid="{00000000-0005-0000-0000-00004B010000}"/>
    <cellStyle name="20% - 강조색3 4 5" xfId="8579" xr:uid="{00000000-0005-0000-0000-00004C010000}"/>
    <cellStyle name="20% - 강조색3 4 6" xfId="6069" xr:uid="{00000000-0005-0000-0000-00004D010000}"/>
    <cellStyle name="20% - 강조색3 5" xfId="316" xr:uid="{00000000-0005-0000-0000-00004E010000}"/>
    <cellStyle name="20% - 강조색3 6" xfId="317" xr:uid="{00000000-0005-0000-0000-00004F010000}"/>
    <cellStyle name="20% - 강조색3 7" xfId="318" xr:uid="{00000000-0005-0000-0000-000050010000}"/>
    <cellStyle name="20% - 강조색3 8" xfId="319" xr:uid="{00000000-0005-0000-0000-000051010000}"/>
    <cellStyle name="20% - 강조색3 9" xfId="320" xr:uid="{00000000-0005-0000-0000-000052010000}"/>
    <cellStyle name="20% - 강조색4" xfId="31" builtinId="42" customBuiltin="1"/>
    <cellStyle name="20% - 강조색4 10" xfId="321" xr:uid="{00000000-0005-0000-0000-000054010000}"/>
    <cellStyle name="20% - 강조색4 11" xfId="322" xr:uid="{00000000-0005-0000-0000-000055010000}"/>
    <cellStyle name="20% - 강조색4 12" xfId="323" xr:uid="{00000000-0005-0000-0000-000056010000}"/>
    <cellStyle name="20% - 강조색4 13" xfId="324" xr:uid="{00000000-0005-0000-0000-000057010000}"/>
    <cellStyle name="20% - 강조색4 14" xfId="325" xr:uid="{00000000-0005-0000-0000-000058010000}"/>
    <cellStyle name="20% - 강조색4 15" xfId="6880" xr:uid="{00000000-0005-0000-0000-000059010000}"/>
    <cellStyle name="20% - 강조색4 15 2" xfId="9404" xr:uid="{00000000-0005-0000-0000-00005A010000}"/>
    <cellStyle name="20% - 강조색4 16" xfId="7722" xr:uid="{00000000-0005-0000-0000-00005B010000}"/>
    <cellStyle name="20% - 강조색4 17" xfId="8562" xr:uid="{00000000-0005-0000-0000-00005C010000}"/>
    <cellStyle name="20% - 강조색4 18" xfId="6032" xr:uid="{00000000-0005-0000-0000-00005D010000}"/>
    <cellStyle name="20% - 강조색4 2" xfId="326" xr:uid="{00000000-0005-0000-0000-00005E010000}"/>
    <cellStyle name="20% - 강조색4 2 10" xfId="327" xr:uid="{00000000-0005-0000-0000-00005F010000}"/>
    <cellStyle name="20% - 강조색4 2 11" xfId="328" xr:uid="{00000000-0005-0000-0000-000060010000}"/>
    <cellStyle name="20% - 강조색4 2 12" xfId="329" xr:uid="{00000000-0005-0000-0000-000061010000}"/>
    <cellStyle name="20% - 강조색4 2 13" xfId="330" xr:uid="{00000000-0005-0000-0000-000062010000}"/>
    <cellStyle name="20% - 강조색4 2 14" xfId="331" xr:uid="{00000000-0005-0000-0000-000063010000}"/>
    <cellStyle name="20% - 강조색4 2 15" xfId="332" xr:uid="{00000000-0005-0000-0000-000064010000}"/>
    <cellStyle name="20% - 강조색4 2 16" xfId="333" xr:uid="{00000000-0005-0000-0000-000065010000}"/>
    <cellStyle name="20% - 강조색4 2 17" xfId="334" xr:uid="{00000000-0005-0000-0000-000066010000}"/>
    <cellStyle name="20% - 강조색4 2 18" xfId="335" xr:uid="{00000000-0005-0000-0000-000067010000}"/>
    <cellStyle name="20% - 강조색4 2 19" xfId="336" xr:uid="{00000000-0005-0000-0000-000068010000}"/>
    <cellStyle name="20% - 강조색4 2 2" xfId="337" xr:uid="{00000000-0005-0000-0000-000069010000}"/>
    <cellStyle name="20% - 강조색4 2 2 10" xfId="338" xr:uid="{00000000-0005-0000-0000-00006A010000}"/>
    <cellStyle name="20% - 강조색4 2 2 11" xfId="339" xr:uid="{00000000-0005-0000-0000-00006B010000}"/>
    <cellStyle name="20% - 강조색4 2 2 12" xfId="340" xr:uid="{00000000-0005-0000-0000-00006C010000}"/>
    <cellStyle name="20% - 강조색4 2 2 13" xfId="341" xr:uid="{00000000-0005-0000-0000-00006D010000}"/>
    <cellStyle name="20% - 강조색4 2 2 14" xfId="342" xr:uid="{00000000-0005-0000-0000-00006E010000}"/>
    <cellStyle name="20% - 강조색4 2 2 15" xfId="343" xr:uid="{00000000-0005-0000-0000-00006F010000}"/>
    <cellStyle name="20% - 강조색4 2 2 16" xfId="344" xr:uid="{00000000-0005-0000-0000-000070010000}"/>
    <cellStyle name="20% - 강조색4 2 2 17" xfId="345" xr:uid="{00000000-0005-0000-0000-000071010000}"/>
    <cellStyle name="20% - 강조색4 2 2 18" xfId="346" xr:uid="{00000000-0005-0000-0000-000072010000}"/>
    <cellStyle name="20% - 강조색4 2 2 2" xfId="347" xr:uid="{00000000-0005-0000-0000-000073010000}"/>
    <cellStyle name="20% - 강조색4 2 2 2 10" xfId="348" xr:uid="{00000000-0005-0000-0000-000074010000}"/>
    <cellStyle name="20% - 강조색4 2 2 2 11" xfId="349" xr:uid="{00000000-0005-0000-0000-000075010000}"/>
    <cellStyle name="20% - 강조색4 2 2 2 12" xfId="350" xr:uid="{00000000-0005-0000-0000-000076010000}"/>
    <cellStyle name="20% - 강조색4 2 2 2 13" xfId="351" xr:uid="{00000000-0005-0000-0000-000077010000}"/>
    <cellStyle name="20% - 강조색4 2 2 2 14" xfId="352" xr:uid="{00000000-0005-0000-0000-000078010000}"/>
    <cellStyle name="20% - 강조색4 2 2 2 15" xfId="353" xr:uid="{00000000-0005-0000-0000-000079010000}"/>
    <cellStyle name="20% - 강조색4 2 2 2 16" xfId="354" xr:uid="{00000000-0005-0000-0000-00007A010000}"/>
    <cellStyle name="20% - 강조색4 2 2 2 17" xfId="355" xr:uid="{00000000-0005-0000-0000-00007B010000}"/>
    <cellStyle name="20% - 강조색4 2 2 2 2" xfId="356" xr:uid="{00000000-0005-0000-0000-00007C010000}"/>
    <cellStyle name="20% - 강조색4 2 2 2 2 2" xfId="357" xr:uid="{00000000-0005-0000-0000-00007D010000}"/>
    <cellStyle name="20% - 강조색4 2 2 2 3" xfId="358" xr:uid="{00000000-0005-0000-0000-00007E010000}"/>
    <cellStyle name="20% - 강조색4 2 2 2 4" xfId="359" xr:uid="{00000000-0005-0000-0000-00007F010000}"/>
    <cellStyle name="20% - 강조색4 2 2 2 5" xfId="360" xr:uid="{00000000-0005-0000-0000-000080010000}"/>
    <cellStyle name="20% - 강조색4 2 2 2 6" xfId="361" xr:uid="{00000000-0005-0000-0000-000081010000}"/>
    <cellStyle name="20% - 강조색4 2 2 2 7" xfId="362" xr:uid="{00000000-0005-0000-0000-000082010000}"/>
    <cellStyle name="20% - 강조색4 2 2 2 8" xfId="363" xr:uid="{00000000-0005-0000-0000-000083010000}"/>
    <cellStyle name="20% - 강조색4 2 2 2 9" xfId="364" xr:uid="{00000000-0005-0000-0000-000084010000}"/>
    <cellStyle name="20% - 강조색4 2 2 3" xfId="365" xr:uid="{00000000-0005-0000-0000-000085010000}"/>
    <cellStyle name="20% - 강조색4 2 2 3 2" xfId="366" xr:uid="{00000000-0005-0000-0000-000086010000}"/>
    <cellStyle name="20% - 강조색4 2 2 4" xfId="367" xr:uid="{00000000-0005-0000-0000-000087010000}"/>
    <cellStyle name="20% - 강조색4 2 2 5" xfId="368" xr:uid="{00000000-0005-0000-0000-000088010000}"/>
    <cellStyle name="20% - 강조색4 2 2 6" xfId="369" xr:uid="{00000000-0005-0000-0000-000089010000}"/>
    <cellStyle name="20% - 강조색4 2 2 7" xfId="370" xr:uid="{00000000-0005-0000-0000-00008A010000}"/>
    <cellStyle name="20% - 강조색4 2 2 8" xfId="371" xr:uid="{00000000-0005-0000-0000-00008B010000}"/>
    <cellStyle name="20% - 강조색4 2 2 9" xfId="372" xr:uid="{00000000-0005-0000-0000-00008C010000}"/>
    <cellStyle name="20% - 강조색4 2 20" xfId="373" xr:uid="{00000000-0005-0000-0000-00008D010000}"/>
    <cellStyle name="20% - 강조색4 2 21" xfId="6897" xr:uid="{00000000-0005-0000-0000-00008E010000}"/>
    <cellStyle name="20% - 강조색4 2 21 2" xfId="9417" xr:uid="{00000000-0005-0000-0000-00008F010000}"/>
    <cellStyle name="20% - 강조색4 2 22" xfId="7735" xr:uid="{00000000-0005-0000-0000-000090010000}"/>
    <cellStyle name="20% - 강조색4 2 23" xfId="8580" xr:uid="{00000000-0005-0000-0000-000091010000}"/>
    <cellStyle name="20% - 강조색4 2 24" xfId="6045" xr:uid="{00000000-0005-0000-0000-000092010000}"/>
    <cellStyle name="20% - 강조색4 2 3" xfId="374" xr:uid="{00000000-0005-0000-0000-000093010000}"/>
    <cellStyle name="20% - 강조색4 2 3 10" xfId="375" xr:uid="{00000000-0005-0000-0000-000094010000}"/>
    <cellStyle name="20% - 강조색4 2 3 11" xfId="376" xr:uid="{00000000-0005-0000-0000-000095010000}"/>
    <cellStyle name="20% - 강조색4 2 3 12" xfId="377" xr:uid="{00000000-0005-0000-0000-000096010000}"/>
    <cellStyle name="20% - 강조색4 2 3 13" xfId="378" xr:uid="{00000000-0005-0000-0000-000097010000}"/>
    <cellStyle name="20% - 강조색4 2 3 14" xfId="379" xr:uid="{00000000-0005-0000-0000-000098010000}"/>
    <cellStyle name="20% - 강조색4 2 3 15" xfId="380" xr:uid="{00000000-0005-0000-0000-000099010000}"/>
    <cellStyle name="20% - 강조색4 2 3 16" xfId="381" xr:uid="{00000000-0005-0000-0000-00009A010000}"/>
    <cellStyle name="20% - 강조색4 2 3 17" xfId="382" xr:uid="{00000000-0005-0000-0000-00009B010000}"/>
    <cellStyle name="20% - 강조색4 2 3 2" xfId="383" xr:uid="{00000000-0005-0000-0000-00009C010000}"/>
    <cellStyle name="20% - 강조색4 2 3 2 2" xfId="384" xr:uid="{00000000-0005-0000-0000-00009D010000}"/>
    <cellStyle name="20% - 강조색4 2 3 3" xfId="385" xr:uid="{00000000-0005-0000-0000-00009E010000}"/>
    <cellStyle name="20% - 강조색4 2 3 4" xfId="386" xr:uid="{00000000-0005-0000-0000-00009F010000}"/>
    <cellStyle name="20% - 강조색4 2 3 5" xfId="387" xr:uid="{00000000-0005-0000-0000-0000A0010000}"/>
    <cellStyle name="20% - 강조색4 2 3 6" xfId="388" xr:uid="{00000000-0005-0000-0000-0000A1010000}"/>
    <cellStyle name="20% - 강조색4 2 3 7" xfId="389" xr:uid="{00000000-0005-0000-0000-0000A2010000}"/>
    <cellStyle name="20% - 강조색4 2 3 8" xfId="390" xr:uid="{00000000-0005-0000-0000-0000A3010000}"/>
    <cellStyle name="20% - 강조색4 2 3 9" xfId="391" xr:uid="{00000000-0005-0000-0000-0000A4010000}"/>
    <cellStyle name="20% - 강조색4 2 4" xfId="392" xr:uid="{00000000-0005-0000-0000-0000A5010000}"/>
    <cellStyle name="20% - 강조색4 2 4 2" xfId="393" xr:uid="{00000000-0005-0000-0000-0000A6010000}"/>
    <cellStyle name="20% - 강조색4 2 5" xfId="394" xr:uid="{00000000-0005-0000-0000-0000A7010000}"/>
    <cellStyle name="20% - 강조색4 2 6" xfId="395" xr:uid="{00000000-0005-0000-0000-0000A8010000}"/>
    <cellStyle name="20% - 강조색4 2 7" xfId="396" xr:uid="{00000000-0005-0000-0000-0000A9010000}"/>
    <cellStyle name="20% - 강조색4 2 8" xfId="397" xr:uid="{00000000-0005-0000-0000-0000AA010000}"/>
    <cellStyle name="20% - 강조색4 2 9" xfId="398" xr:uid="{00000000-0005-0000-0000-0000AB010000}"/>
    <cellStyle name="20% - 강조색4 3" xfId="399" xr:uid="{00000000-0005-0000-0000-0000AC010000}"/>
    <cellStyle name="20% - 강조색4 3 2" xfId="400" xr:uid="{00000000-0005-0000-0000-0000AD010000}"/>
    <cellStyle name="20% - 강조색4 3 3" xfId="6898" xr:uid="{00000000-0005-0000-0000-0000AE010000}"/>
    <cellStyle name="20% - 강조색4 3 3 2" xfId="9430" xr:uid="{00000000-0005-0000-0000-0000AF010000}"/>
    <cellStyle name="20% - 강조색4 3 4" xfId="7748" xr:uid="{00000000-0005-0000-0000-0000B0010000}"/>
    <cellStyle name="20% - 강조색4 3 5" xfId="8581" xr:uid="{00000000-0005-0000-0000-0000B1010000}"/>
    <cellStyle name="20% - 강조색4 3 6" xfId="6058" xr:uid="{00000000-0005-0000-0000-0000B2010000}"/>
    <cellStyle name="20% - 강조색4 4" xfId="401" xr:uid="{00000000-0005-0000-0000-0000B3010000}"/>
    <cellStyle name="20% - 강조색4 4 2" xfId="402" xr:uid="{00000000-0005-0000-0000-0000B4010000}"/>
    <cellStyle name="20% - 강조색4 4 3" xfId="6899" xr:uid="{00000000-0005-0000-0000-0000B5010000}"/>
    <cellStyle name="20% - 강조색4 4 3 2" xfId="9443" xr:uid="{00000000-0005-0000-0000-0000B6010000}"/>
    <cellStyle name="20% - 강조색4 4 4" xfId="7761" xr:uid="{00000000-0005-0000-0000-0000B7010000}"/>
    <cellStyle name="20% - 강조색4 4 5" xfId="8582" xr:uid="{00000000-0005-0000-0000-0000B8010000}"/>
    <cellStyle name="20% - 강조색4 4 6" xfId="6071" xr:uid="{00000000-0005-0000-0000-0000B9010000}"/>
    <cellStyle name="20% - 강조색4 5" xfId="403" xr:uid="{00000000-0005-0000-0000-0000BA010000}"/>
    <cellStyle name="20% - 강조색4 6" xfId="404" xr:uid="{00000000-0005-0000-0000-0000BB010000}"/>
    <cellStyle name="20% - 강조색4 7" xfId="405" xr:uid="{00000000-0005-0000-0000-0000BC010000}"/>
    <cellStyle name="20% - 강조색4 8" xfId="406" xr:uid="{00000000-0005-0000-0000-0000BD010000}"/>
    <cellStyle name="20% - 강조색4 9" xfId="407" xr:uid="{00000000-0005-0000-0000-0000BE010000}"/>
    <cellStyle name="20% - 강조색5" xfId="35" builtinId="46" customBuiltin="1"/>
    <cellStyle name="20% - 강조색5 10" xfId="408" xr:uid="{00000000-0005-0000-0000-0000C0010000}"/>
    <cellStyle name="20% - 강조색5 11" xfId="409" xr:uid="{00000000-0005-0000-0000-0000C1010000}"/>
    <cellStyle name="20% - 강조색5 12" xfId="410" xr:uid="{00000000-0005-0000-0000-0000C2010000}"/>
    <cellStyle name="20% - 강조색5 13" xfId="411" xr:uid="{00000000-0005-0000-0000-0000C3010000}"/>
    <cellStyle name="20% - 강조색5 14" xfId="412" xr:uid="{00000000-0005-0000-0000-0000C4010000}"/>
    <cellStyle name="20% - 강조색5 15" xfId="6882" xr:uid="{00000000-0005-0000-0000-0000C5010000}"/>
    <cellStyle name="20% - 강조색5 15 2" xfId="9406" xr:uid="{00000000-0005-0000-0000-0000C6010000}"/>
    <cellStyle name="20% - 강조색5 16" xfId="7724" xr:uid="{00000000-0005-0000-0000-0000C7010000}"/>
    <cellStyle name="20% - 강조색5 17" xfId="8564" xr:uid="{00000000-0005-0000-0000-0000C8010000}"/>
    <cellStyle name="20% - 강조색5 18" xfId="6034" xr:uid="{00000000-0005-0000-0000-0000C9010000}"/>
    <cellStyle name="20% - 강조색5 2" xfId="413" xr:uid="{00000000-0005-0000-0000-0000CA010000}"/>
    <cellStyle name="20% - 강조색5 2 10" xfId="414" xr:uid="{00000000-0005-0000-0000-0000CB010000}"/>
    <cellStyle name="20% - 강조색5 2 11" xfId="415" xr:uid="{00000000-0005-0000-0000-0000CC010000}"/>
    <cellStyle name="20% - 강조색5 2 12" xfId="416" xr:uid="{00000000-0005-0000-0000-0000CD010000}"/>
    <cellStyle name="20% - 강조색5 2 13" xfId="417" xr:uid="{00000000-0005-0000-0000-0000CE010000}"/>
    <cellStyle name="20% - 강조색5 2 14" xfId="418" xr:uid="{00000000-0005-0000-0000-0000CF010000}"/>
    <cellStyle name="20% - 강조색5 2 15" xfId="419" xr:uid="{00000000-0005-0000-0000-0000D0010000}"/>
    <cellStyle name="20% - 강조색5 2 16" xfId="420" xr:uid="{00000000-0005-0000-0000-0000D1010000}"/>
    <cellStyle name="20% - 강조색5 2 17" xfId="421" xr:uid="{00000000-0005-0000-0000-0000D2010000}"/>
    <cellStyle name="20% - 강조색5 2 18" xfId="422" xr:uid="{00000000-0005-0000-0000-0000D3010000}"/>
    <cellStyle name="20% - 강조색5 2 19" xfId="423" xr:uid="{00000000-0005-0000-0000-0000D4010000}"/>
    <cellStyle name="20% - 강조색5 2 2" xfId="424" xr:uid="{00000000-0005-0000-0000-0000D5010000}"/>
    <cellStyle name="20% - 강조색5 2 2 10" xfId="425" xr:uid="{00000000-0005-0000-0000-0000D6010000}"/>
    <cellStyle name="20% - 강조색5 2 2 11" xfId="426" xr:uid="{00000000-0005-0000-0000-0000D7010000}"/>
    <cellStyle name="20% - 강조색5 2 2 12" xfId="427" xr:uid="{00000000-0005-0000-0000-0000D8010000}"/>
    <cellStyle name="20% - 강조색5 2 2 13" xfId="428" xr:uid="{00000000-0005-0000-0000-0000D9010000}"/>
    <cellStyle name="20% - 강조색5 2 2 14" xfId="429" xr:uid="{00000000-0005-0000-0000-0000DA010000}"/>
    <cellStyle name="20% - 강조색5 2 2 15" xfId="430" xr:uid="{00000000-0005-0000-0000-0000DB010000}"/>
    <cellStyle name="20% - 강조색5 2 2 16" xfId="431" xr:uid="{00000000-0005-0000-0000-0000DC010000}"/>
    <cellStyle name="20% - 강조색5 2 2 17" xfId="432" xr:uid="{00000000-0005-0000-0000-0000DD010000}"/>
    <cellStyle name="20% - 강조색5 2 2 18" xfId="433" xr:uid="{00000000-0005-0000-0000-0000DE010000}"/>
    <cellStyle name="20% - 강조색5 2 2 2" xfId="434" xr:uid="{00000000-0005-0000-0000-0000DF010000}"/>
    <cellStyle name="20% - 강조색5 2 2 2 10" xfId="435" xr:uid="{00000000-0005-0000-0000-0000E0010000}"/>
    <cellStyle name="20% - 강조색5 2 2 2 11" xfId="436" xr:uid="{00000000-0005-0000-0000-0000E1010000}"/>
    <cellStyle name="20% - 강조색5 2 2 2 12" xfId="437" xr:uid="{00000000-0005-0000-0000-0000E2010000}"/>
    <cellStyle name="20% - 강조색5 2 2 2 13" xfId="438" xr:uid="{00000000-0005-0000-0000-0000E3010000}"/>
    <cellStyle name="20% - 강조색5 2 2 2 14" xfId="439" xr:uid="{00000000-0005-0000-0000-0000E4010000}"/>
    <cellStyle name="20% - 강조색5 2 2 2 15" xfId="440" xr:uid="{00000000-0005-0000-0000-0000E5010000}"/>
    <cellStyle name="20% - 강조색5 2 2 2 16" xfId="441" xr:uid="{00000000-0005-0000-0000-0000E6010000}"/>
    <cellStyle name="20% - 강조색5 2 2 2 17" xfId="442" xr:uid="{00000000-0005-0000-0000-0000E7010000}"/>
    <cellStyle name="20% - 강조색5 2 2 2 2" xfId="443" xr:uid="{00000000-0005-0000-0000-0000E8010000}"/>
    <cellStyle name="20% - 강조색5 2 2 2 2 2" xfId="444" xr:uid="{00000000-0005-0000-0000-0000E9010000}"/>
    <cellStyle name="20% - 강조색5 2 2 2 3" xfId="445" xr:uid="{00000000-0005-0000-0000-0000EA010000}"/>
    <cellStyle name="20% - 강조색5 2 2 2 4" xfId="446" xr:uid="{00000000-0005-0000-0000-0000EB010000}"/>
    <cellStyle name="20% - 강조색5 2 2 2 5" xfId="447" xr:uid="{00000000-0005-0000-0000-0000EC010000}"/>
    <cellStyle name="20% - 강조색5 2 2 2 6" xfId="448" xr:uid="{00000000-0005-0000-0000-0000ED010000}"/>
    <cellStyle name="20% - 강조색5 2 2 2 7" xfId="449" xr:uid="{00000000-0005-0000-0000-0000EE010000}"/>
    <cellStyle name="20% - 강조색5 2 2 2 8" xfId="450" xr:uid="{00000000-0005-0000-0000-0000EF010000}"/>
    <cellStyle name="20% - 강조색5 2 2 2 9" xfId="451" xr:uid="{00000000-0005-0000-0000-0000F0010000}"/>
    <cellStyle name="20% - 강조색5 2 2 3" xfId="452" xr:uid="{00000000-0005-0000-0000-0000F1010000}"/>
    <cellStyle name="20% - 강조색5 2 2 3 2" xfId="453" xr:uid="{00000000-0005-0000-0000-0000F2010000}"/>
    <cellStyle name="20% - 강조색5 2 2 4" xfId="454" xr:uid="{00000000-0005-0000-0000-0000F3010000}"/>
    <cellStyle name="20% - 강조색5 2 2 5" xfId="455" xr:uid="{00000000-0005-0000-0000-0000F4010000}"/>
    <cellStyle name="20% - 강조색5 2 2 6" xfId="456" xr:uid="{00000000-0005-0000-0000-0000F5010000}"/>
    <cellStyle name="20% - 강조색5 2 2 7" xfId="457" xr:uid="{00000000-0005-0000-0000-0000F6010000}"/>
    <cellStyle name="20% - 강조색5 2 2 8" xfId="458" xr:uid="{00000000-0005-0000-0000-0000F7010000}"/>
    <cellStyle name="20% - 강조색5 2 2 9" xfId="459" xr:uid="{00000000-0005-0000-0000-0000F8010000}"/>
    <cellStyle name="20% - 강조색5 2 20" xfId="460" xr:uid="{00000000-0005-0000-0000-0000F9010000}"/>
    <cellStyle name="20% - 강조색5 2 21" xfId="6900" xr:uid="{00000000-0005-0000-0000-0000FA010000}"/>
    <cellStyle name="20% - 강조색5 2 21 2" xfId="9419" xr:uid="{00000000-0005-0000-0000-0000FB010000}"/>
    <cellStyle name="20% - 강조색5 2 22" xfId="7737" xr:uid="{00000000-0005-0000-0000-0000FC010000}"/>
    <cellStyle name="20% - 강조색5 2 23" xfId="8583" xr:uid="{00000000-0005-0000-0000-0000FD010000}"/>
    <cellStyle name="20% - 강조색5 2 24" xfId="6047" xr:uid="{00000000-0005-0000-0000-0000FE010000}"/>
    <cellStyle name="20% - 강조색5 2 3" xfId="461" xr:uid="{00000000-0005-0000-0000-0000FF010000}"/>
    <cellStyle name="20% - 강조색5 2 3 10" xfId="462" xr:uid="{00000000-0005-0000-0000-000000020000}"/>
    <cellStyle name="20% - 강조색5 2 3 11" xfId="463" xr:uid="{00000000-0005-0000-0000-000001020000}"/>
    <cellStyle name="20% - 강조색5 2 3 12" xfId="464" xr:uid="{00000000-0005-0000-0000-000002020000}"/>
    <cellStyle name="20% - 강조색5 2 3 13" xfId="465" xr:uid="{00000000-0005-0000-0000-000003020000}"/>
    <cellStyle name="20% - 강조색5 2 3 14" xfId="466" xr:uid="{00000000-0005-0000-0000-000004020000}"/>
    <cellStyle name="20% - 강조색5 2 3 15" xfId="467" xr:uid="{00000000-0005-0000-0000-000005020000}"/>
    <cellStyle name="20% - 강조색5 2 3 16" xfId="468" xr:uid="{00000000-0005-0000-0000-000006020000}"/>
    <cellStyle name="20% - 강조색5 2 3 17" xfId="469" xr:uid="{00000000-0005-0000-0000-000007020000}"/>
    <cellStyle name="20% - 강조색5 2 3 2" xfId="470" xr:uid="{00000000-0005-0000-0000-000008020000}"/>
    <cellStyle name="20% - 강조색5 2 3 2 2" xfId="471" xr:uid="{00000000-0005-0000-0000-000009020000}"/>
    <cellStyle name="20% - 강조색5 2 3 3" xfId="472" xr:uid="{00000000-0005-0000-0000-00000A020000}"/>
    <cellStyle name="20% - 강조색5 2 3 4" xfId="473" xr:uid="{00000000-0005-0000-0000-00000B020000}"/>
    <cellStyle name="20% - 강조색5 2 3 5" xfId="474" xr:uid="{00000000-0005-0000-0000-00000C020000}"/>
    <cellStyle name="20% - 강조색5 2 3 6" xfId="475" xr:uid="{00000000-0005-0000-0000-00000D020000}"/>
    <cellStyle name="20% - 강조색5 2 3 7" xfId="476" xr:uid="{00000000-0005-0000-0000-00000E020000}"/>
    <cellStyle name="20% - 강조색5 2 3 8" xfId="477" xr:uid="{00000000-0005-0000-0000-00000F020000}"/>
    <cellStyle name="20% - 강조색5 2 3 9" xfId="478" xr:uid="{00000000-0005-0000-0000-000010020000}"/>
    <cellStyle name="20% - 강조색5 2 4" xfId="479" xr:uid="{00000000-0005-0000-0000-000011020000}"/>
    <cellStyle name="20% - 강조색5 2 4 2" xfId="480" xr:uid="{00000000-0005-0000-0000-000012020000}"/>
    <cellStyle name="20% - 강조색5 2 5" xfId="481" xr:uid="{00000000-0005-0000-0000-000013020000}"/>
    <cellStyle name="20% - 강조색5 2 6" xfId="482" xr:uid="{00000000-0005-0000-0000-000014020000}"/>
    <cellStyle name="20% - 강조색5 2 7" xfId="483" xr:uid="{00000000-0005-0000-0000-000015020000}"/>
    <cellStyle name="20% - 강조색5 2 8" xfId="484" xr:uid="{00000000-0005-0000-0000-000016020000}"/>
    <cellStyle name="20% - 강조색5 2 9" xfId="485" xr:uid="{00000000-0005-0000-0000-000017020000}"/>
    <cellStyle name="20% - 강조색5 3" xfId="486" xr:uid="{00000000-0005-0000-0000-000018020000}"/>
    <cellStyle name="20% - 강조색5 3 2" xfId="487" xr:uid="{00000000-0005-0000-0000-000019020000}"/>
    <cellStyle name="20% - 강조색5 3 3" xfId="6901" xr:uid="{00000000-0005-0000-0000-00001A020000}"/>
    <cellStyle name="20% - 강조색5 3 3 2" xfId="9432" xr:uid="{00000000-0005-0000-0000-00001B020000}"/>
    <cellStyle name="20% - 강조색5 3 4" xfId="7750" xr:uid="{00000000-0005-0000-0000-00001C020000}"/>
    <cellStyle name="20% - 강조색5 3 5" xfId="8584" xr:uid="{00000000-0005-0000-0000-00001D020000}"/>
    <cellStyle name="20% - 강조색5 3 6" xfId="6060" xr:uid="{00000000-0005-0000-0000-00001E020000}"/>
    <cellStyle name="20% - 강조색5 4" xfId="488" xr:uid="{00000000-0005-0000-0000-00001F020000}"/>
    <cellStyle name="20% - 강조색5 4 2" xfId="489" xr:uid="{00000000-0005-0000-0000-000020020000}"/>
    <cellStyle name="20% - 강조색5 4 3" xfId="6902" xr:uid="{00000000-0005-0000-0000-000021020000}"/>
    <cellStyle name="20% - 강조색5 4 3 2" xfId="9445" xr:uid="{00000000-0005-0000-0000-000022020000}"/>
    <cellStyle name="20% - 강조색5 4 4" xfId="7763" xr:uid="{00000000-0005-0000-0000-000023020000}"/>
    <cellStyle name="20% - 강조색5 4 5" xfId="8585" xr:uid="{00000000-0005-0000-0000-000024020000}"/>
    <cellStyle name="20% - 강조색5 4 6" xfId="6073" xr:uid="{00000000-0005-0000-0000-000025020000}"/>
    <cellStyle name="20% - 강조색5 5" xfId="490" xr:uid="{00000000-0005-0000-0000-000026020000}"/>
    <cellStyle name="20% - 강조색5 6" xfId="491" xr:uid="{00000000-0005-0000-0000-000027020000}"/>
    <cellStyle name="20% - 강조색5 7" xfId="492" xr:uid="{00000000-0005-0000-0000-000028020000}"/>
    <cellStyle name="20% - 강조색5 8" xfId="493" xr:uid="{00000000-0005-0000-0000-000029020000}"/>
    <cellStyle name="20% - 강조색5 9" xfId="494" xr:uid="{00000000-0005-0000-0000-00002A020000}"/>
    <cellStyle name="20% - 강조색6" xfId="39" builtinId="50" customBuiltin="1"/>
    <cellStyle name="20% - 강조색6 10" xfId="495" xr:uid="{00000000-0005-0000-0000-00002C020000}"/>
    <cellStyle name="20% - 강조색6 11" xfId="496" xr:uid="{00000000-0005-0000-0000-00002D020000}"/>
    <cellStyle name="20% - 강조색6 12" xfId="497" xr:uid="{00000000-0005-0000-0000-00002E020000}"/>
    <cellStyle name="20% - 강조색6 13" xfId="498" xr:uid="{00000000-0005-0000-0000-00002F020000}"/>
    <cellStyle name="20% - 강조색6 14" xfId="499" xr:uid="{00000000-0005-0000-0000-000030020000}"/>
    <cellStyle name="20% - 강조색6 15" xfId="6884" xr:uid="{00000000-0005-0000-0000-000031020000}"/>
    <cellStyle name="20% - 강조색6 15 2" xfId="9408" xr:uid="{00000000-0005-0000-0000-000032020000}"/>
    <cellStyle name="20% - 강조색6 16" xfId="7726" xr:uid="{00000000-0005-0000-0000-000033020000}"/>
    <cellStyle name="20% - 강조색6 17" xfId="8566" xr:uid="{00000000-0005-0000-0000-000034020000}"/>
    <cellStyle name="20% - 강조색6 18" xfId="6036" xr:uid="{00000000-0005-0000-0000-000035020000}"/>
    <cellStyle name="20% - 강조색6 2" xfId="500" xr:uid="{00000000-0005-0000-0000-000036020000}"/>
    <cellStyle name="20% - 강조색6 2 10" xfId="501" xr:uid="{00000000-0005-0000-0000-000037020000}"/>
    <cellStyle name="20% - 강조색6 2 11" xfId="502" xr:uid="{00000000-0005-0000-0000-000038020000}"/>
    <cellStyle name="20% - 강조색6 2 12" xfId="503" xr:uid="{00000000-0005-0000-0000-000039020000}"/>
    <cellStyle name="20% - 강조색6 2 13" xfId="504" xr:uid="{00000000-0005-0000-0000-00003A020000}"/>
    <cellStyle name="20% - 강조색6 2 14" xfId="505" xr:uid="{00000000-0005-0000-0000-00003B020000}"/>
    <cellStyle name="20% - 강조색6 2 15" xfId="506" xr:uid="{00000000-0005-0000-0000-00003C020000}"/>
    <cellStyle name="20% - 강조색6 2 16" xfId="507" xr:uid="{00000000-0005-0000-0000-00003D020000}"/>
    <cellStyle name="20% - 강조색6 2 17" xfId="508" xr:uid="{00000000-0005-0000-0000-00003E020000}"/>
    <cellStyle name="20% - 강조색6 2 18" xfId="509" xr:uid="{00000000-0005-0000-0000-00003F020000}"/>
    <cellStyle name="20% - 강조색6 2 19" xfId="510" xr:uid="{00000000-0005-0000-0000-000040020000}"/>
    <cellStyle name="20% - 강조색6 2 2" xfId="511" xr:uid="{00000000-0005-0000-0000-000041020000}"/>
    <cellStyle name="20% - 강조색6 2 2 10" xfId="512" xr:uid="{00000000-0005-0000-0000-000042020000}"/>
    <cellStyle name="20% - 강조색6 2 2 11" xfId="513" xr:uid="{00000000-0005-0000-0000-000043020000}"/>
    <cellStyle name="20% - 강조색6 2 2 12" xfId="514" xr:uid="{00000000-0005-0000-0000-000044020000}"/>
    <cellStyle name="20% - 강조색6 2 2 13" xfId="515" xr:uid="{00000000-0005-0000-0000-000045020000}"/>
    <cellStyle name="20% - 강조색6 2 2 14" xfId="516" xr:uid="{00000000-0005-0000-0000-000046020000}"/>
    <cellStyle name="20% - 강조색6 2 2 15" xfId="517" xr:uid="{00000000-0005-0000-0000-000047020000}"/>
    <cellStyle name="20% - 강조색6 2 2 16" xfId="518" xr:uid="{00000000-0005-0000-0000-000048020000}"/>
    <cellStyle name="20% - 강조색6 2 2 17" xfId="519" xr:uid="{00000000-0005-0000-0000-000049020000}"/>
    <cellStyle name="20% - 강조색6 2 2 18" xfId="520" xr:uid="{00000000-0005-0000-0000-00004A020000}"/>
    <cellStyle name="20% - 강조색6 2 2 2" xfId="521" xr:uid="{00000000-0005-0000-0000-00004B020000}"/>
    <cellStyle name="20% - 강조색6 2 2 2 10" xfId="522" xr:uid="{00000000-0005-0000-0000-00004C020000}"/>
    <cellStyle name="20% - 강조색6 2 2 2 11" xfId="523" xr:uid="{00000000-0005-0000-0000-00004D020000}"/>
    <cellStyle name="20% - 강조색6 2 2 2 12" xfId="524" xr:uid="{00000000-0005-0000-0000-00004E020000}"/>
    <cellStyle name="20% - 강조색6 2 2 2 13" xfId="525" xr:uid="{00000000-0005-0000-0000-00004F020000}"/>
    <cellStyle name="20% - 강조색6 2 2 2 14" xfId="526" xr:uid="{00000000-0005-0000-0000-000050020000}"/>
    <cellStyle name="20% - 강조색6 2 2 2 15" xfId="527" xr:uid="{00000000-0005-0000-0000-000051020000}"/>
    <cellStyle name="20% - 강조색6 2 2 2 16" xfId="528" xr:uid="{00000000-0005-0000-0000-000052020000}"/>
    <cellStyle name="20% - 강조색6 2 2 2 17" xfId="529" xr:uid="{00000000-0005-0000-0000-000053020000}"/>
    <cellStyle name="20% - 강조색6 2 2 2 2" xfId="530" xr:uid="{00000000-0005-0000-0000-000054020000}"/>
    <cellStyle name="20% - 강조색6 2 2 2 2 2" xfId="531" xr:uid="{00000000-0005-0000-0000-000055020000}"/>
    <cellStyle name="20% - 강조색6 2 2 2 3" xfId="532" xr:uid="{00000000-0005-0000-0000-000056020000}"/>
    <cellStyle name="20% - 강조색6 2 2 2 4" xfId="533" xr:uid="{00000000-0005-0000-0000-000057020000}"/>
    <cellStyle name="20% - 강조색6 2 2 2 5" xfId="534" xr:uid="{00000000-0005-0000-0000-000058020000}"/>
    <cellStyle name="20% - 강조색6 2 2 2 6" xfId="535" xr:uid="{00000000-0005-0000-0000-000059020000}"/>
    <cellStyle name="20% - 강조색6 2 2 2 7" xfId="536" xr:uid="{00000000-0005-0000-0000-00005A020000}"/>
    <cellStyle name="20% - 강조색6 2 2 2 8" xfId="537" xr:uid="{00000000-0005-0000-0000-00005B020000}"/>
    <cellStyle name="20% - 강조색6 2 2 2 9" xfId="538" xr:uid="{00000000-0005-0000-0000-00005C020000}"/>
    <cellStyle name="20% - 강조색6 2 2 3" xfId="539" xr:uid="{00000000-0005-0000-0000-00005D020000}"/>
    <cellStyle name="20% - 강조색6 2 2 3 2" xfId="540" xr:uid="{00000000-0005-0000-0000-00005E020000}"/>
    <cellStyle name="20% - 강조색6 2 2 4" xfId="541" xr:uid="{00000000-0005-0000-0000-00005F020000}"/>
    <cellStyle name="20% - 강조색6 2 2 5" xfId="542" xr:uid="{00000000-0005-0000-0000-000060020000}"/>
    <cellStyle name="20% - 강조색6 2 2 6" xfId="543" xr:uid="{00000000-0005-0000-0000-000061020000}"/>
    <cellStyle name="20% - 강조색6 2 2 7" xfId="544" xr:uid="{00000000-0005-0000-0000-000062020000}"/>
    <cellStyle name="20% - 강조색6 2 2 8" xfId="545" xr:uid="{00000000-0005-0000-0000-000063020000}"/>
    <cellStyle name="20% - 강조색6 2 2 9" xfId="546" xr:uid="{00000000-0005-0000-0000-000064020000}"/>
    <cellStyle name="20% - 강조색6 2 20" xfId="547" xr:uid="{00000000-0005-0000-0000-000065020000}"/>
    <cellStyle name="20% - 강조색6 2 21" xfId="6903" xr:uid="{00000000-0005-0000-0000-000066020000}"/>
    <cellStyle name="20% - 강조색6 2 21 2" xfId="9421" xr:uid="{00000000-0005-0000-0000-000067020000}"/>
    <cellStyle name="20% - 강조색6 2 22" xfId="7739" xr:uid="{00000000-0005-0000-0000-000068020000}"/>
    <cellStyle name="20% - 강조색6 2 23" xfId="8586" xr:uid="{00000000-0005-0000-0000-000069020000}"/>
    <cellStyle name="20% - 강조색6 2 24" xfId="6049" xr:uid="{00000000-0005-0000-0000-00006A020000}"/>
    <cellStyle name="20% - 강조색6 2 3" xfId="548" xr:uid="{00000000-0005-0000-0000-00006B020000}"/>
    <cellStyle name="20% - 강조색6 2 3 10" xfId="549" xr:uid="{00000000-0005-0000-0000-00006C020000}"/>
    <cellStyle name="20% - 강조색6 2 3 11" xfId="550" xr:uid="{00000000-0005-0000-0000-00006D020000}"/>
    <cellStyle name="20% - 강조색6 2 3 12" xfId="551" xr:uid="{00000000-0005-0000-0000-00006E020000}"/>
    <cellStyle name="20% - 강조색6 2 3 13" xfId="552" xr:uid="{00000000-0005-0000-0000-00006F020000}"/>
    <cellStyle name="20% - 강조색6 2 3 14" xfId="553" xr:uid="{00000000-0005-0000-0000-000070020000}"/>
    <cellStyle name="20% - 강조색6 2 3 15" xfId="554" xr:uid="{00000000-0005-0000-0000-000071020000}"/>
    <cellStyle name="20% - 강조색6 2 3 16" xfId="555" xr:uid="{00000000-0005-0000-0000-000072020000}"/>
    <cellStyle name="20% - 강조색6 2 3 17" xfId="556" xr:uid="{00000000-0005-0000-0000-000073020000}"/>
    <cellStyle name="20% - 강조색6 2 3 2" xfId="557" xr:uid="{00000000-0005-0000-0000-000074020000}"/>
    <cellStyle name="20% - 강조색6 2 3 2 2" xfId="558" xr:uid="{00000000-0005-0000-0000-000075020000}"/>
    <cellStyle name="20% - 강조색6 2 3 3" xfId="559" xr:uid="{00000000-0005-0000-0000-000076020000}"/>
    <cellStyle name="20% - 강조색6 2 3 4" xfId="560" xr:uid="{00000000-0005-0000-0000-000077020000}"/>
    <cellStyle name="20% - 강조색6 2 3 5" xfId="561" xr:uid="{00000000-0005-0000-0000-000078020000}"/>
    <cellStyle name="20% - 강조색6 2 3 6" xfId="562" xr:uid="{00000000-0005-0000-0000-000079020000}"/>
    <cellStyle name="20% - 강조색6 2 3 7" xfId="563" xr:uid="{00000000-0005-0000-0000-00007A020000}"/>
    <cellStyle name="20% - 강조색6 2 3 8" xfId="564" xr:uid="{00000000-0005-0000-0000-00007B020000}"/>
    <cellStyle name="20% - 강조색6 2 3 9" xfId="565" xr:uid="{00000000-0005-0000-0000-00007C020000}"/>
    <cellStyle name="20% - 강조색6 2 4" xfId="566" xr:uid="{00000000-0005-0000-0000-00007D020000}"/>
    <cellStyle name="20% - 강조색6 2 4 2" xfId="567" xr:uid="{00000000-0005-0000-0000-00007E020000}"/>
    <cellStyle name="20% - 강조색6 2 5" xfId="568" xr:uid="{00000000-0005-0000-0000-00007F020000}"/>
    <cellStyle name="20% - 강조색6 2 6" xfId="569" xr:uid="{00000000-0005-0000-0000-000080020000}"/>
    <cellStyle name="20% - 강조색6 2 7" xfId="570" xr:uid="{00000000-0005-0000-0000-000081020000}"/>
    <cellStyle name="20% - 강조색6 2 8" xfId="571" xr:uid="{00000000-0005-0000-0000-000082020000}"/>
    <cellStyle name="20% - 강조색6 2 9" xfId="572" xr:uid="{00000000-0005-0000-0000-000083020000}"/>
    <cellStyle name="20% - 강조색6 3" xfId="573" xr:uid="{00000000-0005-0000-0000-000084020000}"/>
    <cellStyle name="20% - 강조색6 3 2" xfId="574" xr:uid="{00000000-0005-0000-0000-000085020000}"/>
    <cellStyle name="20% - 강조색6 3 3" xfId="6904" xr:uid="{00000000-0005-0000-0000-000086020000}"/>
    <cellStyle name="20% - 강조색6 3 3 2" xfId="9434" xr:uid="{00000000-0005-0000-0000-000087020000}"/>
    <cellStyle name="20% - 강조색6 3 4" xfId="7752" xr:uid="{00000000-0005-0000-0000-000088020000}"/>
    <cellStyle name="20% - 강조색6 3 5" xfId="8587" xr:uid="{00000000-0005-0000-0000-000089020000}"/>
    <cellStyle name="20% - 강조색6 3 6" xfId="6062" xr:uid="{00000000-0005-0000-0000-00008A020000}"/>
    <cellStyle name="20% - 강조색6 4" xfId="575" xr:uid="{00000000-0005-0000-0000-00008B020000}"/>
    <cellStyle name="20% - 강조색6 4 2" xfId="576" xr:uid="{00000000-0005-0000-0000-00008C020000}"/>
    <cellStyle name="20% - 강조색6 4 3" xfId="6905" xr:uid="{00000000-0005-0000-0000-00008D020000}"/>
    <cellStyle name="20% - 강조색6 4 3 2" xfId="9447" xr:uid="{00000000-0005-0000-0000-00008E020000}"/>
    <cellStyle name="20% - 강조색6 4 4" xfId="7765" xr:uid="{00000000-0005-0000-0000-00008F020000}"/>
    <cellStyle name="20% - 강조색6 4 5" xfId="8588" xr:uid="{00000000-0005-0000-0000-000090020000}"/>
    <cellStyle name="20% - 강조색6 4 6" xfId="6075" xr:uid="{00000000-0005-0000-0000-000091020000}"/>
    <cellStyle name="20% - 강조색6 5" xfId="577" xr:uid="{00000000-0005-0000-0000-000092020000}"/>
    <cellStyle name="20% - 강조색6 6" xfId="578" xr:uid="{00000000-0005-0000-0000-000093020000}"/>
    <cellStyle name="20% - 강조색6 7" xfId="579" xr:uid="{00000000-0005-0000-0000-000094020000}"/>
    <cellStyle name="20% - 강조색6 8" xfId="580" xr:uid="{00000000-0005-0000-0000-000095020000}"/>
    <cellStyle name="20% - 강조색6 9" xfId="581" xr:uid="{00000000-0005-0000-0000-000096020000}"/>
    <cellStyle name="40% - 강조색1" xfId="20" builtinId="31" customBuiltin="1"/>
    <cellStyle name="40% - 강조색1 10" xfId="582" xr:uid="{00000000-0005-0000-0000-000098020000}"/>
    <cellStyle name="40% - 강조색1 11" xfId="583" xr:uid="{00000000-0005-0000-0000-000099020000}"/>
    <cellStyle name="40% - 강조색1 12" xfId="584" xr:uid="{00000000-0005-0000-0000-00009A020000}"/>
    <cellStyle name="40% - 강조색1 13" xfId="585" xr:uid="{00000000-0005-0000-0000-00009B020000}"/>
    <cellStyle name="40% - 강조색1 14" xfId="586" xr:uid="{00000000-0005-0000-0000-00009C020000}"/>
    <cellStyle name="40% - 강조색1 15" xfId="6875" xr:uid="{00000000-0005-0000-0000-00009D020000}"/>
    <cellStyle name="40% - 강조색1 15 2" xfId="9399" xr:uid="{00000000-0005-0000-0000-00009E020000}"/>
    <cellStyle name="40% - 강조색1 16" xfId="7717" xr:uid="{00000000-0005-0000-0000-00009F020000}"/>
    <cellStyle name="40% - 강조색1 17" xfId="8557" xr:uid="{00000000-0005-0000-0000-0000A0020000}"/>
    <cellStyle name="40% - 강조색1 18" xfId="6027" xr:uid="{00000000-0005-0000-0000-0000A1020000}"/>
    <cellStyle name="40% - 강조색1 2" xfId="587" xr:uid="{00000000-0005-0000-0000-0000A2020000}"/>
    <cellStyle name="40% - 강조색1 2 10" xfId="588" xr:uid="{00000000-0005-0000-0000-0000A3020000}"/>
    <cellStyle name="40% - 강조색1 2 11" xfId="589" xr:uid="{00000000-0005-0000-0000-0000A4020000}"/>
    <cellStyle name="40% - 강조색1 2 12" xfId="590" xr:uid="{00000000-0005-0000-0000-0000A5020000}"/>
    <cellStyle name="40% - 강조색1 2 13" xfId="591" xr:uid="{00000000-0005-0000-0000-0000A6020000}"/>
    <cellStyle name="40% - 강조색1 2 14" xfId="592" xr:uid="{00000000-0005-0000-0000-0000A7020000}"/>
    <cellStyle name="40% - 강조색1 2 15" xfId="593" xr:uid="{00000000-0005-0000-0000-0000A8020000}"/>
    <cellStyle name="40% - 강조색1 2 16" xfId="594" xr:uid="{00000000-0005-0000-0000-0000A9020000}"/>
    <cellStyle name="40% - 강조색1 2 17" xfId="595" xr:uid="{00000000-0005-0000-0000-0000AA020000}"/>
    <cellStyle name="40% - 강조색1 2 18" xfId="596" xr:uid="{00000000-0005-0000-0000-0000AB020000}"/>
    <cellStyle name="40% - 강조색1 2 19" xfId="597" xr:uid="{00000000-0005-0000-0000-0000AC020000}"/>
    <cellStyle name="40% - 강조색1 2 2" xfId="598" xr:uid="{00000000-0005-0000-0000-0000AD020000}"/>
    <cellStyle name="40% - 강조색1 2 2 10" xfId="599" xr:uid="{00000000-0005-0000-0000-0000AE020000}"/>
    <cellStyle name="40% - 강조색1 2 2 11" xfId="600" xr:uid="{00000000-0005-0000-0000-0000AF020000}"/>
    <cellStyle name="40% - 강조색1 2 2 12" xfId="601" xr:uid="{00000000-0005-0000-0000-0000B0020000}"/>
    <cellStyle name="40% - 강조색1 2 2 13" xfId="602" xr:uid="{00000000-0005-0000-0000-0000B1020000}"/>
    <cellStyle name="40% - 강조색1 2 2 14" xfId="603" xr:uid="{00000000-0005-0000-0000-0000B2020000}"/>
    <cellStyle name="40% - 강조색1 2 2 15" xfId="604" xr:uid="{00000000-0005-0000-0000-0000B3020000}"/>
    <cellStyle name="40% - 강조색1 2 2 16" xfId="605" xr:uid="{00000000-0005-0000-0000-0000B4020000}"/>
    <cellStyle name="40% - 강조색1 2 2 17" xfId="606" xr:uid="{00000000-0005-0000-0000-0000B5020000}"/>
    <cellStyle name="40% - 강조색1 2 2 18" xfId="607" xr:uid="{00000000-0005-0000-0000-0000B6020000}"/>
    <cellStyle name="40% - 강조색1 2 2 2" xfId="608" xr:uid="{00000000-0005-0000-0000-0000B7020000}"/>
    <cellStyle name="40% - 강조색1 2 2 2 10" xfId="609" xr:uid="{00000000-0005-0000-0000-0000B8020000}"/>
    <cellStyle name="40% - 강조색1 2 2 2 11" xfId="610" xr:uid="{00000000-0005-0000-0000-0000B9020000}"/>
    <cellStyle name="40% - 강조색1 2 2 2 12" xfId="611" xr:uid="{00000000-0005-0000-0000-0000BA020000}"/>
    <cellStyle name="40% - 강조색1 2 2 2 13" xfId="612" xr:uid="{00000000-0005-0000-0000-0000BB020000}"/>
    <cellStyle name="40% - 강조색1 2 2 2 14" xfId="613" xr:uid="{00000000-0005-0000-0000-0000BC020000}"/>
    <cellStyle name="40% - 강조색1 2 2 2 15" xfId="614" xr:uid="{00000000-0005-0000-0000-0000BD020000}"/>
    <cellStyle name="40% - 강조색1 2 2 2 16" xfId="615" xr:uid="{00000000-0005-0000-0000-0000BE020000}"/>
    <cellStyle name="40% - 강조색1 2 2 2 17" xfId="616" xr:uid="{00000000-0005-0000-0000-0000BF020000}"/>
    <cellStyle name="40% - 강조색1 2 2 2 2" xfId="617" xr:uid="{00000000-0005-0000-0000-0000C0020000}"/>
    <cellStyle name="40% - 강조색1 2 2 2 2 2" xfId="618" xr:uid="{00000000-0005-0000-0000-0000C1020000}"/>
    <cellStyle name="40% - 강조색1 2 2 2 3" xfId="619" xr:uid="{00000000-0005-0000-0000-0000C2020000}"/>
    <cellStyle name="40% - 강조색1 2 2 2 4" xfId="620" xr:uid="{00000000-0005-0000-0000-0000C3020000}"/>
    <cellStyle name="40% - 강조색1 2 2 2 5" xfId="621" xr:uid="{00000000-0005-0000-0000-0000C4020000}"/>
    <cellStyle name="40% - 강조색1 2 2 2 6" xfId="622" xr:uid="{00000000-0005-0000-0000-0000C5020000}"/>
    <cellStyle name="40% - 강조색1 2 2 2 7" xfId="623" xr:uid="{00000000-0005-0000-0000-0000C6020000}"/>
    <cellStyle name="40% - 강조색1 2 2 2 8" xfId="624" xr:uid="{00000000-0005-0000-0000-0000C7020000}"/>
    <cellStyle name="40% - 강조색1 2 2 2 9" xfId="625" xr:uid="{00000000-0005-0000-0000-0000C8020000}"/>
    <cellStyle name="40% - 강조색1 2 2 3" xfId="626" xr:uid="{00000000-0005-0000-0000-0000C9020000}"/>
    <cellStyle name="40% - 강조색1 2 2 3 2" xfId="627" xr:uid="{00000000-0005-0000-0000-0000CA020000}"/>
    <cellStyle name="40% - 강조색1 2 2 4" xfId="628" xr:uid="{00000000-0005-0000-0000-0000CB020000}"/>
    <cellStyle name="40% - 강조색1 2 2 5" xfId="629" xr:uid="{00000000-0005-0000-0000-0000CC020000}"/>
    <cellStyle name="40% - 강조색1 2 2 6" xfId="630" xr:uid="{00000000-0005-0000-0000-0000CD020000}"/>
    <cellStyle name="40% - 강조색1 2 2 7" xfId="631" xr:uid="{00000000-0005-0000-0000-0000CE020000}"/>
    <cellStyle name="40% - 강조색1 2 2 8" xfId="632" xr:uid="{00000000-0005-0000-0000-0000CF020000}"/>
    <cellStyle name="40% - 강조색1 2 2 9" xfId="633" xr:uid="{00000000-0005-0000-0000-0000D0020000}"/>
    <cellStyle name="40% - 강조색1 2 20" xfId="634" xr:uid="{00000000-0005-0000-0000-0000D1020000}"/>
    <cellStyle name="40% - 강조색1 2 21" xfId="6906" xr:uid="{00000000-0005-0000-0000-0000D2020000}"/>
    <cellStyle name="40% - 강조색1 2 21 2" xfId="9412" xr:uid="{00000000-0005-0000-0000-0000D3020000}"/>
    <cellStyle name="40% - 강조색1 2 22" xfId="7730" xr:uid="{00000000-0005-0000-0000-0000D4020000}"/>
    <cellStyle name="40% - 강조색1 2 23" xfId="8589" xr:uid="{00000000-0005-0000-0000-0000D5020000}"/>
    <cellStyle name="40% - 강조색1 2 24" xfId="6040" xr:uid="{00000000-0005-0000-0000-0000D6020000}"/>
    <cellStyle name="40% - 강조색1 2 3" xfId="635" xr:uid="{00000000-0005-0000-0000-0000D7020000}"/>
    <cellStyle name="40% - 강조색1 2 3 10" xfId="636" xr:uid="{00000000-0005-0000-0000-0000D8020000}"/>
    <cellStyle name="40% - 강조색1 2 3 11" xfId="637" xr:uid="{00000000-0005-0000-0000-0000D9020000}"/>
    <cellStyle name="40% - 강조색1 2 3 12" xfId="638" xr:uid="{00000000-0005-0000-0000-0000DA020000}"/>
    <cellStyle name="40% - 강조색1 2 3 13" xfId="639" xr:uid="{00000000-0005-0000-0000-0000DB020000}"/>
    <cellStyle name="40% - 강조색1 2 3 14" xfId="640" xr:uid="{00000000-0005-0000-0000-0000DC020000}"/>
    <cellStyle name="40% - 강조색1 2 3 15" xfId="641" xr:uid="{00000000-0005-0000-0000-0000DD020000}"/>
    <cellStyle name="40% - 강조색1 2 3 16" xfId="642" xr:uid="{00000000-0005-0000-0000-0000DE020000}"/>
    <cellStyle name="40% - 강조색1 2 3 17" xfId="643" xr:uid="{00000000-0005-0000-0000-0000DF020000}"/>
    <cellStyle name="40% - 강조색1 2 3 2" xfId="644" xr:uid="{00000000-0005-0000-0000-0000E0020000}"/>
    <cellStyle name="40% - 강조색1 2 3 2 2" xfId="645" xr:uid="{00000000-0005-0000-0000-0000E1020000}"/>
    <cellStyle name="40% - 강조색1 2 3 3" xfId="646" xr:uid="{00000000-0005-0000-0000-0000E2020000}"/>
    <cellStyle name="40% - 강조색1 2 3 4" xfId="647" xr:uid="{00000000-0005-0000-0000-0000E3020000}"/>
    <cellStyle name="40% - 강조색1 2 3 5" xfId="648" xr:uid="{00000000-0005-0000-0000-0000E4020000}"/>
    <cellStyle name="40% - 강조색1 2 3 6" xfId="649" xr:uid="{00000000-0005-0000-0000-0000E5020000}"/>
    <cellStyle name="40% - 강조색1 2 3 7" xfId="650" xr:uid="{00000000-0005-0000-0000-0000E6020000}"/>
    <cellStyle name="40% - 강조색1 2 3 8" xfId="651" xr:uid="{00000000-0005-0000-0000-0000E7020000}"/>
    <cellStyle name="40% - 강조색1 2 3 9" xfId="652" xr:uid="{00000000-0005-0000-0000-0000E8020000}"/>
    <cellStyle name="40% - 강조색1 2 4" xfId="653" xr:uid="{00000000-0005-0000-0000-0000E9020000}"/>
    <cellStyle name="40% - 강조색1 2 4 2" xfId="654" xr:uid="{00000000-0005-0000-0000-0000EA020000}"/>
    <cellStyle name="40% - 강조색1 2 5" xfId="655" xr:uid="{00000000-0005-0000-0000-0000EB020000}"/>
    <cellStyle name="40% - 강조색1 2 6" xfId="656" xr:uid="{00000000-0005-0000-0000-0000EC020000}"/>
    <cellStyle name="40% - 강조색1 2 7" xfId="657" xr:uid="{00000000-0005-0000-0000-0000ED020000}"/>
    <cellStyle name="40% - 강조색1 2 8" xfId="658" xr:uid="{00000000-0005-0000-0000-0000EE020000}"/>
    <cellStyle name="40% - 강조색1 2 9" xfId="659" xr:uid="{00000000-0005-0000-0000-0000EF020000}"/>
    <cellStyle name="40% - 강조색1 3" xfId="660" xr:uid="{00000000-0005-0000-0000-0000F0020000}"/>
    <cellStyle name="40% - 강조색1 3 2" xfId="661" xr:uid="{00000000-0005-0000-0000-0000F1020000}"/>
    <cellStyle name="40% - 강조색1 3 3" xfId="6907" xr:uid="{00000000-0005-0000-0000-0000F2020000}"/>
    <cellStyle name="40% - 강조색1 3 3 2" xfId="9425" xr:uid="{00000000-0005-0000-0000-0000F3020000}"/>
    <cellStyle name="40% - 강조색1 3 4" xfId="7743" xr:uid="{00000000-0005-0000-0000-0000F4020000}"/>
    <cellStyle name="40% - 강조색1 3 5" xfId="8590" xr:uid="{00000000-0005-0000-0000-0000F5020000}"/>
    <cellStyle name="40% - 강조색1 3 6" xfId="6053" xr:uid="{00000000-0005-0000-0000-0000F6020000}"/>
    <cellStyle name="40% - 강조색1 4" xfId="662" xr:uid="{00000000-0005-0000-0000-0000F7020000}"/>
    <cellStyle name="40% - 강조색1 4 2" xfId="663" xr:uid="{00000000-0005-0000-0000-0000F8020000}"/>
    <cellStyle name="40% - 강조색1 4 3" xfId="6908" xr:uid="{00000000-0005-0000-0000-0000F9020000}"/>
    <cellStyle name="40% - 강조색1 4 3 2" xfId="9438" xr:uid="{00000000-0005-0000-0000-0000FA020000}"/>
    <cellStyle name="40% - 강조색1 4 4" xfId="7756" xr:uid="{00000000-0005-0000-0000-0000FB020000}"/>
    <cellStyle name="40% - 강조색1 4 5" xfId="8591" xr:uid="{00000000-0005-0000-0000-0000FC020000}"/>
    <cellStyle name="40% - 강조색1 4 6" xfId="6066" xr:uid="{00000000-0005-0000-0000-0000FD020000}"/>
    <cellStyle name="40% - 강조색1 5" xfId="664" xr:uid="{00000000-0005-0000-0000-0000FE020000}"/>
    <cellStyle name="40% - 강조색1 6" xfId="665" xr:uid="{00000000-0005-0000-0000-0000FF020000}"/>
    <cellStyle name="40% - 강조색1 7" xfId="666" xr:uid="{00000000-0005-0000-0000-000000030000}"/>
    <cellStyle name="40% - 강조색1 8" xfId="667" xr:uid="{00000000-0005-0000-0000-000001030000}"/>
    <cellStyle name="40% - 강조색1 9" xfId="668" xr:uid="{00000000-0005-0000-0000-000002030000}"/>
    <cellStyle name="40% - 강조색2" xfId="24" builtinId="35" customBuiltin="1"/>
    <cellStyle name="40% - 강조색2 10" xfId="669" xr:uid="{00000000-0005-0000-0000-000004030000}"/>
    <cellStyle name="40% - 강조색2 11" xfId="670" xr:uid="{00000000-0005-0000-0000-000005030000}"/>
    <cellStyle name="40% - 강조색2 12" xfId="671" xr:uid="{00000000-0005-0000-0000-000006030000}"/>
    <cellStyle name="40% - 강조색2 13" xfId="672" xr:uid="{00000000-0005-0000-0000-000007030000}"/>
    <cellStyle name="40% - 강조색2 14" xfId="673" xr:uid="{00000000-0005-0000-0000-000008030000}"/>
    <cellStyle name="40% - 강조색2 15" xfId="6877" xr:uid="{00000000-0005-0000-0000-000009030000}"/>
    <cellStyle name="40% - 강조색2 15 2" xfId="9401" xr:uid="{00000000-0005-0000-0000-00000A030000}"/>
    <cellStyle name="40% - 강조색2 16" xfId="7719" xr:uid="{00000000-0005-0000-0000-00000B030000}"/>
    <cellStyle name="40% - 강조색2 17" xfId="8559" xr:uid="{00000000-0005-0000-0000-00000C030000}"/>
    <cellStyle name="40% - 강조색2 18" xfId="6029" xr:uid="{00000000-0005-0000-0000-00000D030000}"/>
    <cellStyle name="40% - 강조색2 2" xfId="674" xr:uid="{00000000-0005-0000-0000-00000E030000}"/>
    <cellStyle name="40% - 강조색2 2 10" xfId="675" xr:uid="{00000000-0005-0000-0000-00000F030000}"/>
    <cellStyle name="40% - 강조색2 2 11" xfId="676" xr:uid="{00000000-0005-0000-0000-000010030000}"/>
    <cellStyle name="40% - 강조색2 2 12" xfId="677" xr:uid="{00000000-0005-0000-0000-000011030000}"/>
    <cellStyle name="40% - 강조색2 2 13" xfId="678" xr:uid="{00000000-0005-0000-0000-000012030000}"/>
    <cellStyle name="40% - 강조색2 2 14" xfId="679" xr:uid="{00000000-0005-0000-0000-000013030000}"/>
    <cellStyle name="40% - 강조색2 2 15" xfId="680" xr:uid="{00000000-0005-0000-0000-000014030000}"/>
    <cellStyle name="40% - 강조색2 2 16" xfId="681" xr:uid="{00000000-0005-0000-0000-000015030000}"/>
    <cellStyle name="40% - 강조색2 2 17" xfId="682" xr:uid="{00000000-0005-0000-0000-000016030000}"/>
    <cellStyle name="40% - 강조색2 2 18" xfId="683" xr:uid="{00000000-0005-0000-0000-000017030000}"/>
    <cellStyle name="40% - 강조색2 2 19" xfId="684" xr:uid="{00000000-0005-0000-0000-000018030000}"/>
    <cellStyle name="40% - 강조색2 2 2" xfId="685" xr:uid="{00000000-0005-0000-0000-000019030000}"/>
    <cellStyle name="40% - 강조색2 2 2 10" xfId="686" xr:uid="{00000000-0005-0000-0000-00001A030000}"/>
    <cellStyle name="40% - 강조색2 2 2 11" xfId="687" xr:uid="{00000000-0005-0000-0000-00001B030000}"/>
    <cellStyle name="40% - 강조색2 2 2 12" xfId="688" xr:uid="{00000000-0005-0000-0000-00001C030000}"/>
    <cellStyle name="40% - 강조색2 2 2 13" xfId="689" xr:uid="{00000000-0005-0000-0000-00001D030000}"/>
    <cellStyle name="40% - 강조색2 2 2 14" xfId="690" xr:uid="{00000000-0005-0000-0000-00001E030000}"/>
    <cellStyle name="40% - 강조색2 2 2 15" xfId="691" xr:uid="{00000000-0005-0000-0000-00001F030000}"/>
    <cellStyle name="40% - 강조색2 2 2 16" xfId="692" xr:uid="{00000000-0005-0000-0000-000020030000}"/>
    <cellStyle name="40% - 강조색2 2 2 17" xfId="693" xr:uid="{00000000-0005-0000-0000-000021030000}"/>
    <cellStyle name="40% - 강조색2 2 2 18" xfId="694" xr:uid="{00000000-0005-0000-0000-000022030000}"/>
    <cellStyle name="40% - 강조색2 2 2 2" xfId="695" xr:uid="{00000000-0005-0000-0000-000023030000}"/>
    <cellStyle name="40% - 강조색2 2 2 2 10" xfId="696" xr:uid="{00000000-0005-0000-0000-000024030000}"/>
    <cellStyle name="40% - 강조색2 2 2 2 11" xfId="697" xr:uid="{00000000-0005-0000-0000-000025030000}"/>
    <cellStyle name="40% - 강조색2 2 2 2 12" xfId="698" xr:uid="{00000000-0005-0000-0000-000026030000}"/>
    <cellStyle name="40% - 강조색2 2 2 2 13" xfId="699" xr:uid="{00000000-0005-0000-0000-000027030000}"/>
    <cellStyle name="40% - 강조색2 2 2 2 14" xfId="700" xr:uid="{00000000-0005-0000-0000-000028030000}"/>
    <cellStyle name="40% - 강조색2 2 2 2 15" xfId="701" xr:uid="{00000000-0005-0000-0000-000029030000}"/>
    <cellStyle name="40% - 강조색2 2 2 2 16" xfId="702" xr:uid="{00000000-0005-0000-0000-00002A030000}"/>
    <cellStyle name="40% - 강조색2 2 2 2 17" xfId="703" xr:uid="{00000000-0005-0000-0000-00002B030000}"/>
    <cellStyle name="40% - 강조색2 2 2 2 2" xfId="704" xr:uid="{00000000-0005-0000-0000-00002C030000}"/>
    <cellStyle name="40% - 강조색2 2 2 2 2 2" xfId="705" xr:uid="{00000000-0005-0000-0000-00002D030000}"/>
    <cellStyle name="40% - 강조색2 2 2 2 3" xfId="706" xr:uid="{00000000-0005-0000-0000-00002E030000}"/>
    <cellStyle name="40% - 강조색2 2 2 2 4" xfId="707" xr:uid="{00000000-0005-0000-0000-00002F030000}"/>
    <cellStyle name="40% - 강조색2 2 2 2 5" xfId="708" xr:uid="{00000000-0005-0000-0000-000030030000}"/>
    <cellStyle name="40% - 강조색2 2 2 2 6" xfId="709" xr:uid="{00000000-0005-0000-0000-000031030000}"/>
    <cellStyle name="40% - 강조색2 2 2 2 7" xfId="710" xr:uid="{00000000-0005-0000-0000-000032030000}"/>
    <cellStyle name="40% - 강조색2 2 2 2 8" xfId="711" xr:uid="{00000000-0005-0000-0000-000033030000}"/>
    <cellStyle name="40% - 강조색2 2 2 2 9" xfId="712" xr:uid="{00000000-0005-0000-0000-000034030000}"/>
    <cellStyle name="40% - 강조색2 2 2 3" xfId="713" xr:uid="{00000000-0005-0000-0000-000035030000}"/>
    <cellStyle name="40% - 강조색2 2 2 3 2" xfId="714" xr:uid="{00000000-0005-0000-0000-000036030000}"/>
    <cellStyle name="40% - 강조색2 2 2 4" xfId="715" xr:uid="{00000000-0005-0000-0000-000037030000}"/>
    <cellStyle name="40% - 강조색2 2 2 5" xfId="716" xr:uid="{00000000-0005-0000-0000-000038030000}"/>
    <cellStyle name="40% - 강조색2 2 2 6" xfId="717" xr:uid="{00000000-0005-0000-0000-000039030000}"/>
    <cellStyle name="40% - 강조색2 2 2 7" xfId="718" xr:uid="{00000000-0005-0000-0000-00003A030000}"/>
    <cellStyle name="40% - 강조색2 2 2 8" xfId="719" xr:uid="{00000000-0005-0000-0000-00003B030000}"/>
    <cellStyle name="40% - 강조색2 2 2 9" xfId="720" xr:uid="{00000000-0005-0000-0000-00003C030000}"/>
    <cellStyle name="40% - 강조색2 2 20" xfId="721" xr:uid="{00000000-0005-0000-0000-00003D030000}"/>
    <cellStyle name="40% - 강조색2 2 21" xfId="6909" xr:uid="{00000000-0005-0000-0000-00003E030000}"/>
    <cellStyle name="40% - 강조색2 2 21 2" xfId="9414" xr:uid="{00000000-0005-0000-0000-00003F030000}"/>
    <cellStyle name="40% - 강조색2 2 22" xfId="7732" xr:uid="{00000000-0005-0000-0000-000040030000}"/>
    <cellStyle name="40% - 강조색2 2 23" xfId="8592" xr:uid="{00000000-0005-0000-0000-000041030000}"/>
    <cellStyle name="40% - 강조색2 2 24" xfId="6042" xr:uid="{00000000-0005-0000-0000-000042030000}"/>
    <cellStyle name="40% - 강조색2 2 3" xfId="722" xr:uid="{00000000-0005-0000-0000-000043030000}"/>
    <cellStyle name="40% - 강조색2 2 3 10" xfId="723" xr:uid="{00000000-0005-0000-0000-000044030000}"/>
    <cellStyle name="40% - 강조색2 2 3 11" xfId="724" xr:uid="{00000000-0005-0000-0000-000045030000}"/>
    <cellStyle name="40% - 강조색2 2 3 12" xfId="725" xr:uid="{00000000-0005-0000-0000-000046030000}"/>
    <cellStyle name="40% - 강조색2 2 3 13" xfId="726" xr:uid="{00000000-0005-0000-0000-000047030000}"/>
    <cellStyle name="40% - 강조색2 2 3 14" xfId="727" xr:uid="{00000000-0005-0000-0000-000048030000}"/>
    <cellStyle name="40% - 강조색2 2 3 15" xfId="728" xr:uid="{00000000-0005-0000-0000-000049030000}"/>
    <cellStyle name="40% - 강조색2 2 3 16" xfId="729" xr:uid="{00000000-0005-0000-0000-00004A030000}"/>
    <cellStyle name="40% - 강조색2 2 3 17" xfId="730" xr:uid="{00000000-0005-0000-0000-00004B030000}"/>
    <cellStyle name="40% - 강조색2 2 3 2" xfId="731" xr:uid="{00000000-0005-0000-0000-00004C030000}"/>
    <cellStyle name="40% - 강조색2 2 3 2 2" xfId="732" xr:uid="{00000000-0005-0000-0000-00004D030000}"/>
    <cellStyle name="40% - 강조색2 2 3 3" xfId="733" xr:uid="{00000000-0005-0000-0000-00004E030000}"/>
    <cellStyle name="40% - 강조색2 2 3 4" xfId="734" xr:uid="{00000000-0005-0000-0000-00004F030000}"/>
    <cellStyle name="40% - 강조색2 2 3 5" xfId="735" xr:uid="{00000000-0005-0000-0000-000050030000}"/>
    <cellStyle name="40% - 강조색2 2 3 6" xfId="736" xr:uid="{00000000-0005-0000-0000-000051030000}"/>
    <cellStyle name="40% - 강조색2 2 3 7" xfId="737" xr:uid="{00000000-0005-0000-0000-000052030000}"/>
    <cellStyle name="40% - 강조색2 2 3 8" xfId="738" xr:uid="{00000000-0005-0000-0000-000053030000}"/>
    <cellStyle name="40% - 강조색2 2 3 9" xfId="739" xr:uid="{00000000-0005-0000-0000-000054030000}"/>
    <cellStyle name="40% - 강조색2 2 4" xfId="740" xr:uid="{00000000-0005-0000-0000-000055030000}"/>
    <cellStyle name="40% - 강조색2 2 4 2" xfId="741" xr:uid="{00000000-0005-0000-0000-000056030000}"/>
    <cellStyle name="40% - 강조색2 2 5" xfId="742" xr:uid="{00000000-0005-0000-0000-000057030000}"/>
    <cellStyle name="40% - 강조색2 2 6" xfId="743" xr:uid="{00000000-0005-0000-0000-000058030000}"/>
    <cellStyle name="40% - 강조색2 2 7" xfId="744" xr:uid="{00000000-0005-0000-0000-000059030000}"/>
    <cellStyle name="40% - 강조색2 2 8" xfId="745" xr:uid="{00000000-0005-0000-0000-00005A030000}"/>
    <cellStyle name="40% - 강조색2 2 9" xfId="746" xr:uid="{00000000-0005-0000-0000-00005B030000}"/>
    <cellStyle name="40% - 강조색2 3" xfId="747" xr:uid="{00000000-0005-0000-0000-00005C030000}"/>
    <cellStyle name="40% - 강조색2 3 2" xfId="748" xr:uid="{00000000-0005-0000-0000-00005D030000}"/>
    <cellStyle name="40% - 강조색2 3 3" xfId="6910" xr:uid="{00000000-0005-0000-0000-00005E030000}"/>
    <cellStyle name="40% - 강조색2 3 3 2" xfId="9427" xr:uid="{00000000-0005-0000-0000-00005F030000}"/>
    <cellStyle name="40% - 강조색2 3 4" xfId="7745" xr:uid="{00000000-0005-0000-0000-000060030000}"/>
    <cellStyle name="40% - 강조색2 3 5" xfId="8593" xr:uid="{00000000-0005-0000-0000-000061030000}"/>
    <cellStyle name="40% - 강조색2 3 6" xfId="6055" xr:uid="{00000000-0005-0000-0000-000062030000}"/>
    <cellStyle name="40% - 강조색2 4" xfId="749" xr:uid="{00000000-0005-0000-0000-000063030000}"/>
    <cellStyle name="40% - 강조색2 4 2" xfId="750" xr:uid="{00000000-0005-0000-0000-000064030000}"/>
    <cellStyle name="40% - 강조색2 4 3" xfId="6911" xr:uid="{00000000-0005-0000-0000-000065030000}"/>
    <cellStyle name="40% - 강조색2 4 3 2" xfId="9440" xr:uid="{00000000-0005-0000-0000-000066030000}"/>
    <cellStyle name="40% - 강조색2 4 4" xfId="7758" xr:uid="{00000000-0005-0000-0000-000067030000}"/>
    <cellStyle name="40% - 강조색2 4 5" xfId="8594" xr:uid="{00000000-0005-0000-0000-000068030000}"/>
    <cellStyle name="40% - 강조색2 4 6" xfId="6068" xr:uid="{00000000-0005-0000-0000-000069030000}"/>
    <cellStyle name="40% - 강조색2 5" xfId="751" xr:uid="{00000000-0005-0000-0000-00006A030000}"/>
    <cellStyle name="40% - 강조색2 6" xfId="752" xr:uid="{00000000-0005-0000-0000-00006B030000}"/>
    <cellStyle name="40% - 강조색2 7" xfId="753" xr:uid="{00000000-0005-0000-0000-00006C030000}"/>
    <cellStyle name="40% - 강조색2 8" xfId="754" xr:uid="{00000000-0005-0000-0000-00006D030000}"/>
    <cellStyle name="40% - 강조색2 9" xfId="755" xr:uid="{00000000-0005-0000-0000-00006E030000}"/>
    <cellStyle name="40% - 강조색3" xfId="28" builtinId="39" customBuiltin="1"/>
    <cellStyle name="40% - 강조색3 10" xfId="756" xr:uid="{00000000-0005-0000-0000-000070030000}"/>
    <cellStyle name="40% - 강조색3 11" xfId="757" xr:uid="{00000000-0005-0000-0000-000071030000}"/>
    <cellStyle name="40% - 강조색3 12" xfId="758" xr:uid="{00000000-0005-0000-0000-000072030000}"/>
    <cellStyle name="40% - 강조색3 13" xfId="759" xr:uid="{00000000-0005-0000-0000-000073030000}"/>
    <cellStyle name="40% - 강조색3 14" xfId="760" xr:uid="{00000000-0005-0000-0000-000074030000}"/>
    <cellStyle name="40% - 강조색3 15" xfId="6879" xr:uid="{00000000-0005-0000-0000-000075030000}"/>
    <cellStyle name="40% - 강조색3 15 2" xfId="9403" xr:uid="{00000000-0005-0000-0000-000076030000}"/>
    <cellStyle name="40% - 강조색3 16" xfId="7721" xr:uid="{00000000-0005-0000-0000-000077030000}"/>
    <cellStyle name="40% - 강조색3 17" xfId="8561" xr:uid="{00000000-0005-0000-0000-000078030000}"/>
    <cellStyle name="40% - 강조색3 18" xfId="6031" xr:uid="{00000000-0005-0000-0000-000079030000}"/>
    <cellStyle name="40% - 강조색3 2" xfId="761" xr:uid="{00000000-0005-0000-0000-00007A030000}"/>
    <cellStyle name="40% - 강조색3 2 10" xfId="762" xr:uid="{00000000-0005-0000-0000-00007B030000}"/>
    <cellStyle name="40% - 강조색3 2 11" xfId="763" xr:uid="{00000000-0005-0000-0000-00007C030000}"/>
    <cellStyle name="40% - 강조색3 2 12" xfId="764" xr:uid="{00000000-0005-0000-0000-00007D030000}"/>
    <cellStyle name="40% - 강조색3 2 13" xfId="765" xr:uid="{00000000-0005-0000-0000-00007E030000}"/>
    <cellStyle name="40% - 강조색3 2 14" xfId="766" xr:uid="{00000000-0005-0000-0000-00007F030000}"/>
    <cellStyle name="40% - 강조색3 2 15" xfId="767" xr:uid="{00000000-0005-0000-0000-000080030000}"/>
    <cellStyle name="40% - 강조색3 2 16" xfId="768" xr:uid="{00000000-0005-0000-0000-000081030000}"/>
    <cellStyle name="40% - 강조색3 2 17" xfId="769" xr:uid="{00000000-0005-0000-0000-000082030000}"/>
    <cellStyle name="40% - 강조색3 2 18" xfId="770" xr:uid="{00000000-0005-0000-0000-000083030000}"/>
    <cellStyle name="40% - 강조색3 2 19" xfId="771" xr:uid="{00000000-0005-0000-0000-000084030000}"/>
    <cellStyle name="40% - 강조색3 2 2" xfId="772" xr:uid="{00000000-0005-0000-0000-000085030000}"/>
    <cellStyle name="40% - 강조색3 2 2 10" xfId="773" xr:uid="{00000000-0005-0000-0000-000086030000}"/>
    <cellStyle name="40% - 강조색3 2 2 11" xfId="774" xr:uid="{00000000-0005-0000-0000-000087030000}"/>
    <cellStyle name="40% - 강조색3 2 2 12" xfId="775" xr:uid="{00000000-0005-0000-0000-000088030000}"/>
    <cellStyle name="40% - 강조색3 2 2 13" xfId="776" xr:uid="{00000000-0005-0000-0000-000089030000}"/>
    <cellStyle name="40% - 강조색3 2 2 14" xfId="777" xr:uid="{00000000-0005-0000-0000-00008A030000}"/>
    <cellStyle name="40% - 강조색3 2 2 15" xfId="778" xr:uid="{00000000-0005-0000-0000-00008B030000}"/>
    <cellStyle name="40% - 강조색3 2 2 16" xfId="779" xr:uid="{00000000-0005-0000-0000-00008C030000}"/>
    <cellStyle name="40% - 강조색3 2 2 17" xfId="780" xr:uid="{00000000-0005-0000-0000-00008D030000}"/>
    <cellStyle name="40% - 강조색3 2 2 18" xfId="781" xr:uid="{00000000-0005-0000-0000-00008E030000}"/>
    <cellStyle name="40% - 강조색3 2 2 2" xfId="782" xr:uid="{00000000-0005-0000-0000-00008F030000}"/>
    <cellStyle name="40% - 강조색3 2 2 2 10" xfId="783" xr:uid="{00000000-0005-0000-0000-000090030000}"/>
    <cellStyle name="40% - 강조색3 2 2 2 11" xfId="784" xr:uid="{00000000-0005-0000-0000-000091030000}"/>
    <cellStyle name="40% - 강조색3 2 2 2 12" xfId="785" xr:uid="{00000000-0005-0000-0000-000092030000}"/>
    <cellStyle name="40% - 강조색3 2 2 2 13" xfId="786" xr:uid="{00000000-0005-0000-0000-000093030000}"/>
    <cellStyle name="40% - 강조색3 2 2 2 14" xfId="787" xr:uid="{00000000-0005-0000-0000-000094030000}"/>
    <cellStyle name="40% - 강조색3 2 2 2 15" xfId="788" xr:uid="{00000000-0005-0000-0000-000095030000}"/>
    <cellStyle name="40% - 강조색3 2 2 2 16" xfId="789" xr:uid="{00000000-0005-0000-0000-000096030000}"/>
    <cellStyle name="40% - 강조색3 2 2 2 17" xfId="790" xr:uid="{00000000-0005-0000-0000-000097030000}"/>
    <cellStyle name="40% - 강조색3 2 2 2 2" xfId="791" xr:uid="{00000000-0005-0000-0000-000098030000}"/>
    <cellStyle name="40% - 강조색3 2 2 2 2 2" xfId="792" xr:uid="{00000000-0005-0000-0000-000099030000}"/>
    <cellStyle name="40% - 강조색3 2 2 2 3" xfId="793" xr:uid="{00000000-0005-0000-0000-00009A030000}"/>
    <cellStyle name="40% - 강조색3 2 2 2 4" xfId="794" xr:uid="{00000000-0005-0000-0000-00009B030000}"/>
    <cellStyle name="40% - 강조색3 2 2 2 5" xfId="795" xr:uid="{00000000-0005-0000-0000-00009C030000}"/>
    <cellStyle name="40% - 강조색3 2 2 2 6" xfId="796" xr:uid="{00000000-0005-0000-0000-00009D030000}"/>
    <cellStyle name="40% - 강조색3 2 2 2 7" xfId="797" xr:uid="{00000000-0005-0000-0000-00009E030000}"/>
    <cellStyle name="40% - 강조색3 2 2 2 8" xfId="798" xr:uid="{00000000-0005-0000-0000-00009F030000}"/>
    <cellStyle name="40% - 강조색3 2 2 2 9" xfId="799" xr:uid="{00000000-0005-0000-0000-0000A0030000}"/>
    <cellStyle name="40% - 강조색3 2 2 3" xfId="800" xr:uid="{00000000-0005-0000-0000-0000A1030000}"/>
    <cellStyle name="40% - 강조색3 2 2 3 2" xfId="801" xr:uid="{00000000-0005-0000-0000-0000A2030000}"/>
    <cellStyle name="40% - 강조색3 2 2 4" xfId="802" xr:uid="{00000000-0005-0000-0000-0000A3030000}"/>
    <cellStyle name="40% - 강조색3 2 2 5" xfId="803" xr:uid="{00000000-0005-0000-0000-0000A4030000}"/>
    <cellStyle name="40% - 강조색3 2 2 6" xfId="804" xr:uid="{00000000-0005-0000-0000-0000A5030000}"/>
    <cellStyle name="40% - 강조색3 2 2 7" xfId="805" xr:uid="{00000000-0005-0000-0000-0000A6030000}"/>
    <cellStyle name="40% - 강조색3 2 2 8" xfId="806" xr:uid="{00000000-0005-0000-0000-0000A7030000}"/>
    <cellStyle name="40% - 강조색3 2 2 9" xfId="807" xr:uid="{00000000-0005-0000-0000-0000A8030000}"/>
    <cellStyle name="40% - 강조색3 2 20" xfId="808" xr:uid="{00000000-0005-0000-0000-0000A9030000}"/>
    <cellStyle name="40% - 강조색3 2 21" xfId="6912" xr:uid="{00000000-0005-0000-0000-0000AA030000}"/>
    <cellStyle name="40% - 강조색3 2 21 2" xfId="9416" xr:uid="{00000000-0005-0000-0000-0000AB030000}"/>
    <cellStyle name="40% - 강조색3 2 22" xfId="7734" xr:uid="{00000000-0005-0000-0000-0000AC030000}"/>
    <cellStyle name="40% - 강조색3 2 23" xfId="8595" xr:uid="{00000000-0005-0000-0000-0000AD030000}"/>
    <cellStyle name="40% - 강조색3 2 24" xfId="6044" xr:uid="{00000000-0005-0000-0000-0000AE030000}"/>
    <cellStyle name="40% - 강조색3 2 3" xfId="809" xr:uid="{00000000-0005-0000-0000-0000AF030000}"/>
    <cellStyle name="40% - 강조색3 2 3 10" xfId="810" xr:uid="{00000000-0005-0000-0000-0000B0030000}"/>
    <cellStyle name="40% - 강조색3 2 3 11" xfId="811" xr:uid="{00000000-0005-0000-0000-0000B1030000}"/>
    <cellStyle name="40% - 강조색3 2 3 12" xfId="812" xr:uid="{00000000-0005-0000-0000-0000B2030000}"/>
    <cellStyle name="40% - 강조색3 2 3 13" xfId="813" xr:uid="{00000000-0005-0000-0000-0000B3030000}"/>
    <cellStyle name="40% - 강조색3 2 3 14" xfId="814" xr:uid="{00000000-0005-0000-0000-0000B4030000}"/>
    <cellStyle name="40% - 강조색3 2 3 15" xfId="815" xr:uid="{00000000-0005-0000-0000-0000B5030000}"/>
    <cellStyle name="40% - 강조색3 2 3 16" xfId="816" xr:uid="{00000000-0005-0000-0000-0000B6030000}"/>
    <cellStyle name="40% - 강조색3 2 3 17" xfId="817" xr:uid="{00000000-0005-0000-0000-0000B7030000}"/>
    <cellStyle name="40% - 강조색3 2 3 2" xfId="818" xr:uid="{00000000-0005-0000-0000-0000B8030000}"/>
    <cellStyle name="40% - 강조색3 2 3 2 2" xfId="819" xr:uid="{00000000-0005-0000-0000-0000B9030000}"/>
    <cellStyle name="40% - 강조색3 2 3 3" xfId="820" xr:uid="{00000000-0005-0000-0000-0000BA030000}"/>
    <cellStyle name="40% - 강조색3 2 3 4" xfId="821" xr:uid="{00000000-0005-0000-0000-0000BB030000}"/>
    <cellStyle name="40% - 강조색3 2 3 5" xfId="822" xr:uid="{00000000-0005-0000-0000-0000BC030000}"/>
    <cellStyle name="40% - 강조색3 2 3 6" xfId="823" xr:uid="{00000000-0005-0000-0000-0000BD030000}"/>
    <cellStyle name="40% - 강조색3 2 3 7" xfId="824" xr:uid="{00000000-0005-0000-0000-0000BE030000}"/>
    <cellStyle name="40% - 강조색3 2 3 8" xfId="825" xr:uid="{00000000-0005-0000-0000-0000BF030000}"/>
    <cellStyle name="40% - 강조색3 2 3 9" xfId="826" xr:uid="{00000000-0005-0000-0000-0000C0030000}"/>
    <cellStyle name="40% - 강조색3 2 4" xfId="827" xr:uid="{00000000-0005-0000-0000-0000C1030000}"/>
    <cellStyle name="40% - 강조색3 2 4 2" xfId="828" xr:uid="{00000000-0005-0000-0000-0000C2030000}"/>
    <cellStyle name="40% - 강조색3 2 5" xfId="829" xr:uid="{00000000-0005-0000-0000-0000C3030000}"/>
    <cellStyle name="40% - 강조색3 2 6" xfId="830" xr:uid="{00000000-0005-0000-0000-0000C4030000}"/>
    <cellStyle name="40% - 강조색3 2 7" xfId="831" xr:uid="{00000000-0005-0000-0000-0000C5030000}"/>
    <cellStyle name="40% - 강조색3 2 8" xfId="832" xr:uid="{00000000-0005-0000-0000-0000C6030000}"/>
    <cellStyle name="40% - 강조색3 2 9" xfId="833" xr:uid="{00000000-0005-0000-0000-0000C7030000}"/>
    <cellStyle name="40% - 강조색3 3" xfId="834" xr:uid="{00000000-0005-0000-0000-0000C8030000}"/>
    <cellStyle name="40% - 강조색3 3 2" xfId="835" xr:uid="{00000000-0005-0000-0000-0000C9030000}"/>
    <cellStyle name="40% - 강조색3 3 3" xfId="6913" xr:uid="{00000000-0005-0000-0000-0000CA030000}"/>
    <cellStyle name="40% - 강조색3 3 3 2" xfId="9429" xr:uid="{00000000-0005-0000-0000-0000CB030000}"/>
    <cellStyle name="40% - 강조색3 3 4" xfId="7747" xr:uid="{00000000-0005-0000-0000-0000CC030000}"/>
    <cellStyle name="40% - 강조색3 3 5" xfId="8596" xr:uid="{00000000-0005-0000-0000-0000CD030000}"/>
    <cellStyle name="40% - 강조색3 3 6" xfId="6057" xr:uid="{00000000-0005-0000-0000-0000CE030000}"/>
    <cellStyle name="40% - 강조색3 4" xfId="836" xr:uid="{00000000-0005-0000-0000-0000CF030000}"/>
    <cellStyle name="40% - 강조색3 4 2" xfId="837" xr:uid="{00000000-0005-0000-0000-0000D0030000}"/>
    <cellStyle name="40% - 강조색3 4 3" xfId="6914" xr:uid="{00000000-0005-0000-0000-0000D1030000}"/>
    <cellStyle name="40% - 강조색3 4 3 2" xfId="9442" xr:uid="{00000000-0005-0000-0000-0000D2030000}"/>
    <cellStyle name="40% - 강조색3 4 4" xfId="7760" xr:uid="{00000000-0005-0000-0000-0000D3030000}"/>
    <cellStyle name="40% - 강조색3 4 5" xfId="8597" xr:uid="{00000000-0005-0000-0000-0000D4030000}"/>
    <cellStyle name="40% - 강조색3 4 6" xfId="6070" xr:uid="{00000000-0005-0000-0000-0000D5030000}"/>
    <cellStyle name="40% - 강조색3 5" xfId="838" xr:uid="{00000000-0005-0000-0000-0000D6030000}"/>
    <cellStyle name="40% - 강조색3 6" xfId="839" xr:uid="{00000000-0005-0000-0000-0000D7030000}"/>
    <cellStyle name="40% - 강조색3 7" xfId="840" xr:uid="{00000000-0005-0000-0000-0000D8030000}"/>
    <cellStyle name="40% - 강조색3 8" xfId="841" xr:uid="{00000000-0005-0000-0000-0000D9030000}"/>
    <cellStyle name="40% - 강조색3 9" xfId="842" xr:uid="{00000000-0005-0000-0000-0000DA030000}"/>
    <cellStyle name="40% - 강조색4" xfId="32" builtinId="43" customBuiltin="1"/>
    <cellStyle name="40% - 강조색4 10" xfId="843" xr:uid="{00000000-0005-0000-0000-0000DC030000}"/>
    <cellStyle name="40% - 강조색4 11" xfId="844" xr:uid="{00000000-0005-0000-0000-0000DD030000}"/>
    <cellStyle name="40% - 강조색4 12" xfId="845" xr:uid="{00000000-0005-0000-0000-0000DE030000}"/>
    <cellStyle name="40% - 강조색4 13" xfId="846" xr:uid="{00000000-0005-0000-0000-0000DF030000}"/>
    <cellStyle name="40% - 강조색4 14" xfId="847" xr:uid="{00000000-0005-0000-0000-0000E0030000}"/>
    <cellStyle name="40% - 강조색4 15" xfId="6881" xr:uid="{00000000-0005-0000-0000-0000E1030000}"/>
    <cellStyle name="40% - 강조색4 15 2" xfId="9405" xr:uid="{00000000-0005-0000-0000-0000E2030000}"/>
    <cellStyle name="40% - 강조색4 16" xfId="7723" xr:uid="{00000000-0005-0000-0000-0000E3030000}"/>
    <cellStyle name="40% - 강조색4 17" xfId="8563" xr:uid="{00000000-0005-0000-0000-0000E4030000}"/>
    <cellStyle name="40% - 강조색4 18" xfId="6033" xr:uid="{00000000-0005-0000-0000-0000E5030000}"/>
    <cellStyle name="40% - 강조색4 2" xfId="848" xr:uid="{00000000-0005-0000-0000-0000E6030000}"/>
    <cellStyle name="40% - 강조색4 2 10" xfId="849" xr:uid="{00000000-0005-0000-0000-0000E7030000}"/>
    <cellStyle name="40% - 강조색4 2 11" xfId="850" xr:uid="{00000000-0005-0000-0000-0000E8030000}"/>
    <cellStyle name="40% - 강조색4 2 12" xfId="851" xr:uid="{00000000-0005-0000-0000-0000E9030000}"/>
    <cellStyle name="40% - 강조색4 2 13" xfId="852" xr:uid="{00000000-0005-0000-0000-0000EA030000}"/>
    <cellStyle name="40% - 강조색4 2 14" xfId="853" xr:uid="{00000000-0005-0000-0000-0000EB030000}"/>
    <cellStyle name="40% - 강조색4 2 15" xfId="854" xr:uid="{00000000-0005-0000-0000-0000EC030000}"/>
    <cellStyle name="40% - 강조색4 2 16" xfId="855" xr:uid="{00000000-0005-0000-0000-0000ED030000}"/>
    <cellStyle name="40% - 강조색4 2 17" xfId="856" xr:uid="{00000000-0005-0000-0000-0000EE030000}"/>
    <cellStyle name="40% - 강조색4 2 18" xfId="857" xr:uid="{00000000-0005-0000-0000-0000EF030000}"/>
    <cellStyle name="40% - 강조색4 2 19" xfId="858" xr:uid="{00000000-0005-0000-0000-0000F0030000}"/>
    <cellStyle name="40% - 강조색4 2 2" xfId="859" xr:uid="{00000000-0005-0000-0000-0000F1030000}"/>
    <cellStyle name="40% - 강조색4 2 2 10" xfId="860" xr:uid="{00000000-0005-0000-0000-0000F2030000}"/>
    <cellStyle name="40% - 강조색4 2 2 11" xfId="861" xr:uid="{00000000-0005-0000-0000-0000F3030000}"/>
    <cellStyle name="40% - 강조색4 2 2 12" xfId="862" xr:uid="{00000000-0005-0000-0000-0000F4030000}"/>
    <cellStyle name="40% - 강조색4 2 2 13" xfId="863" xr:uid="{00000000-0005-0000-0000-0000F5030000}"/>
    <cellStyle name="40% - 강조색4 2 2 14" xfId="864" xr:uid="{00000000-0005-0000-0000-0000F6030000}"/>
    <cellStyle name="40% - 강조색4 2 2 15" xfId="865" xr:uid="{00000000-0005-0000-0000-0000F7030000}"/>
    <cellStyle name="40% - 강조색4 2 2 16" xfId="866" xr:uid="{00000000-0005-0000-0000-0000F8030000}"/>
    <cellStyle name="40% - 강조색4 2 2 17" xfId="867" xr:uid="{00000000-0005-0000-0000-0000F9030000}"/>
    <cellStyle name="40% - 강조색4 2 2 18" xfId="868" xr:uid="{00000000-0005-0000-0000-0000FA030000}"/>
    <cellStyle name="40% - 강조색4 2 2 2" xfId="869" xr:uid="{00000000-0005-0000-0000-0000FB030000}"/>
    <cellStyle name="40% - 강조색4 2 2 2 10" xfId="870" xr:uid="{00000000-0005-0000-0000-0000FC030000}"/>
    <cellStyle name="40% - 강조색4 2 2 2 11" xfId="871" xr:uid="{00000000-0005-0000-0000-0000FD030000}"/>
    <cellStyle name="40% - 강조색4 2 2 2 12" xfId="872" xr:uid="{00000000-0005-0000-0000-0000FE030000}"/>
    <cellStyle name="40% - 강조색4 2 2 2 13" xfId="873" xr:uid="{00000000-0005-0000-0000-0000FF030000}"/>
    <cellStyle name="40% - 강조색4 2 2 2 14" xfId="874" xr:uid="{00000000-0005-0000-0000-000000040000}"/>
    <cellStyle name="40% - 강조색4 2 2 2 15" xfId="875" xr:uid="{00000000-0005-0000-0000-000001040000}"/>
    <cellStyle name="40% - 강조색4 2 2 2 16" xfId="876" xr:uid="{00000000-0005-0000-0000-000002040000}"/>
    <cellStyle name="40% - 강조색4 2 2 2 17" xfId="877" xr:uid="{00000000-0005-0000-0000-000003040000}"/>
    <cellStyle name="40% - 강조색4 2 2 2 2" xfId="878" xr:uid="{00000000-0005-0000-0000-000004040000}"/>
    <cellStyle name="40% - 강조색4 2 2 2 2 2" xfId="879" xr:uid="{00000000-0005-0000-0000-000005040000}"/>
    <cellStyle name="40% - 강조색4 2 2 2 3" xfId="880" xr:uid="{00000000-0005-0000-0000-000006040000}"/>
    <cellStyle name="40% - 강조색4 2 2 2 4" xfId="881" xr:uid="{00000000-0005-0000-0000-000007040000}"/>
    <cellStyle name="40% - 강조색4 2 2 2 5" xfId="882" xr:uid="{00000000-0005-0000-0000-000008040000}"/>
    <cellStyle name="40% - 강조색4 2 2 2 6" xfId="883" xr:uid="{00000000-0005-0000-0000-000009040000}"/>
    <cellStyle name="40% - 강조색4 2 2 2 7" xfId="884" xr:uid="{00000000-0005-0000-0000-00000A040000}"/>
    <cellStyle name="40% - 강조색4 2 2 2 8" xfId="885" xr:uid="{00000000-0005-0000-0000-00000B040000}"/>
    <cellStyle name="40% - 강조색4 2 2 2 9" xfId="886" xr:uid="{00000000-0005-0000-0000-00000C040000}"/>
    <cellStyle name="40% - 강조색4 2 2 3" xfId="887" xr:uid="{00000000-0005-0000-0000-00000D040000}"/>
    <cellStyle name="40% - 강조색4 2 2 3 2" xfId="888" xr:uid="{00000000-0005-0000-0000-00000E040000}"/>
    <cellStyle name="40% - 강조색4 2 2 4" xfId="889" xr:uid="{00000000-0005-0000-0000-00000F040000}"/>
    <cellStyle name="40% - 강조색4 2 2 5" xfId="890" xr:uid="{00000000-0005-0000-0000-000010040000}"/>
    <cellStyle name="40% - 강조색4 2 2 6" xfId="891" xr:uid="{00000000-0005-0000-0000-000011040000}"/>
    <cellStyle name="40% - 강조색4 2 2 7" xfId="892" xr:uid="{00000000-0005-0000-0000-000012040000}"/>
    <cellStyle name="40% - 강조색4 2 2 8" xfId="893" xr:uid="{00000000-0005-0000-0000-000013040000}"/>
    <cellStyle name="40% - 강조색4 2 2 9" xfId="894" xr:uid="{00000000-0005-0000-0000-000014040000}"/>
    <cellStyle name="40% - 강조색4 2 20" xfId="895" xr:uid="{00000000-0005-0000-0000-000015040000}"/>
    <cellStyle name="40% - 강조색4 2 21" xfId="6915" xr:uid="{00000000-0005-0000-0000-000016040000}"/>
    <cellStyle name="40% - 강조색4 2 21 2" xfId="9418" xr:uid="{00000000-0005-0000-0000-000017040000}"/>
    <cellStyle name="40% - 강조색4 2 22" xfId="7736" xr:uid="{00000000-0005-0000-0000-000018040000}"/>
    <cellStyle name="40% - 강조색4 2 23" xfId="8598" xr:uid="{00000000-0005-0000-0000-000019040000}"/>
    <cellStyle name="40% - 강조색4 2 24" xfId="6046" xr:uid="{00000000-0005-0000-0000-00001A040000}"/>
    <cellStyle name="40% - 강조색4 2 3" xfId="896" xr:uid="{00000000-0005-0000-0000-00001B040000}"/>
    <cellStyle name="40% - 강조색4 2 3 10" xfId="897" xr:uid="{00000000-0005-0000-0000-00001C040000}"/>
    <cellStyle name="40% - 강조색4 2 3 11" xfId="898" xr:uid="{00000000-0005-0000-0000-00001D040000}"/>
    <cellStyle name="40% - 강조색4 2 3 12" xfId="899" xr:uid="{00000000-0005-0000-0000-00001E040000}"/>
    <cellStyle name="40% - 강조색4 2 3 13" xfId="900" xr:uid="{00000000-0005-0000-0000-00001F040000}"/>
    <cellStyle name="40% - 강조색4 2 3 14" xfId="901" xr:uid="{00000000-0005-0000-0000-000020040000}"/>
    <cellStyle name="40% - 강조색4 2 3 15" xfId="902" xr:uid="{00000000-0005-0000-0000-000021040000}"/>
    <cellStyle name="40% - 강조색4 2 3 16" xfId="903" xr:uid="{00000000-0005-0000-0000-000022040000}"/>
    <cellStyle name="40% - 강조색4 2 3 17" xfId="904" xr:uid="{00000000-0005-0000-0000-000023040000}"/>
    <cellStyle name="40% - 강조색4 2 3 2" xfId="905" xr:uid="{00000000-0005-0000-0000-000024040000}"/>
    <cellStyle name="40% - 강조색4 2 3 2 2" xfId="906" xr:uid="{00000000-0005-0000-0000-000025040000}"/>
    <cellStyle name="40% - 강조색4 2 3 3" xfId="907" xr:uid="{00000000-0005-0000-0000-000026040000}"/>
    <cellStyle name="40% - 강조색4 2 3 4" xfId="908" xr:uid="{00000000-0005-0000-0000-000027040000}"/>
    <cellStyle name="40% - 강조색4 2 3 5" xfId="909" xr:uid="{00000000-0005-0000-0000-000028040000}"/>
    <cellStyle name="40% - 강조색4 2 3 6" xfId="910" xr:uid="{00000000-0005-0000-0000-000029040000}"/>
    <cellStyle name="40% - 강조색4 2 3 7" xfId="911" xr:uid="{00000000-0005-0000-0000-00002A040000}"/>
    <cellStyle name="40% - 강조색4 2 3 8" xfId="912" xr:uid="{00000000-0005-0000-0000-00002B040000}"/>
    <cellStyle name="40% - 강조색4 2 3 9" xfId="913" xr:uid="{00000000-0005-0000-0000-00002C040000}"/>
    <cellStyle name="40% - 강조색4 2 4" xfId="914" xr:uid="{00000000-0005-0000-0000-00002D040000}"/>
    <cellStyle name="40% - 강조색4 2 4 2" xfId="915" xr:uid="{00000000-0005-0000-0000-00002E040000}"/>
    <cellStyle name="40% - 강조색4 2 5" xfId="916" xr:uid="{00000000-0005-0000-0000-00002F040000}"/>
    <cellStyle name="40% - 강조색4 2 6" xfId="917" xr:uid="{00000000-0005-0000-0000-000030040000}"/>
    <cellStyle name="40% - 강조색4 2 7" xfId="918" xr:uid="{00000000-0005-0000-0000-000031040000}"/>
    <cellStyle name="40% - 강조색4 2 8" xfId="919" xr:uid="{00000000-0005-0000-0000-000032040000}"/>
    <cellStyle name="40% - 강조색4 2 9" xfId="920" xr:uid="{00000000-0005-0000-0000-000033040000}"/>
    <cellStyle name="40% - 강조색4 3" xfId="921" xr:uid="{00000000-0005-0000-0000-000034040000}"/>
    <cellStyle name="40% - 강조색4 3 2" xfId="922" xr:uid="{00000000-0005-0000-0000-000035040000}"/>
    <cellStyle name="40% - 강조색4 3 3" xfId="6916" xr:uid="{00000000-0005-0000-0000-000036040000}"/>
    <cellStyle name="40% - 강조색4 3 3 2" xfId="9431" xr:uid="{00000000-0005-0000-0000-000037040000}"/>
    <cellStyle name="40% - 강조색4 3 4" xfId="7749" xr:uid="{00000000-0005-0000-0000-000038040000}"/>
    <cellStyle name="40% - 강조색4 3 5" xfId="8599" xr:uid="{00000000-0005-0000-0000-000039040000}"/>
    <cellStyle name="40% - 강조색4 3 6" xfId="6059" xr:uid="{00000000-0005-0000-0000-00003A040000}"/>
    <cellStyle name="40% - 강조색4 4" xfId="923" xr:uid="{00000000-0005-0000-0000-00003B040000}"/>
    <cellStyle name="40% - 강조색4 4 2" xfId="924" xr:uid="{00000000-0005-0000-0000-00003C040000}"/>
    <cellStyle name="40% - 강조색4 4 3" xfId="6917" xr:uid="{00000000-0005-0000-0000-00003D040000}"/>
    <cellStyle name="40% - 강조색4 4 3 2" xfId="9444" xr:uid="{00000000-0005-0000-0000-00003E040000}"/>
    <cellStyle name="40% - 강조색4 4 4" xfId="7762" xr:uid="{00000000-0005-0000-0000-00003F040000}"/>
    <cellStyle name="40% - 강조색4 4 5" xfId="8600" xr:uid="{00000000-0005-0000-0000-000040040000}"/>
    <cellStyle name="40% - 강조색4 4 6" xfId="6072" xr:uid="{00000000-0005-0000-0000-000041040000}"/>
    <cellStyle name="40% - 강조색4 5" xfId="925" xr:uid="{00000000-0005-0000-0000-000042040000}"/>
    <cellStyle name="40% - 강조색4 6" xfId="926" xr:uid="{00000000-0005-0000-0000-000043040000}"/>
    <cellStyle name="40% - 강조색4 7" xfId="927" xr:uid="{00000000-0005-0000-0000-000044040000}"/>
    <cellStyle name="40% - 강조색4 8" xfId="928" xr:uid="{00000000-0005-0000-0000-000045040000}"/>
    <cellStyle name="40% - 강조색4 9" xfId="929" xr:uid="{00000000-0005-0000-0000-000046040000}"/>
    <cellStyle name="40% - 강조색5" xfId="36" builtinId="47" customBuiltin="1"/>
    <cellStyle name="40% - 강조색5 10" xfId="930" xr:uid="{00000000-0005-0000-0000-000048040000}"/>
    <cellStyle name="40% - 강조색5 11" xfId="931" xr:uid="{00000000-0005-0000-0000-000049040000}"/>
    <cellStyle name="40% - 강조색5 12" xfId="932" xr:uid="{00000000-0005-0000-0000-00004A040000}"/>
    <cellStyle name="40% - 강조색5 13" xfId="933" xr:uid="{00000000-0005-0000-0000-00004B040000}"/>
    <cellStyle name="40% - 강조색5 14" xfId="934" xr:uid="{00000000-0005-0000-0000-00004C040000}"/>
    <cellStyle name="40% - 강조색5 15" xfId="6883" xr:uid="{00000000-0005-0000-0000-00004D040000}"/>
    <cellStyle name="40% - 강조색5 15 2" xfId="9407" xr:uid="{00000000-0005-0000-0000-00004E040000}"/>
    <cellStyle name="40% - 강조색5 16" xfId="7725" xr:uid="{00000000-0005-0000-0000-00004F040000}"/>
    <cellStyle name="40% - 강조색5 17" xfId="8565" xr:uid="{00000000-0005-0000-0000-000050040000}"/>
    <cellStyle name="40% - 강조색5 18" xfId="6035" xr:uid="{00000000-0005-0000-0000-000051040000}"/>
    <cellStyle name="40% - 강조색5 2" xfId="935" xr:uid="{00000000-0005-0000-0000-000052040000}"/>
    <cellStyle name="40% - 강조색5 2 10" xfId="936" xr:uid="{00000000-0005-0000-0000-000053040000}"/>
    <cellStyle name="40% - 강조색5 2 11" xfId="937" xr:uid="{00000000-0005-0000-0000-000054040000}"/>
    <cellStyle name="40% - 강조색5 2 12" xfId="938" xr:uid="{00000000-0005-0000-0000-000055040000}"/>
    <cellStyle name="40% - 강조색5 2 13" xfId="939" xr:uid="{00000000-0005-0000-0000-000056040000}"/>
    <cellStyle name="40% - 강조색5 2 14" xfId="940" xr:uid="{00000000-0005-0000-0000-000057040000}"/>
    <cellStyle name="40% - 강조색5 2 15" xfId="941" xr:uid="{00000000-0005-0000-0000-000058040000}"/>
    <cellStyle name="40% - 강조색5 2 16" xfId="942" xr:uid="{00000000-0005-0000-0000-000059040000}"/>
    <cellStyle name="40% - 강조색5 2 17" xfId="943" xr:uid="{00000000-0005-0000-0000-00005A040000}"/>
    <cellStyle name="40% - 강조색5 2 18" xfId="944" xr:uid="{00000000-0005-0000-0000-00005B040000}"/>
    <cellStyle name="40% - 강조색5 2 19" xfId="945" xr:uid="{00000000-0005-0000-0000-00005C040000}"/>
    <cellStyle name="40% - 강조색5 2 2" xfId="946" xr:uid="{00000000-0005-0000-0000-00005D040000}"/>
    <cellStyle name="40% - 강조색5 2 2 10" xfId="947" xr:uid="{00000000-0005-0000-0000-00005E040000}"/>
    <cellStyle name="40% - 강조색5 2 2 11" xfId="948" xr:uid="{00000000-0005-0000-0000-00005F040000}"/>
    <cellStyle name="40% - 강조색5 2 2 12" xfId="949" xr:uid="{00000000-0005-0000-0000-000060040000}"/>
    <cellStyle name="40% - 강조색5 2 2 13" xfId="950" xr:uid="{00000000-0005-0000-0000-000061040000}"/>
    <cellStyle name="40% - 강조색5 2 2 14" xfId="951" xr:uid="{00000000-0005-0000-0000-000062040000}"/>
    <cellStyle name="40% - 강조색5 2 2 15" xfId="952" xr:uid="{00000000-0005-0000-0000-000063040000}"/>
    <cellStyle name="40% - 강조색5 2 2 16" xfId="953" xr:uid="{00000000-0005-0000-0000-000064040000}"/>
    <cellStyle name="40% - 강조색5 2 2 17" xfId="954" xr:uid="{00000000-0005-0000-0000-000065040000}"/>
    <cellStyle name="40% - 강조색5 2 2 18" xfId="955" xr:uid="{00000000-0005-0000-0000-000066040000}"/>
    <cellStyle name="40% - 강조색5 2 2 2" xfId="956" xr:uid="{00000000-0005-0000-0000-000067040000}"/>
    <cellStyle name="40% - 강조색5 2 2 2 10" xfId="957" xr:uid="{00000000-0005-0000-0000-000068040000}"/>
    <cellStyle name="40% - 강조색5 2 2 2 11" xfId="958" xr:uid="{00000000-0005-0000-0000-000069040000}"/>
    <cellStyle name="40% - 강조색5 2 2 2 12" xfId="959" xr:uid="{00000000-0005-0000-0000-00006A040000}"/>
    <cellStyle name="40% - 강조색5 2 2 2 13" xfId="960" xr:uid="{00000000-0005-0000-0000-00006B040000}"/>
    <cellStyle name="40% - 강조색5 2 2 2 14" xfId="961" xr:uid="{00000000-0005-0000-0000-00006C040000}"/>
    <cellStyle name="40% - 강조색5 2 2 2 15" xfId="962" xr:uid="{00000000-0005-0000-0000-00006D040000}"/>
    <cellStyle name="40% - 강조색5 2 2 2 16" xfId="963" xr:uid="{00000000-0005-0000-0000-00006E040000}"/>
    <cellStyle name="40% - 강조색5 2 2 2 17" xfId="964" xr:uid="{00000000-0005-0000-0000-00006F040000}"/>
    <cellStyle name="40% - 강조색5 2 2 2 2" xfId="965" xr:uid="{00000000-0005-0000-0000-000070040000}"/>
    <cellStyle name="40% - 강조색5 2 2 2 2 2" xfId="966" xr:uid="{00000000-0005-0000-0000-000071040000}"/>
    <cellStyle name="40% - 강조색5 2 2 2 3" xfId="967" xr:uid="{00000000-0005-0000-0000-000072040000}"/>
    <cellStyle name="40% - 강조색5 2 2 2 4" xfId="968" xr:uid="{00000000-0005-0000-0000-000073040000}"/>
    <cellStyle name="40% - 강조색5 2 2 2 5" xfId="969" xr:uid="{00000000-0005-0000-0000-000074040000}"/>
    <cellStyle name="40% - 강조색5 2 2 2 6" xfId="970" xr:uid="{00000000-0005-0000-0000-000075040000}"/>
    <cellStyle name="40% - 강조색5 2 2 2 7" xfId="971" xr:uid="{00000000-0005-0000-0000-000076040000}"/>
    <cellStyle name="40% - 강조색5 2 2 2 8" xfId="972" xr:uid="{00000000-0005-0000-0000-000077040000}"/>
    <cellStyle name="40% - 강조색5 2 2 2 9" xfId="973" xr:uid="{00000000-0005-0000-0000-000078040000}"/>
    <cellStyle name="40% - 강조색5 2 2 3" xfId="974" xr:uid="{00000000-0005-0000-0000-000079040000}"/>
    <cellStyle name="40% - 강조색5 2 2 3 2" xfId="975" xr:uid="{00000000-0005-0000-0000-00007A040000}"/>
    <cellStyle name="40% - 강조색5 2 2 4" xfId="976" xr:uid="{00000000-0005-0000-0000-00007B040000}"/>
    <cellStyle name="40% - 강조색5 2 2 5" xfId="977" xr:uid="{00000000-0005-0000-0000-00007C040000}"/>
    <cellStyle name="40% - 강조색5 2 2 6" xfId="978" xr:uid="{00000000-0005-0000-0000-00007D040000}"/>
    <cellStyle name="40% - 강조색5 2 2 7" xfId="979" xr:uid="{00000000-0005-0000-0000-00007E040000}"/>
    <cellStyle name="40% - 강조색5 2 2 8" xfId="980" xr:uid="{00000000-0005-0000-0000-00007F040000}"/>
    <cellStyle name="40% - 강조색5 2 2 9" xfId="981" xr:uid="{00000000-0005-0000-0000-000080040000}"/>
    <cellStyle name="40% - 강조색5 2 20" xfId="982" xr:uid="{00000000-0005-0000-0000-000081040000}"/>
    <cellStyle name="40% - 강조색5 2 21" xfId="6918" xr:uid="{00000000-0005-0000-0000-000082040000}"/>
    <cellStyle name="40% - 강조색5 2 21 2" xfId="9420" xr:uid="{00000000-0005-0000-0000-000083040000}"/>
    <cellStyle name="40% - 강조색5 2 22" xfId="7738" xr:uid="{00000000-0005-0000-0000-000084040000}"/>
    <cellStyle name="40% - 강조색5 2 23" xfId="8601" xr:uid="{00000000-0005-0000-0000-000085040000}"/>
    <cellStyle name="40% - 강조색5 2 24" xfId="6048" xr:uid="{00000000-0005-0000-0000-000086040000}"/>
    <cellStyle name="40% - 강조색5 2 3" xfId="983" xr:uid="{00000000-0005-0000-0000-000087040000}"/>
    <cellStyle name="40% - 강조색5 2 3 10" xfId="984" xr:uid="{00000000-0005-0000-0000-000088040000}"/>
    <cellStyle name="40% - 강조색5 2 3 11" xfId="985" xr:uid="{00000000-0005-0000-0000-000089040000}"/>
    <cellStyle name="40% - 강조색5 2 3 12" xfId="986" xr:uid="{00000000-0005-0000-0000-00008A040000}"/>
    <cellStyle name="40% - 강조색5 2 3 13" xfId="987" xr:uid="{00000000-0005-0000-0000-00008B040000}"/>
    <cellStyle name="40% - 강조색5 2 3 14" xfId="988" xr:uid="{00000000-0005-0000-0000-00008C040000}"/>
    <cellStyle name="40% - 강조색5 2 3 15" xfId="989" xr:uid="{00000000-0005-0000-0000-00008D040000}"/>
    <cellStyle name="40% - 강조색5 2 3 16" xfId="990" xr:uid="{00000000-0005-0000-0000-00008E040000}"/>
    <cellStyle name="40% - 강조색5 2 3 17" xfId="991" xr:uid="{00000000-0005-0000-0000-00008F040000}"/>
    <cellStyle name="40% - 강조색5 2 3 2" xfId="992" xr:uid="{00000000-0005-0000-0000-000090040000}"/>
    <cellStyle name="40% - 강조색5 2 3 2 2" xfId="993" xr:uid="{00000000-0005-0000-0000-000091040000}"/>
    <cellStyle name="40% - 강조색5 2 3 3" xfId="994" xr:uid="{00000000-0005-0000-0000-000092040000}"/>
    <cellStyle name="40% - 강조색5 2 3 4" xfId="995" xr:uid="{00000000-0005-0000-0000-000093040000}"/>
    <cellStyle name="40% - 강조색5 2 3 5" xfId="996" xr:uid="{00000000-0005-0000-0000-000094040000}"/>
    <cellStyle name="40% - 강조색5 2 3 6" xfId="997" xr:uid="{00000000-0005-0000-0000-000095040000}"/>
    <cellStyle name="40% - 강조색5 2 3 7" xfId="998" xr:uid="{00000000-0005-0000-0000-000096040000}"/>
    <cellStyle name="40% - 강조색5 2 3 8" xfId="999" xr:uid="{00000000-0005-0000-0000-000097040000}"/>
    <cellStyle name="40% - 강조색5 2 3 9" xfId="1000" xr:uid="{00000000-0005-0000-0000-000098040000}"/>
    <cellStyle name="40% - 강조색5 2 4" xfId="1001" xr:uid="{00000000-0005-0000-0000-000099040000}"/>
    <cellStyle name="40% - 강조색5 2 4 2" xfId="1002" xr:uid="{00000000-0005-0000-0000-00009A040000}"/>
    <cellStyle name="40% - 강조색5 2 5" xfId="1003" xr:uid="{00000000-0005-0000-0000-00009B040000}"/>
    <cellStyle name="40% - 강조색5 2 6" xfId="1004" xr:uid="{00000000-0005-0000-0000-00009C040000}"/>
    <cellStyle name="40% - 강조색5 2 7" xfId="1005" xr:uid="{00000000-0005-0000-0000-00009D040000}"/>
    <cellStyle name="40% - 강조색5 2 8" xfId="1006" xr:uid="{00000000-0005-0000-0000-00009E040000}"/>
    <cellStyle name="40% - 강조색5 2 9" xfId="1007" xr:uid="{00000000-0005-0000-0000-00009F040000}"/>
    <cellStyle name="40% - 강조색5 3" xfId="1008" xr:uid="{00000000-0005-0000-0000-0000A0040000}"/>
    <cellStyle name="40% - 강조색5 3 2" xfId="1009" xr:uid="{00000000-0005-0000-0000-0000A1040000}"/>
    <cellStyle name="40% - 강조색5 3 3" xfId="6919" xr:uid="{00000000-0005-0000-0000-0000A2040000}"/>
    <cellStyle name="40% - 강조색5 3 3 2" xfId="9433" xr:uid="{00000000-0005-0000-0000-0000A3040000}"/>
    <cellStyle name="40% - 강조색5 3 4" xfId="7751" xr:uid="{00000000-0005-0000-0000-0000A4040000}"/>
    <cellStyle name="40% - 강조색5 3 5" xfId="8602" xr:uid="{00000000-0005-0000-0000-0000A5040000}"/>
    <cellStyle name="40% - 강조색5 3 6" xfId="6061" xr:uid="{00000000-0005-0000-0000-0000A6040000}"/>
    <cellStyle name="40% - 강조색5 4" xfId="1010" xr:uid="{00000000-0005-0000-0000-0000A7040000}"/>
    <cellStyle name="40% - 강조색5 4 2" xfId="1011" xr:uid="{00000000-0005-0000-0000-0000A8040000}"/>
    <cellStyle name="40% - 강조색5 4 3" xfId="6920" xr:uid="{00000000-0005-0000-0000-0000A9040000}"/>
    <cellStyle name="40% - 강조색5 4 3 2" xfId="9446" xr:uid="{00000000-0005-0000-0000-0000AA040000}"/>
    <cellStyle name="40% - 강조색5 4 4" xfId="7764" xr:uid="{00000000-0005-0000-0000-0000AB040000}"/>
    <cellStyle name="40% - 강조색5 4 5" xfId="8603" xr:uid="{00000000-0005-0000-0000-0000AC040000}"/>
    <cellStyle name="40% - 강조색5 4 6" xfId="6074" xr:uid="{00000000-0005-0000-0000-0000AD040000}"/>
    <cellStyle name="40% - 강조색5 5" xfId="1012" xr:uid="{00000000-0005-0000-0000-0000AE040000}"/>
    <cellStyle name="40% - 강조색5 6" xfId="1013" xr:uid="{00000000-0005-0000-0000-0000AF040000}"/>
    <cellStyle name="40% - 강조색5 7" xfId="1014" xr:uid="{00000000-0005-0000-0000-0000B0040000}"/>
    <cellStyle name="40% - 강조색5 8" xfId="1015" xr:uid="{00000000-0005-0000-0000-0000B1040000}"/>
    <cellStyle name="40% - 강조색5 9" xfId="1016" xr:uid="{00000000-0005-0000-0000-0000B2040000}"/>
    <cellStyle name="40% - 강조색6" xfId="40" builtinId="51" customBuiltin="1"/>
    <cellStyle name="40% - 강조색6 10" xfId="1017" xr:uid="{00000000-0005-0000-0000-0000B4040000}"/>
    <cellStyle name="40% - 강조색6 11" xfId="1018" xr:uid="{00000000-0005-0000-0000-0000B5040000}"/>
    <cellStyle name="40% - 강조색6 12" xfId="1019" xr:uid="{00000000-0005-0000-0000-0000B6040000}"/>
    <cellStyle name="40% - 강조색6 13" xfId="1020" xr:uid="{00000000-0005-0000-0000-0000B7040000}"/>
    <cellStyle name="40% - 강조색6 14" xfId="1021" xr:uid="{00000000-0005-0000-0000-0000B8040000}"/>
    <cellStyle name="40% - 강조색6 15" xfId="6885" xr:uid="{00000000-0005-0000-0000-0000B9040000}"/>
    <cellStyle name="40% - 강조색6 15 2" xfId="9409" xr:uid="{00000000-0005-0000-0000-0000BA040000}"/>
    <cellStyle name="40% - 강조색6 16" xfId="7727" xr:uid="{00000000-0005-0000-0000-0000BB040000}"/>
    <cellStyle name="40% - 강조색6 17" xfId="8567" xr:uid="{00000000-0005-0000-0000-0000BC040000}"/>
    <cellStyle name="40% - 강조색6 18" xfId="6037" xr:uid="{00000000-0005-0000-0000-0000BD040000}"/>
    <cellStyle name="40% - 강조색6 2" xfId="1022" xr:uid="{00000000-0005-0000-0000-0000BE040000}"/>
    <cellStyle name="40% - 강조색6 2 10" xfId="1023" xr:uid="{00000000-0005-0000-0000-0000BF040000}"/>
    <cellStyle name="40% - 강조색6 2 11" xfId="1024" xr:uid="{00000000-0005-0000-0000-0000C0040000}"/>
    <cellStyle name="40% - 강조색6 2 12" xfId="1025" xr:uid="{00000000-0005-0000-0000-0000C1040000}"/>
    <cellStyle name="40% - 강조색6 2 13" xfId="1026" xr:uid="{00000000-0005-0000-0000-0000C2040000}"/>
    <cellStyle name="40% - 강조색6 2 14" xfId="1027" xr:uid="{00000000-0005-0000-0000-0000C3040000}"/>
    <cellStyle name="40% - 강조색6 2 15" xfId="1028" xr:uid="{00000000-0005-0000-0000-0000C4040000}"/>
    <cellStyle name="40% - 강조색6 2 16" xfId="1029" xr:uid="{00000000-0005-0000-0000-0000C5040000}"/>
    <cellStyle name="40% - 강조색6 2 17" xfId="1030" xr:uid="{00000000-0005-0000-0000-0000C6040000}"/>
    <cellStyle name="40% - 강조색6 2 18" xfId="1031" xr:uid="{00000000-0005-0000-0000-0000C7040000}"/>
    <cellStyle name="40% - 강조색6 2 19" xfId="1032" xr:uid="{00000000-0005-0000-0000-0000C8040000}"/>
    <cellStyle name="40% - 강조색6 2 2" xfId="1033" xr:uid="{00000000-0005-0000-0000-0000C9040000}"/>
    <cellStyle name="40% - 강조색6 2 2 10" xfId="1034" xr:uid="{00000000-0005-0000-0000-0000CA040000}"/>
    <cellStyle name="40% - 강조색6 2 2 11" xfId="1035" xr:uid="{00000000-0005-0000-0000-0000CB040000}"/>
    <cellStyle name="40% - 강조색6 2 2 12" xfId="1036" xr:uid="{00000000-0005-0000-0000-0000CC040000}"/>
    <cellStyle name="40% - 강조색6 2 2 13" xfId="1037" xr:uid="{00000000-0005-0000-0000-0000CD040000}"/>
    <cellStyle name="40% - 강조색6 2 2 14" xfId="1038" xr:uid="{00000000-0005-0000-0000-0000CE040000}"/>
    <cellStyle name="40% - 강조색6 2 2 15" xfId="1039" xr:uid="{00000000-0005-0000-0000-0000CF040000}"/>
    <cellStyle name="40% - 강조색6 2 2 16" xfId="1040" xr:uid="{00000000-0005-0000-0000-0000D0040000}"/>
    <cellStyle name="40% - 강조색6 2 2 17" xfId="1041" xr:uid="{00000000-0005-0000-0000-0000D1040000}"/>
    <cellStyle name="40% - 강조색6 2 2 18" xfId="1042" xr:uid="{00000000-0005-0000-0000-0000D2040000}"/>
    <cellStyle name="40% - 강조색6 2 2 2" xfId="1043" xr:uid="{00000000-0005-0000-0000-0000D3040000}"/>
    <cellStyle name="40% - 강조색6 2 2 2 10" xfId="1044" xr:uid="{00000000-0005-0000-0000-0000D4040000}"/>
    <cellStyle name="40% - 강조색6 2 2 2 11" xfId="1045" xr:uid="{00000000-0005-0000-0000-0000D5040000}"/>
    <cellStyle name="40% - 강조색6 2 2 2 12" xfId="1046" xr:uid="{00000000-0005-0000-0000-0000D6040000}"/>
    <cellStyle name="40% - 강조색6 2 2 2 13" xfId="1047" xr:uid="{00000000-0005-0000-0000-0000D7040000}"/>
    <cellStyle name="40% - 강조색6 2 2 2 14" xfId="1048" xr:uid="{00000000-0005-0000-0000-0000D8040000}"/>
    <cellStyle name="40% - 강조색6 2 2 2 15" xfId="1049" xr:uid="{00000000-0005-0000-0000-0000D9040000}"/>
    <cellStyle name="40% - 강조색6 2 2 2 16" xfId="1050" xr:uid="{00000000-0005-0000-0000-0000DA040000}"/>
    <cellStyle name="40% - 강조색6 2 2 2 17" xfId="1051" xr:uid="{00000000-0005-0000-0000-0000DB040000}"/>
    <cellStyle name="40% - 강조색6 2 2 2 2" xfId="1052" xr:uid="{00000000-0005-0000-0000-0000DC040000}"/>
    <cellStyle name="40% - 강조색6 2 2 2 2 2" xfId="1053" xr:uid="{00000000-0005-0000-0000-0000DD040000}"/>
    <cellStyle name="40% - 강조색6 2 2 2 3" xfId="1054" xr:uid="{00000000-0005-0000-0000-0000DE040000}"/>
    <cellStyle name="40% - 강조색6 2 2 2 4" xfId="1055" xr:uid="{00000000-0005-0000-0000-0000DF040000}"/>
    <cellStyle name="40% - 강조색6 2 2 2 5" xfId="1056" xr:uid="{00000000-0005-0000-0000-0000E0040000}"/>
    <cellStyle name="40% - 강조색6 2 2 2 6" xfId="1057" xr:uid="{00000000-0005-0000-0000-0000E1040000}"/>
    <cellStyle name="40% - 강조색6 2 2 2 7" xfId="1058" xr:uid="{00000000-0005-0000-0000-0000E2040000}"/>
    <cellStyle name="40% - 강조색6 2 2 2 8" xfId="1059" xr:uid="{00000000-0005-0000-0000-0000E3040000}"/>
    <cellStyle name="40% - 강조색6 2 2 2 9" xfId="1060" xr:uid="{00000000-0005-0000-0000-0000E4040000}"/>
    <cellStyle name="40% - 강조색6 2 2 3" xfId="1061" xr:uid="{00000000-0005-0000-0000-0000E5040000}"/>
    <cellStyle name="40% - 강조색6 2 2 3 2" xfId="1062" xr:uid="{00000000-0005-0000-0000-0000E6040000}"/>
    <cellStyle name="40% - 강조색6 2 2 4" xfId="1063" xr:uid="{00000000-0005-0000-0000-0000E7040000}"/>
    <cellStyle name="40% - 강조색6 2 2 5" xfId="1064" xr:uid="{00000000-0005-0000-0000-0000E8040000}"/>
    <cellStyle name="40% - 강조색6 2 2 6" xfId="1065" xr:uid="{00000000-0005-0000-0000-0000E9040000}"/>
    <cellStyle name="40% - 강조색6 2 2 7" xfId="1066" xr:uid="{00000000-0005-0000-0000-0000EA040000}"/>
    <cellStyle name="40% - 강조색6 2 2 8" xfId="1067" xr:uid="{00000000-0005-0000-0000-0000EB040000}"/>
    <cellStyle name="40% - 강조색6 2 2 9" xfId="1068" xr:uid="{00000000-0005-0000-0000-0000EC040000}"/>
    <cellStyle name="40% - 강조색6 2 20" xfId="1069" xr:uid="{00000000-0005-0000-0000-0000ED040000}"/>
    <cellStyle name="40% - 강조색6 2 21" xfId="6921" xr:uid="{00000000-0005-0000-0000-0000EE040000}"/>
    <cellStyle name="40% - 강조색6 2 21 2" xfId="9422" xr:uid="{00000000-0005-0000-0000-0000EF040000}"/>
    <cellStyle name="40% - 강조색6 2 22" xfId="7740" xr:uid="{00000000-0005-0000-0000-0000F0040000}"/>
    <cellStyle name="40% - 강조색6 2 23" xfId="8604" xr:uid="{00000000-0005-0000-0000-0000F1040000}"/>
    <cellStyle name="40% - 강조색6 2 24" xfId="6050" xr:uid="{00000000-0005-0000-0000-0000F2040000}"/>
    <cellStyle name="40% - 강조색6 2 3" xfId="1070" xr:uid="{00000000-0005-0000-0000-0000F3040000}"/>
    <cellStyle name="40% - 강조색6 2 3 10" xfId="1071" xr:uid="{00000000-0005-0000-0000-0000F4040000}"/>
    <cellStyle name="40% - 강조색6 2 3 11" xfId="1072" xr:uid="{00000000-0005-0000-0000-0000F5040000}"/>
    <cellStyle name="40% - 강조색6 2 3 12" xfId="1073" xr:uid="{00000000-0005-0000-0000-0000F6040000}"/>
    <cellStyle name="40% - 강조색6 2 3 13" xfId="1074" xr:uid="{00000000-0005-0000-0000-0000F7040000}"/>
    <cellStyle name="40% - 강조색6 2 3 14" xfId="1075" xr:uid="{00000000-0005-0000-0000-0000F8040000}"/>
    <cellStyle name="40% - 강조색6 2 3 15" xfId="1076" xr:uid="{00000000-0005-0000-0000-0000F9040000}"/>
    <cellStyle name="40% - 강조색6 2 3 16" xfId="1077" xr:uid="{00000000-0005-0000-0000-0000FA040000}"/>
    <cellStyle name="40% - 강조색6 2 3 17" xfId="1078" xr:uid="{00000000-0005-0000-0000-0000FB040000}"/>
    <cellStyle name="40% - 강조색6 2 3 2" xfId="1079" xr:uid="{00000000-0005-0000-0000-0000FC040000}"/>
    <cellStyle name="40% - 강조색6 2 3 2 2" xfId="1080" xr:uid="{00000000-0005-0000-0000-0000FD040000}"/>
    <cellStyle name="40% - 강조색6 2 3 3" xfId="1081" xr:uid="{00000000-0005-0000-0000-0000FE040000}"/>
    <cellStyle name="40% - 강조색6 2 3 4" xfId="1082" xr:uid="{00000000-0005-0000-0000-0000FF040000}"/>
    <cellStyle name="40% - 강조색6 2 3 5" xfId="1083" xr:uid="{00000000-0005-0000-0000-000000050000}"/>
    <cellStyle name="40% - 강조색6 2 3 6" xfId="1084" xr:uid="{00000000-0005-0000-0000-000001050000}"/>
    <cellStyle name="40% - 강조색6 2 3 7" xfId="1085" xr:uid="{00000000-0005-0000-0000-000002050000}"/>
    <cellStyle name="40% - 강조색6 2 3 8" xfId="1086" xr:uid="{00000000-0005-0000-0000-000003050000}"/>
    <cellStyle name="40% - 강조색6 2 3 9" xfId="1087" xr:uid="{00000000-0005-0000-0000-000004050000}"/>
    <cellStyle name="40% - 강조색6 2 4" xfId="1088" xr:uid="{00000000-0005-0000-0000-000005050000}"/>
    <cellStyle name="40% - 강조색6 2 4 2" xfId="1089" xr:uid="{00000000-0005-0000-0000-000006050000}"/>
    <cellStyle name="40% - 강조색6 2 5" xfId="1090" xr:uid="{00000000-0005-0000-0000-000007050000}"/>
    <cellStyle name="40% - 강조색6 2 6" xfId="1091" xr:uid="{00000000-0005-0000-0000-000008050000}"/>
    <cellStyle name="40% - 강조색6 2 7" xfId="1092" xr:uid="{00000000-0005-0000-0000-000009050000}"/>
    <cellStyle name="40% - 강조색6 2 8" xfId="1093" xr:uid="{00000000-0005-0000-0000-00000A050000}"/>
    <cellStyle name="40% - 강조색6 2 9" xfId="1094" xr:uid="{00000000-0005-0000-0000-00000B050000}"/>
    <cellStyle name="40% - 강조색6 3" xfId="1095" xr:uid="{00000000-0005-0000-0000-00000C050000}"/>
    <cellStyle name="40% - 강조색6 3 2" xfId="1096" xr:uid="{00000000-0005-0000-0000-00000D050000}"/>
    <cellStyle name="40% - 강조색6 3 3" xfId="6922" xr:uid="{00000000-0005-0000-0000-00000E050000}"/>
    <cellStyle name="40% - 강조색6 3 3 2" xfId="9435" xr:uid="{00000000-0005-0000-0000-00000F050000}"/>
    <cellStyle name="40% - 강조색6 3 4" xfId="7753" xr:uid="{00000000-0005-0000-0000-000010050000}"/>
    <cellStyle name="40% - 강조색6 3 5" xfId="8605" xr:uid="{00000000-0005-0000-0000-000011050000}"/>
    <cellStyle name="40% - 강조색6 3 6" xfId="6063" xr:uid="{00000000-0005-0000-0000-000012050000}"/>
    <cellStyle name="40% - 강조색6 4" xfId="1097" xr:uid="{00000000-0005-0000-0000-000013050000}"/>
    <cellStyle name="40% - 강조색6 4 2" xfId="1098" xr:uid="{00000000-0005-0000-0000-000014050000}"/>
    <cellStyle name="40% - 강조색6 4 3" xfId="6923" xr:uid="{00000000-0005-0000-0000-000015050000}"/>
    <cellStyle name="40% - 강조색6 4 3 2" xfId="9448" xr:uid="{00000000-0005-0000-0000-000016050000}"/>
    <cellStyle name="40% - 강조색6 4 4" xfId="7766" xr:uid="{00000000-0005-0000-0000-000017050000}"/>
    <cellStyle name="40% - 강조색6 4 5" xfId="8606" xr:uid="{00000000-0005-0000-0000-000018050000}"/>
    <cellStyle name="40% - 강조색6 4 6" xfId="6076" xr:uid="{00000000-0005-0000-0000-000019050000}"/>
    <cellStyle name="40% - 강조색6 5" xfId="1099" xr:uid="{00000000-0005-0000-0000-00001A050000}"/>
    <cellStyle name="40% - 강조색6 6" xfId="1100" xr:uid="{00000000-0005-0000-0000-00001B050000}"/>
    <cellStyle name="40% - 강조색6 7" xfId="1101" xr:uid="{00000000-0005-0000-0000-00001C050000}"/>
    <cellStyle name="40% - 강조색6 8" xfId="1102" xr:uid="{00000000-0005-0000-0000-00001D050000}"/>
    <cellStyle name="40% - 강조색6 9" xfId="1103" xr:uid="{00000000-0005-0000-0000-00001E050000}"/>
    <cellStyle name="60% - 강조색1" xfId="21" builtinId="32" customBuiltin="1"/>
    <cellStyle name="60% - 강조색1 10" xfId="1104" xr:uid="{00000000-0005-0000-0000-000020050000}"/>
    <cellStyle name="60% - 강조색1 11" xfId="1105" xr:uid="{00000000-0005-0000-0000-000021050000}"/>
    <cellStyle name="60% - 강조색1 12" xfId="1106" xr:uid="{00000000-0005-0000-0000-000022050000}"/>
    <cellStyle name="60% - 강조색1 13" xfId="1107" xr:uid="{00000000-0005-0000-0000-000023050000}"/>
    <cellStyle name="60% - 강조색1 14" xfId="1108" xr:uid="{00000000-0005-0000-0000-000024050000}"/>
    <cellStyle name="60% - 강조색1 2" xfId="1109" xr:uid="{00000000-0005-0000-0000-000025050000}"/>
    <cellStyle name="60% - 강조색1 2 2" xfId="1110" xr:uid="{00000000-0005-0000-0000-000026050000}"/>
    <cellStyle name="60% - 강조색1 2 2 2" xfId="1111" xr:uid="{00000000-0005-0000-0000-000027050000}"/>
    <cellStyle name="60% - 강조색1 2 3" xfId="1112" xr:uid="{00000000-0005-0000-0000-000028050000}"/>
    <cellStyle name="60% - 강조색1 3" xfId="1113" xr:uid="{00000000-0005-0000-0000-000029050000}"/>
    <cellStyle name="60% - 강조색1 4" xfId="1114" xr:uid="{00000000-0005-0000-0000-00002A050000}"/>
    <cellStyle name="60% - 강조색1 5" xfId="1115" xr:uid="{00000000-0005-0000-0000-00002B050000}"/>
    <cellStyle name="60% - 강조색1 6" xfId="1116" xr:uid="{00000000-0005-0000-0000-00002C050000}"/>
    <cellStyle name="60% - 강조색1 7" xfId="1117" xr:uid="{00000000-0005-0000-0000-00002D050000}"/>
    <cellStyle name="60% - 강조색1 8" xfId="1118" xr:uid="{00000000-0005-0000-0000-00002E050000}"/>
    <cellStyle name="60% - 강조색1 9" xfId="1119" xr:uid="{00000000-0005-0000-0000-00002F050000}"/>
    <cellStyle name="60% - 강조색2" xfId="25" builtinId="36" customBuiltin="1"/>
    <cellStyle name="60% - 강조색2 10" xfId="1120" xr:uid="{00000000-0005-0000-0000-000031050000}"/>
    <cellStyle name="60% - 강조색2 11" xfId="1121" xr:uid="{00000000-0005-0000-0000-000032050000}"/>
    <cellStyle name="60% - 강조색2 12" xfId="1122" xr:uid="{00000000-0005-0000-0000-000033050000}"/>
    <cellStyle name="60% - 강조색2 13" xfId="1123" xr:uid="{00000000-0005-0000-0000-000034050000}"/>
    <cellStyle name="60% - 강조색2 14" xfId="1124" xr:uid="{00000000-0005-0000-0000-000035050000}"/>
    <cellStyle name="60% - 강조색2 2" xfId="1125" xr:uid="{00000000-0005-0000-0000-000036050000}"/>
    <cellStyle name="60% - 강조색2 2 2" xfId="1126" xr:uid="{00000000-0005-0000-0000-000037050000}"/>
    <cellStyle name="60% - 강조색2 2 2 2" xfId="1127" xr:uid="{00000000-0005-0000-0000-000038050000}"/>
    <cellStyle name="60% - 강조색2 2 3" xfId="1128" xr:uid="{00000000-0005-0000-0000-000039050000}"/>
    <cellStyle name="60% - 강조색2 3" xfId="1129" xr:uid="{00000000-0005-0000-0000-00003A050000}"/>
    <cellStyle name="60% - 강조색2 4" xfId="1130" xr:uid="{00000000-0005-0000-0000-00003B050000}"/>
    <cellStyle name="60% - 강조색2 5" xfId="1131" xr:uid="{00000000-0005-0000-0000-00003C050000}"/>
    <cellStyle name="60% - 강조색2 6" xfId="1132" xr:uid="{00000000-0005-0000-0000-00003D050000}"/>
    <cellStyle name="60% - 강조색2 7" xfId="1133" xr:uid="{00000000-0005-0000-0000-00003E050000}"/>
    <cellStyle name="60% - 강조색2 8" xfId="1134" xr:uid="{00000000-0005-0000-0000-00003F050000}"/>
    <cellStyle name="60% - 강조색2 9" xfId="1135" xr:uid="{00000000-0005-0000-0000-000040050000}"/>
    <cellStyle name="60% - 강조색3" xfId="29" builtinId="40" customBuiltin="1"/>
    <cellStyle name="60% - 강조색3 10" xfId="1136" xr:uid="{00000000-0005-0000-0000-000042050000}"/>
    <cellStyle name="60% - 강조색3 11" xfId="1137" xr:uid="{00000000-0005-0000-0000-000043050000}"/>
    <cellStyle name="60% - 강조색3 12" xfId="1138" xr:uid="{00000000-0005-0000-0000-000044050000}"/>
    <cellStyle name="60% - 강조색3 13" xfId="1139" xr:uid="{00000000-0005-0000-0000-000045050000}"/>
    <cellStyle name="60% - 강조색3 14" xfId="1140" xr:uid="{00000000-0005-0000-0000-000046050000}"/>
    <cellStyle name="60% - 강조색3 2" xfId="1141" xr:uid="{00000000-0005-0000-0000-000047050000}"/>
    <cellStyle name="60% - 강조색3 2 2" xfId="1142" xr:uid="{00000000-0005-0000-0000-000048050000}"/>
    <cellStyle name="60% - 강조색3 2 2 2" xfId="1143" xr:uid="{00000000-0005-0000-0000-000049050000}"/>
    <cellStyle name="60% - 강조색3 2 3" xfId="1144" xr:uid="{00000000-0005-0000-0000-00004A050000}"/>
    <cellStyle name="60% - 강조색3 3" xfId="1145" xr:uid="{00000000-0005-0000-0000-00004B050000}"/>
    <cellStyle name="60% - 강조색3 4" xfId="1146" xr:uid="{00000000-0005-0000-0000-00004C050000}"/>
    <cellStyle name="60% - 강조색3 5" xfId="1147" xr:uid="{00000000-0005-0000-0000-00004D050000}"/>
    <cellStyle name="60% - 강조색3 6" xfId="1148" xr:uid="{00000000-0005-0000-0000-00004E050000}"/>
    <cellStyle name="60% - 강조색3 7" xfId="1149" xr:uid="{00000000-0005-0000-0000-00004F050000}"/>
    <cellStyle name="60% - 강조색3 8" xfId="1150" xr:uid="{00000000-0005-0000-0000-000050050000}"/>
    <cellStyle name="60% - 강조색3 9" xfId="1151" xr:uid="{00000000-0005-0000-0000-000051050000}"/>
    <cellStyle name="60% - 강조색4" xfId="33" builtinId="44" customBuiltin="1"/>
    <cellStyle name="60% - 강조색4 10" xfId="1152" xr:uid="{00000000-0005-0000-0000-000053050000}"/>
    <cellStyle name="60% - 강조색4 11" xfId="1153" xr:uid="{00000000-0005-0000-0000-000054050000}"/>
    <cellStyle name="60% - 강조색4 12" xfId="1154" xr:uid="{00000000-0005-0000-0000-000055050000}"/>
    <cellStyle name="60% - 강조색4 13" xfId="1155" xr:uid="{00000000-0005-0000-0000-000056050000}"/>
    <cellStyle name="60% - 강조색4 14" xfId="1156" xr:uid="{00000000-0005-0000-0000-000057050000}"/>
    <cellStyle name="60% - 강조색4 2" xfId="1157" xr:uid="{00000000-0005-0000-0000-000058050000}"/>
    <cellStyle name="60% - 강조색4 2 2" xfId="1158" xr:uid="{00000000-0005-0000-0000-000059050000}"/>
    <cellStyle name="60% - 강조색4 2 2 2" xfId="1159" xr:uid="{00000000-0005-0000-0000-00005A050000}"/>
    <cellStyle name="60% - 강조색4 2 3" xfId="1160" xr:uid="{00000000-0005-0000-0000-00005B050000}"/>
    <cellStyle name="60% - 강조색4 3" xfId="1161" xr:uid="{00000000-0005-0000-0000-00005C050000}"/>
    <cellStyle name="60% - 강조색4 4" xfId="1162" xr:uid="{00000000-0005-0000-0000-00005D050000}"/>
    <cellStyle name="60% - 강조색4 5" xfId="1163" xr:uid="{00000000-0005-0000-0000-00005E050000}"/>
    <cellStyle name="60% - 강조색4 6" xfId="1164" xr:uid="{00000000-0005-0000-0000-00005F050000}"/>
    <cellStyle name="60% - 강조색4 7" xfId="1165" xr:uid="{00000000-0005-0000-0000-000060050000}"/>
    <cellStyle name="60% - 강조색4 8" xfId="1166" xr:uid="{00000000-0005-0000-0000-000061050000}"/>
    <cellStyle name="60% - 강조색4 9" xfId="1167" xr:uid="{00000000-0005-0000-0000-000062050000}"/>
    <cellStyle name="60% - 강조색5" xfId="37" builtinId="48" customBuiltin="1"/>
    <cellStyle name="60% - 강조색5 10" xfId="1168" xr:uid="{00000000-0005-0000-0000-000064050000}"/>
    <cellStyle name="60% - 강조색5 11" xfId="1169" xr:uid="{00000000-0005-0000-0000-000065050000}"/>
    <cellStyle name="60% - 강조색5 12" xfId="1170" xr:uid="{00000000-0005-0000-0000-000066050000}"/>
    <cellStyle name="60% - 강조색5 13" xfId="1171" xr:uid="{00000000-0005-0000-0000-000067050000}"/>
    <cellStyle name="60% - 강조색5 14" xfId="1172" xr:uid="{00000000-0005-0000-0000-000068050000}"/>
    <cellStyle name="60% - 강조색5 2" xfId="1173" xr:uid="{00000000-0005-0000-0000-000069050000}"/>
    <cellStyle name="60% - 강조색5 2 2" xfId="1174" xr:uid="{00000000-0005-0000-0000-00006A050000}"/>
    <cellStyle name="60% - 강조색5 2 2 2" xfId="1175" xr:uid="{00000000-0005-0000-0000-00006B050000}"/>
    <cellStyle name="60% - 강조색5 2 3" xfId="1176" xr:uid="{00000000-0005-0000-0000-00006C050000}"/>
    <cellStyle name="60% - 강조색5 3" xfId="1177" xr:uid="{00000000-0005-0000-0000-00006D050000}"/>
    <cellStyle name="60% - 강조색5 4" xfId="1178" xr:uid="{00000000-0005-0000-0000-00006E050000}"/>
    <cellStyle name="60% - 강조색5 5" xfId="1179" xr:uid="{00000000-0005-0000-0000-00006F050000}"/>
    <cellStyle name="60% - 강조색5 6" xfId="1180" xr:uid="{00000000-0005-0000-0000-000070050000}"/>
    <cellStyle name="60% - 강조색5 7" xfId="1181" xr:uid="{00000000-0005-0000-0000-000071050000}"/>
    <cellStyle name="60% - 강조색5 8" xfId="1182" xr:uid="{00000000-0005-0000-0000-000072050000}"/>
    <cellStyle name="60% - 강조색5 9" xfId="1183" xr:uid="{00000000-0005-0000-0000-000073050000}"/>
    <cellStyle name="60% - 강조색6" xfId="41" builtinId="52" customBuiltin="1"/>
    <cellStyle name="60% - 강조색6 10" xfId="1184" xr:uid="{00000000-0005-0000-0000-000075050000}"/>
    <cellStyle name="60% - 강조색6 11" xfId="1185" xr:uid="{00000000-0005-0000-0000-000076050000}"/>
    <cellStyle name="60% - 강조색6 12" xfId="1186" xr:uid="{00000000-0005-0000-0000-000077050000}"/>
    <cellStyle name="60% - 강조색6 13" xfId="1187" xr:uid="{00000000-0005-0000-0000-000078050000}"/>
    <cellStyle name="60% - 강조색6 14" xfId="1188" xr:uid="{00000000-0005-0000-0000-000079050000}"/>
    <cellStyle name="60% - 강조색6 2" xfId="1189" xr:uid="{00000000-0005-0000-0000-00007A050000}"/>
    <cellStyle name="60% - 강조색6 2 2" xfId="1190" xr:uid="{00000000-0005-0000-0000-00007B050000}"/>
    <cellStyle name="60% - 강조색6 2 2 2" xfId="1191" xr:uid="{00000000-0005-0000-0000-00007C050000}"/>
    <cellStyle name="60% - 강조색6 2 3" xfId="1192" xr:uid="{00000000-0005-0000-0000-00007D050000}"/>
    <cellStyle name="60% - 강조색6 3" xfId="1193" xr:uid="{00000000-0005-0000-0000-00007E050000}"/>
    <cellStyle name="60% - 강조색6 4" xfId="1194" xr:uid="{00000000-0005-0000-0000-00007F050000}"/>
    <cellStyle name="60% - 강조색6 5" xfId="1195" xr:uid="{00000000-0005-0000-0000-000080050000}"/>
    <cellStyle name="60% - 강조색6 6" xfId="1196" xr:uid="{00000000-0005-0000-0000-000081050000}"/>
    <cellStyle name="60% - 강조색6 7" xfId="1197" xr:uid="{00000000-0005-0000-0000-000082050000}"/>
    <cellStyle name="60% - 강조색6 8" xfId="1198" xr:uid="{00000000-0005-0000-0000-000083050000}"/>
    <cellStyle name="60% - 강조색6 9" xfId="1199" xr:uid="{00000000-0005-0000-0000-000084050000}"/>
    <cellStyle name="7_매출" xfId="1200" xr:uid="{00000000-0005-0000-0000-000085050000}"/>
    <cellStyle name="ÅëÈ­ [0]_¿ùº°" xfId="1201" xr:uid="{00000000-0005-0000-0000-000086050000}"/>
    <cellStyle name="AeE­ [0]_INQUIRY ¿µ¾÷AßAø " xfId="1202" xr:uid="{00000000-0005-0000-0000-000087050000}"/>
    <cellStyle name="ÅëÈ­ [0]_L601CPT" xfId="1203" xr:uid="{00000000-0005-0000-0000-000088050000}"/>
    <cellStyle name="ÅëÈ­_¿ùº°" xfId="1204" xr:uid="{00000000-0005-0000-0000-000089050000}"/>
    <cellStyle name="AeE­_INQUIRY ¿µ¾÷AßAø " xfId="1205" xr:uid="{00000000-0005-0000-0000-00008A050000}"/>
    <cellStyle name="ÅëÈ­_L601CPT" xfId="1206" xr:uid="{00000000-0005-0000-0000-00008B050000}"/>
    <cellStyle name="ÄÞ¸¶ [0]_¿î¿µÇ°ÀÇ" xfId="1207" xr:uid="{00000000-0005-0000-0000-00008C050000}"/>
    <cellStyle name="AÞ¸¶ [0]_INQUIRY ¿µ¾÷AßAø " xfId="1208" xr:uid="{00000000-0005-0000-0000-00008D050000}"/>
    <cellStyle name="ÄÞ¸¶ [0]_L601CPT" xfId="1209" xr:uid="{00000000-0005-0000-0000-00008E050000}"/>
    <cellStyle name="ÄÞ¸¶_¿ùº°" xfId="1210" xr:uid="{00000000-0005-0000-0000-00008F050000}"/>
    <cellStyle name="AÞ¸¶_INQUIRY ¿µ¾÷AßAø " xfId="1211" xr:uid="{00000000-0005-0000-0000-000090050000}"/>
    <cellStyle name="ÄÞ¸¶_L601CPT" xfId="1212" xr:uid="{00000000-0005-0000-0000-000091050000}"/>
    <cellStyle name="C?AØ_¿µ¾÷CoE² " xfId="1213" xr:uid="{00000000-0005-0000-0000-000092050000}"/>
    <cellStyle name="Ç¥ÁØ_#2(M17)_1" xfId="1214" xr:uid="{00000000-0005-0000-0000-000093050000}"/>
    <cellStyle name="category" xfId="1215" xr:uid="{00000000-0005-0000-0000-000094050000}"/>
    <cellStyle name="Comma [0] 2" xfId="1216" xr:uid="{00000000-0005-0000-0000-000095050000}"/>
    <cellStyle name="Comma [0]_ SG&amp;A Bridge " xfId="1217" xr:uid="{00000000-0005-0000-0000-000096050000}"/>
    <cellStyle name="comma zerodec" xfId="1218" xr:uid="{00000000-0005-0000-0000-000097050000}"/>
    <cellStyle name="Comma_ SG&amp;A Bridge " xfId="1219" xr:uid="{00000000-0005-0000-0000-000098050000}"/>
    <cellStyle name="Comma0" xfId="1220" xr:uid="{00000000-0005-0000-0000-000099050000}"/>
    <cellStyle name="Currency [0]_ SG&amp;A Bridge " xfId="1221" xr:uid="{00000000-0005-0000-0000-00009A050000}"/>
    <cellStyle name="Currency_ SG&amp;A Bridge " xfId="1222" xr:uid="{00000000-0005-0000-0000-00009B050000}"/>
    <cellStyle name="Currency0" xfId="1223" xr:uid="{00000000-0005-0000-0000-00009C050000}"/>
    <cellStyle name="Currency1" xfId="1224" xr:uid="{00000000-0005-0000-0000-00009D050000}"/>
    <cellStyle name="Date" xfId="1225" xr:uid="{00000000-0005-0000-0000-00009E050000}"/>
    <cellStyle name="Dollar (zero dec)" xfId="1226" xr:uid="{00000000-0005-0000-0000-00009F050000}"/>
    <cellStyle name="eries" xfId="1227" xr:uid="{00000000-0005-0000-0000-0000A0050000}"/>
    <cellStyle name="final values" xfId="1228" xr:uid="{00000000-0005-0000-0000-0000A1050000}"/>
    <cellStyle name="final values 2" xfId="1229" xr:uid="{00000000-0005-0000-0000-0000A2050000}"/>
    <cellStyle name="final values 3" xfId="1230" xr:uid="{00000000-0005-0000-0000-0000A3050000}"/>
    <cellStyle name="final values 4" xfId="1231" xr:uid="{00000000-0005-0000-0000-0000A4050000}"/>
    <cellStyle name="Fixed" xfId="1232" xr:uid="{00000000-0005-0000-0000-0000A5050000}"/>
    <cellStyle name="G 전자 GLP-860 Series" xfId="1233" xr:uid="{00000000-0005-0000-0000-0000A6050000}"/>
    <cellStyle name="Grey" xfId="1234" xr:uid="{00000000-0005-0000-0000-0000A7050000}"/>
    <cellStyle name="HEADER" xfId="1235" xr:uid="{00000000-0005-0000-0000-0000A8050000}"/>
    <cellStyle name="Header1" xfId="1236" xr:uid="{00000000-0005-0000-0000-0000A9050000}"/>
    <cellStyle name="Header2" xfId="1237" xr:uid="{00000000-0005-0000-0000-0000AA050000}"/>
    <cellStyle name="Heading 1" xfId="1238" xr:uid="{00000000-0005-0000-0000-0000AB050000}"/>
    <cellStyle name="Heading 2" xfId="1239" xr:uid="{00000000-0005-0000-0000-0000AC050000}"/>
    <cellStyle name="Input [yellow]" xfId="1240" xr:uid="{00000000-0005-0000-0000-0000AD050000}"/>
    <cellStyle name="Model" xfId="1241" xr:uid="{00000000-0005-0000-0000-0000AE050000}"/>
    <cellStyle name="Normal" xfId="1242" xr:uid="{00000000-0005-0000-0000-0000AF050000}"/>
    <cellStyle name="Normal - Style1" xfId="1243" xr:uid="{00000000-0005-0000-0000-0000B0050000}"/>
    <cellStyle name="Normal 121" xfId="1244" xr:uid="{00000000-0005-0000-0000-0000B1050000}"/>
    <cellStyle name="Normal 121 2" xfId="6924" xr:uid="{00000000-0005-0000-0000-0000B2050000}"/>
    <cellStyle name="Normal 121 2 2" xfId="9449" xr:uid="{00000000-0005-0000-0000-0000B3050000}"/>
    <cellStyle name="Normal 121 3" xfId="7767" xr:uid="{00000000-0005-0000-0000-0000B4050000}"/>
    <cellStyle name="Normal 121 4" xfId="8607" xr:uid="{00000000-0005-0000-0000-0000B5050000}"/>
    <cellStyle name="Normal 121 5" xfId="6078" xr:uid="{00000000-0005-0000-0000-0000B6050000}"/>
    <cellStyle name="Normal 125" xfId="1245" xr:uid="{00000000-0005-0000-0000-0000B7050000}"/>
    <cellStyle name="Normal 18" xfId="1246" xr:uid="{00000000-0005-0000-0000-0000B8050000}"/>
    <cellStyle name="Normal 2" xfId="1247" xr:uid="{00000000-0005-0000-0000-0000B9050000}"/>
    <cellStyle name="Normal 2 2" xfId="1248" xr:uid="{00000000-0005-0000-0000-0000BA050000}"/>
    <cellStyle name="Normal 2 3" xfId="1249" xr:uid="{00000000-0005-0000-0000-0000BB050000}"/>
    <cellStyle name="Normal 2 4" xfId="6079" xr:uid="{00000000-0005-0000-0000-0000BC050000}"/>
    <cellStyle name="Normal 3" xfId="1250" xr:uid="{00000000-0005-0000-0000-0000BD050000}"/>
    <cellStyle name="Normal 3 2" xfId="1251" xr:uid="{00000000-0005-0000-0000-0000BE050000}"/>
    <cellStyle name="Normal_ SG&amp;A Bridge " xfId="1252" xr:uid="{00000000-0005-0000-0000-0000BF050000}"/>
    <cellStyle name="PE_1월" xfId="1253" xr:uid="{00000000-0005-0000-0000-0000C0050000}"/>
    <cellStyle name="Percent [2]" xfId="1254" xr:uid="{00000000-0005-0000-0000-0000C1050000}"/>
    <cellStyle name="SAPBEXaggData" xfId="1255" xr:uid="{00000000-0005-0000-0000-0000C2050000}"/>
    <cellStyle name="SAPBEXaggData 2" xfId="1256" xr:uid="{00000000-0005-0000-0000-0000C3050000}"/>
    <cellStyle name="SAPBEXaggDataEmph" xfId="1257" xr:uid="{00000000-0005-0000-0000-0000C4050000}"/>
    <cellStyle name="SAPBEXaggItem" xfId="1258" xr:uid="{00000000-0005-0000-0000-0000C5050000}"/>
    <cellStyle name="SAPBEXaggItemX" xfId="1259" xr:uid="{00000000-0005-0000-0000-0000C6050000}"/>
    <cellStyle name="SAPBEXchaText" xfId="1260" xr:uid="{00000000-0005-0000-0000-0000C7050000}"/>
    <cellStyle name="SAPBEXchaText 2" xfId="1261" xr:uid="{00000000-0005-0000-0000-0000C8050000}"/>
    <cellStyle name="SAPBEXchaText 3" xfId="1262" xr:uid="{00000000-0005-0000-0000-0000C9050000}"/>
    <cellStyle name="SAPBEXchaText 4" xfId="1263" xr:uid="{00000000-0005-0000-0000-0000CA050000}"/>
    <cellStyle name="SAPBEXexcBad7" xfId="1264" xr:uid="{00000000-0005-0000-0000-0000CB050000}"/>
    <cellStyle name="SAPBEXexcBad8" xfId="1265" xr:uid="{00000000-0005-0000-0000-0000CC050000}"/>
    <cellStyle name="SAPBEXexcBad9" xfId="1266" xr:uid="{00000000-0005-0000-0000-0000CD050000}"/>
    <cellStyle name="SAPBEXexcCritical4" xfId="1267" xr:uid="{00000000-0005-0000-0000-0000CE050000}"/>
    <cellStyle name="SAPBEXexcCritical5" xfId="1268" xr:uid="{00000000-0005-0000-0000-0000CF050000}"/>
    <cellStyle name="SAPBEXexcCritical6" xfId="1269" xr:uid="{00000000-0005-0000-0000-0000D0050000}"/>
    <cellStyle name="SAPBEXexcGood1" xfId="1270" xr:uid="{00000000-0005-0000-0000-0000D1050000}"/>
    <cellStyle name="SAPBEXexcGood2" xfId="1271" xr:uid="{00000000-0005-0000-0000-0000D2050000}"/>
    <cellStyle name="SAPBEXexcGood3" xfId="1272" xr:uid="{00000000-0005-0000-0000-0000D3050000}"/>
    <cellStyle name="SAPBEXfilterDrill" xfId="1273" xr:uid="{00000000-0005-0000-0000-0000D4050000}"/>
    <cellStyle name="SAPBEXfilterItem" xfId="1274" xr:uid="{00000000-0005-0000-0000-0000D5050000}"/>
    <cellStyle name="SAPBEXfilterText" xfId="1275" xr:uid="{00000000-0005-0000-0000-0000D6050000}"/>
    <cellStyle name="SAPBEXfilterText 2" xfId="1276" xr:uid="{00000000-0005-0000-0000-0000D7050000}"/>
    <cellStyle name="SAPBEXfilterText 3" xfId="1277" xr:uid="{00000000-0005-0000-0000-0000D8050000}"/>
    <cellStyle name="SAPBEXfilterText 4" xfId="1278" xr:uid="{00000000-0005-0000-0000-0000D9050000}"/>
    <cellStyle name="SAPBEXformats" xfId="1279" xr:uid="{00000000-0005-0000-0000-0000DA050000}"/>
    <cellStyle name="SAPBEXformats 2" xfId="1280" xr:uid="{00000000-0005-0000-0000-0000DB050000}"/>
    <cellStyle name="SAPBEXformats 3" xfId="1281" xr:uid="{00000000-0005-0000-0000-0000DC050000}"/>
    <cellStyle name="SAPBEXformats 4" xfId="1282" xr:uid="{00000000-0005-0000-0000-0000DD050000}"/>
    <cellStyle name="SAPBEXheaderItem" xfId="1283" xr:uid="{00000000-0005-0000-0000-0000DE050000}"/>
    <cellStyle name="SAPBEXheaderItem 2" xfId="1284" xr:uid="{00000000-0005-0000-0000-0000DF050000}"/>
    <cellStyle name="SAPBEXheaderItem 3" xfId="1285" xr:uid="{00000000-0005-0000-0000-0000E0050000}"/>
    <cellStyle name="SAPBEXheaderItem 4" xfId="1286" xr:uid="{00000000-0005-0000-0000-0000E1050000}"/>
    <cellStyle name="SAPBEXheaderText" xfId="1287" xr:uid="{00000000-0005-0000-0000-0000E2050000}"/>
    <cellStyle name="SAPBEXheaderText 2" xfId="1288" xr:uid="{00000000-0005-0000-0000-0000E3050000}"/>
    <cellStyle name="SAPBEXheaderText 3" xfId="1289" xr:uid="{00000000-0005-0000-0000-0000E4050000}"/>
    <cellStyle name="SAPBEXheaderText 4" xfId="1290" xr:uid="{00000000-0005-0000-0000-0000E5050000}"/>
    <cellStyle name="SAPBEXHLevel0" xfId="1291" xr:uid="{00000000-0005-0000-0000-0000E6050000}"/>
    <cellStyle name="SAPBEXHLevel0 2" xfId="1292" xr:uid="{00000000-0005-0000-0000-0000E7050000}"/>
    <cellStyle name="SAPBEXHLevel0 3" xfId="1293" xr:uid="{00000000-0005-0000-0000-0000E8050000}"/>
    <cellStyle name="SAPBEXHLevel0 4" xfId="1294" xr:uid="{00000000-0005-0000-0000-0000E9050000}"/>
    <cellStyle name="SAPBEXHLevel0X" xfId="1295" xr:uid="{00000000-0005-0000-0000-0000EA050000}"/>
    <cellStyle name="SAPBEXHLevel0X 2" xfId="1296" xr:uid="{00000000-0005-0000-0000-0000EB050000}"/>
    <cellStyle name="SAPBEXHLevel0X 3" xfId="1297" xr:uid="{00000000-0005-0000-0000-0000EC050000}"/>
    <cellStyle name="SAPBEXHLevel0X 4" xfId="1298" xr:uid="{00000000-0005-0000-0000-0000ED050000}"/>
    <cellStyle name="SAPBEXHLevel1" xfId="1299" xr:uid="{00000000-0005-0000-0000-0000EE050000}"/>
    <cellStyle name="SAPBEXHLevel1 2" xfId="1300" xr:uid="{00000000-0005-0000-0000-0000EF050000}"/>
    <cellStyle name="SAPBEXHLevel1 3" xfId="1301" xr:uid="{00000000-0005-0000-0000-0000F0050000}"/>
    <cellStyle name="SAPBEXHLevel1 4" xfId="1302" xr:uid="{00000000-0005-0000-0000-0000F1050000}"/>
    <cellStyle name="SAPBEXHLevel1X" xfId="1303" xr:uid="{00000000-0005-0000-0000-0000F2050000}"/>
    <cellStyle name="SAPBEXHLevel1X 2" xfId="1304" xr:uid="{00000000-0005-0000-0000-0000F3050000}"/>
    <cellStyle name="SAPBEXHLevel1X 3" xfId="1305" xr:uid="{00000000-0005-0000-0000-0000F4050000}"/>
    <cellStyle name="SAPBEXHLevel1X 4" xfId="1306" xr:uid="{00000000-0005-0000-0000-0000F5050000}"/>
    <cellStyle name="SAPBEXHLevel2" xfId="1307" xr:uid="{00000000-0005-0000-0000-0000F6050000}"/>
    <cellStyle name="SAPBEXHLevel2 2" xfId="1308" xr:uid="{00000000-0005-0000-0000-0000F7050000}"/>
    <cellStyle name="SAPBEXHLevel2 3" xfId="1309" xr:uid="{00000000-0005-0000-0000-0000F8050000}"/>
    <cellStyle name="SAPBEXHLevel2 4" xfId="1310" xr:uid="{00000000-0005-0000-0000-0000F9050000}"/>
    <cellStyle name="SAPBEXHLevel2X" xfId="1311" xr:uid="{00000000-0005-0000-0000-0000FA050000}"/>
    <cellStyle name="SAPBEXHLevel2X 2" xfId="1312" xr:uid="{00000000-0005-0000-0000-0000FB050000}"/>
    <cellStyle name="SAPBEXHLevel2X 3" xfId="1313" xr:uid="{00000000-0005-0000-0000-0000FC050000}"/>
    <cellStyle name="SAPBEXHLevel2X 4" xfId="1314" xr:uid="{00000000-0005-0000-0000-0000FD050000}"/>
    <cellStyle name="SAPBEXHLevel3" xfId="1315" xr:uid="{00000000-0005-0000-0000-0000FE050000}"/>
    <cellStyle name="SAPBEXHLevel3 2" xfId="1316" xr:uid="{00000000-0005-0000-0000-0000FF050000}"/>
    <cellStyle name="SAPBEXHLevel3 3" xfId="1317" xr:uid="{00000000-0005-0000-0000-000000060000}"/>
    <cellStyle name="SAPBEXHLevel3 4" xfId="1318" xr:uid="{00000000-0005-0000-0000-000001060000}"/>
    <cellStyle name="SAPBEXHLevel3X" xfId="1319" xr:uid="{00000000-0005-0000-0000-000002060000}"/>
    <cellStyle name="SAPBEXHLevel3X 2" xfId="1320" xr:uid="{00000000-0005-0000-0000-000003060000}"/>
    <cellStyle name="SAPBEXHLevel3X 3" xfId="1321" xr:uid="{00000000-0005-0000-0000-000004060000}"/>
    <cellStyle name="SAPBEXHLevel3X 4" xfId="1322" xr:uid="{00000000-0005-0000-0000-000005060000}"/>
    <cellStyle name="SAPBEXresData" xfId="1323" xr:uid="{00000000-0005-0000-0000-000006060000}"/>
    <cellStyle name="SAPBEXresDataEmph" xfId="1324" xr:uid="{00000000-0005-0000-0000-000007060000}"/>
    <cellStyle name="SAPBEXresItem" xfId="1325" xr:uid="{00000000-0005-0000-0000-000008060000}"/>
    <cellStyle name="SAPBEXresItemX" xfId="1326" xr:uid="{00000000-0005-0000-0000-000009060000}"/>
    <cellStyle name="SAPBEXstdData" xfId="1327" xr:uid="{00000000-0005-0000-0000-00000A060000}"/>
    <cellStyle name="SAPBEXstdDataEmph" xfId="1328" xr:uid="{00000000-0005-0000-0000-00000B060000}"/>
    <cellStyle name="SAPBEXstdItem" xfId="1329" xr:uid="{00000000-0005-0000-0000-00000C060000}"/>
    <cellStyle name="SAPBEXstdItem 2" xfId="1330" xr:uid="{00000000-0005-0000-0000-00000D060000}"/>
    <cellStyle name="SAPBEXstdItem 3" xfId="1331" xr:uid="{00000000-0005-0000-0000-00000E060000}"/>
    <cellStyle name="SAPBEXstdItem 4" xfId="1332" xr:uid="{00000000-0005-0000-0000-00000F060000}"/>
    <cellStyle name="SAPBEXstdItem 5" xfId="1333" xr:uid="{00000000-0005-0000-0000-000010060000}"/>
    <cellStyle name="SAPBEXstdItem 6" xfId="1334" xr:uid="{00000000-0005-0000-0000-000011060000}"/>
    <cellStyle name="SAPBEXstdItemX" xfId="1335" xr:uid="{00000000-0005-0000-0000-000012060000}"/>
    <cellStyle name="SAPBEXstdItemX 2" xfId="1336" xr:uid="{00000000-0005-0000-0000-000013060000}"/>
    <cellStyle name="SAPBEXstdItemX 3" xfId="1337" xr:uid="{00000000-0005-0000-0000-000014060000}"/>
    <cellStyle name="SAPBEXstdItemX 4" xfId="1338" xr:uid="{00000000-0005-0000-0000-000015060000}"/>
    <cellStyle name="SAPBEXtitle" xfId="1339" xr:uid="{00000000-0005-0000-0000-000016060000}"/>
    <cellStyle name="SAPBEXtitle 2" xfId="1340" xr:uid="{00000000-0005-0000-0000-000017060000}"/>
    <cellStyle name="SAPBEXtitle 3" xfId="1341" xr:uid="{00000000-0005-0000-0000-000018060000}"/>
    <cellStyle name="SAPBEXtitle 4" xfId="1342" xr:uid="{00000000-0005-0000-0000-000019060000}"/>
    <cellStyle name="SAPBEXundefined" xfId="1343" xr:uid="{00000000-0005-0000-0000-00001A060000}"/>
    <cellStyle name="subhead" xfId="1344" xr:uid="{00000000-0005-0000-0000-00001B060000}"/>
    <cellStyle name="Total" xfId="1345" xr:uid="{00000000-0005-0000-0000-00001C060000}"/>
    <cellStyle name="訶택?12월당월" xfId="1346" xr:uid="{00000000-0005-0000-0000-00001D060000}"/>
    <cellStyle name="訶택?부문별" xfId="1347" xr:uid="{00000000-0005-0000-0000-00001E060000}"/>
    <cellStyle name="강조색1" xfId="18" builtinId="29" customBuiltin="1"/>
    <cellStyle name="강조색1 10" xfId="1348" xr:uid="{00000000-0005-0000-0000-000020060000}"/>
    <cellStyle name="강조색1 11" xfId="1349" xr:uid="{00000000-0005-0000-0000-000021060000}"/>
    <cellStyle name="강조색1 12" xfId="1350" xr:uid="{00000000-0005-0000-0000-000022060000}"/>
    <cellStyle name="강조색1 13" xfId="1351" xr:uid="{00000000-0005-0000-0000-000023060000}"/>
    <cellStyle name="강조색1 14" xfId="1352" xr:uid="{00000000-0005-0000-0000-000024060000}"/>
    <cellStyle name="강조색1 2" xfId="1353" xr:uid="{00000000-0005-0000-0000-000025060000}"/>
    <cellStyle name="강조색1 2 2" xfId="1354" xr:uid="{00000000-0005-0000-0000-000026060000}"/>
    <cellStyle name="강조색1 2 2 2" xfId="1355" xr:uid="{00000000-0005-0000-0000-000027060000}"/>
    <cellStyle name="강조색1 2 3" xfId="1356" xr:uid="{00000000-0005-0000-0000-000028060000}"/>
    <cellStyle name="강조색1 3" xfId="1357" xr:uid="{00000000-0005-0000-0000-000029060000}"/>
    <cellStyle name="강조색1 4" xfId="1358" xr:uid="{00000000-0005-0000-0000-00002A060000}"/>
    <cellStyle name="강조색1 5" xfId="1359" xr:uid="{00000000-0005-0000-0000-00002B060000}"/>
    <cellStyle name="강조색1 6" xfId="1360" xr:uid="{00000000-0005-0000-0000-00002C060000}"/>
    <cellStyle name="강조색1 7" xfId="1361" xr:uid="{00000000-0005-0000-0000-00002D060000}"/>
    <cellStyle name="강조색1 8" xfId="1362" xr:uid="{00000000-0005-0000-0000-00002E060000}"/>
    <cellStyle name="강조색1 9" xfId="1363" xr:uid="{00000000-0005-0000-0000-00002F060000}"/>
    <cellStyle name="강조색2" xfId="22" builtinId="33" customBuiltin="1"/>
    <cellStyle name="강조색2 10" xfId="1364" xr:uid="{00000000-0005-0000-0000-000031060000}"/>
    <cellStyle name="강조색2 11" xfId="1365" xr:uid="{00000000-0005-0000-0000-000032060000}"/>
    <cellStyle name="강조색2 12" xfId="1366" xr:uid="{00000000-0005-0000-0000-000033060000}"/>
    <cellStyle name="강조색2 13" xfId="1367" xr:uid="{00000000-0005-0000-0000-000034060000}"/>
    <cellStyle name="강조색2 14" xfId="1368" xr:uid="{00000000-0005-0000-0000-000035060000}"/>
    <cellStyle name="강조색2 2" xfId="1369" xr:uid="{00000000-0005-0000-0000-000036060000}"/>
    <cellStyle name="강조색2 2 2" xfId="1370" xr:uid="{00000000-0005-0000-0000-000037060000}"/>
    <cellStyle name="강조색2 2 2 2" xfId="1371" xr:uid="{00000000-0005-0000-0000-000038060000}"/>
    <cellStyle name="강조색2 2 3" xfId="1372" xr:uid="{00000000-0005-0000-0000-000039060000}"/>
    <cellStyle name="강조색2 3" xfId="1373" xr:uid="{00000000-0005-0000-0000-00003A060000}"/>
    <cellStyle name="강조색2 4" xfId="1374" xr:uid="{00000000-0005-0000-0000-00003B060000}"/>
    <cellStyle name="강조색2 5" xfId="1375" xr:uid="{00000000-0005-0000-0000-00003C060000}"/>
    <cellStyle name="강조색2 6" xfId="1376" xr:uid="{00000000-0005-0000-0000-00003D060000}"/>
    <cellStyle name="강조색2 7" xfId="1377" xr:uid="{00000000-0005-0000-0000-00003E060000}"/>
    <cellStyle name="강조색2 8" xfId="1378" xr:uid="{00000000-0005-0000-0000-00003F060000}"/>
    <cellStyle name="강조색2 9" xfId="1379" xr:uid="{00000000-0005-0000-0000-000040060000}"/>
    <cellStyle name="강조색3" xfId="26" builtinId="37" customBuiltin="1"/>
    <cellStyle name="강조색3 10" xfId="1380" xr:uid="{00000000-0005-0000-0000-000042060000}"/>
    <cellStyle name="강조색3 11" xfId="1381" xr:uid="{00000000-0005-0000-0000-000043060000}"/>
    <cellStyle name="강조색3 12" xfId="1382" xr:uid="{00000000-0005-0000-0000-000044060000}"/>
    <cellStyle name="강조색3 13" xfId="1383" xr:uid="{00000000-0005-0000-0000-000045060000}"/>
    <cellStyle name="강조색3 14" xfId="1384" xr:uid="{00000000-0005-0000-0000-000046060000}"/>
    <cellStyle name="강조색3 2" xfId="1385" xr:uid="{00000000-0005-0000-0000-000047060000}"/>
    <cellStyle name="강조색3 2 2" xfId="1386" xr:uid="{00000000-0005-0000-0000-000048060000}"/>
    <cellStyle name="강조색3 2 2 2" xfId="1387" xr:uid="{00000000-0005-0000-0000-000049060000}"/>
    <cellStyle name="강조색3 2 3" xfId="1388" xr:uid="{00000000-0005-0000-0000-00004A060000}"/>
    <cellStyle name="강조색3 3" xfId="1389" xr:uid="{00000000-0005-0000-0000-00004B060000}"/>
    <cellStyle name="강조색3 4" xfId="1390" xr:uid="{00000000-0005-0000-0000-00004C060000}"/>
    <cellStyle name="강조색3 5" xfId="1391" xr:uid="{00000000-0005-0000-0000-00004D060000}"/>
    <cellStyle name="강조색3 6" xfId="1392" xr:uid="{00000000-0005-0000-0000-00004E060000}"/>
    <cellStyle name="강조색3 7" xfId="1393" xr:uid="{00000000-0005-0000-0000-00004F060000}"/>
    <cellStyle name="강조색3 8" xfId="1394" xr:uid="{00000000-0005-0000-0000-000050060000}"/>
    <cellStyle name="강조색3 9" xfId="1395" xr:uid="{00000000-0005-0000-0000-000051060000}"/>
    <cellStyle name="강조색4" xfId="30" builtinId="41" customBuiltin="1"/>
    <cellStyle name="강조색4 10" xfId="1396" xr:uid="{00000000-0005-0000-0000-000053060000}"/>
    <cellStyle name="강조색4 11" xfId="1397" xr:uid="{00000000-0005-0000-0000-000054060000}"/>
    <cellStyle name="강조색4 12" xfId="1398" xr:uid="{00000000-0005-0000-0000-000055060000}"/>
    <cellStyle name="강조색4 13" xfId="1399" xr:uid="{00000000-0005-0000-0000-000056060000}"/>
    <cellStyle name="강조색4 14" xfId="1400" xr:uid="{00000000-0005-0000-0000-000057060000}"/>
    <cellStyle name="강조색4 2" xfId="1401" xr:uid="{00000000-0005-0000-0000-000058060000}"/>
    <cellStyle name="강조색4 2 2" xfId="1402" xr:uid="{00000000-0005-0000-0000-000059060000}"/>
    <cellStyle name="강조색4 2 2 2" xfId="1403" xr:uid="{00000000-0005-0000-0000-00005A060000}"/>
    <cellStyle name="강조색4 2 3" xfId="1404" xr:uid="{00000000-0005-0000-0000-00005B060000}"/>
    <cellStyle name="강조색4 3" xfId="1405" xr:uid="{00000000-0005-0000-0000-00005C060000}"/>
    <cellStyle name="강조색4 4" xfId="1406" xr:uid="{00000000-0005-0000-0000-00005D060000}"/>
    <cellStyle name="강조색4 5" xfId="1407" xr:uid="{00000000-0005-0000-0000-00005E060000}"/>
    <cellStyle name="강조색4 6" xfId="1408" xr:uid="{00000000-0005-0000-0000-00005F060000}"/>
    <cellStyle name="강조색4 7" xfId="1409" xr:uid="{00000000-0005-0000-0000-000060060000}"/>
    <cellStyle name="강조색4 8" xfId="1410" xr:uid="{00000000-0005-0000-0000-000061060000}"/>
    <cellStyle name="강조색4 9" xfId="1411" xr:uid="{00000000-0005-0000-0000-000062060000}"/>
    <cellStyle name="강조색5" xfId="34" builtinId="45" customBuiltin="1"/>
    <cellStyle name="강조색5 10" xfId="1412" xr:uid="{00000000-0005-0000-0000-000064060000}"/>
    <cellStyle name="강조색5 11" xfId="1413" xr:uid="{00000000-0005-0000-0000-000065060000}"/>
    <cellStyle name="강조색5 12" xfId="1414" xr:uid="{00000000-0005-0000-0000-000066060000}"/>
    <cellStyle name="강조색5 13" xfId="1415" xr:uid="{00000000-0005-0000-0000-000067060000}"/>
    <cellStyle name="강조색5 14" xfId="1416" xr:uid="{00000000-0005-0000-0000-000068060000}"/>
    <cellStyle name="강조색5 2" xfId="1417" xr:uid="{00000000-0005-0000-0000-000069060000}"/>
    <cellStyle name="강조색5 2 2" xfId="1418" xr:uid="{00000000-0005-0000-0000-00006A060000}"/>
    <cellStyle name="강조색5 2 2 2" xfId="1419" xr:uid="{00000000-0005-0000-0000-00006B060000}"/>
    <cellStyle name="강조색5 2 3" xfId="1420" xr:uid="{00000000-0005-0000-0000-00006C060000}"/>
    <cellStyle name="강조색5 3" xfId="1421" xr:uid="{00000000-0005-0000-0000-00006D060000}"/>
    <cellStyle name="강조색5 4" xfId="1422" xr:uid="{00000000-0005-0000-0000-00006E060000}"/>
    <cellStyle name="강조색5 5" xfId="1423" xr:uid="{00000000-0005-0000-0000-00006F060000}"/>
    <cellStyle name="강조색5 6" xfId="1424" xr:uid="{00000000-0005-0000-0000-000070060000}"/>
    <cellStyle name="강조색5 7" xfId="1425" xr:uid="{00000000-0005-0000-0000-000071060000}"/>
    <cellStyle name="강조색5 8" xfId="1426" xr:uid="{00000000-0005-0000-0000-000072060000}"/>
    <cellStyle name="강조색5 9" xfId="1427" xr:uid="{00000000-0005-0000-0000-000073060000}"/>
    <cellStyle name="강조색6" xfId="38" builtinId="49" customBuiltin="1"/>
    <cellStyle name="강조색6 10" xfId="1428" xr:uid="{00000000-0005-0000-0000-000075060000}"/>
    <cellStyle name="강조색6 11" xfId="1429" xr:uid="{00000000-0005-0000-0000-000076060000}"/>
    <cellStyle name="강조색6 12" xfId="1430" xr:uid="{00000000-0005-0000-0000-000077060000}"/>
    <cellStyle name="강조색6 13" xfId="1431" xr:uid="{00000000-0005-0000-0000-000078060000}"/>
    <cellStyle name="강조색6 14" xfId="1432" xr:uid="{00000000-0005-0000-0000-000079060000}"/>
    <cellStyle name="강조색6 2" xfId="1433" xr:uid="{00000000-0005-0000-0000-00007A060000}"/>
    <cellStyle name="강조색6 2 2" xfId="1434" xr:uid="{00000000-0005-0000-0000-00007B060000}"/>
    <cellStyle name="강조색6 2 2 2" xfId="1435" xr:uid="{00000000-0005-0000-0000-00007C060000}"/>
    <cellStyle name="강조색6 2 3" xfId="1436" xr:uid="{00000000-0005-0000-0000-00007D060000}"/>
    <cellStyle name="강조색6 3" xfId="1437" xr:uid="{00000000-0005-0000-0000-00007E060000}"/>
    <cellStyle name="강조색6 4" xfId="1438" xr:uid="{00000000-0005-0000-0000-00007F060000}"/>
    <cellStyle name="강조색6 5" xfId="1439" xr:uid="{00000000-0005-0000-0000-000080060000}"/>
    <cellStyle name="강조색6 6" xfId="1440" xr:uid="{00000000-0005-0000-0000-000081060000}"/>
    <cellStyle name="강조색6 7" xfId="1441" xr:uid="{00000000-0005-0000-0000-000082060000}"/>
    <cellStyle name="강조색6 8" xfId="1442" xr:uid="{00000000-0005-0000-0000-000083060000}"/>
    <cellStyle name="강조색6 9" xfId="1443" xr:uid="{00000000-0005-0000-0000-000084060000}"/>
    <cellStyle name="경고문" xfId="14" builtinId="11" customBuiltin="1"/>
    <cellStyle name="경고문 10" xfId="1444" xr:uid="{00000000-0005-0000-0000-000086060000}"/>
    <cellStyle name="경고문 11" xfId="1445" xr:uid="{00000000-0005-0000-0000-000087060000}"/>
    <cellStyle name="경고문 12" xfId="1446" xr:uid="{00000000-0005-0000-0000-000088060000}"/>
    <cellStyle name="경고문 13" xfId="1447" xr:uid="{00000000-0005-0000-0000-000089060000}"/>
    <cellStyle name="경고문 14" xfId="1448" xr:uid="{00000000-0005-0000-0000-00008A060000}"/>
    <cellStyle name="경고문 2" xfId="1449" xr:uid="{00000000-0005-0000-0000-00008B060000}"/>
    <cellStyle name="경고문 2 2" xfId="1450" xr:uid="{00000000-0005-0000-0000-00008C060000}"/>
    <cellStyle name="경고문 2 2 2" xfId="1451" xr:uid="{00000000-0005-0000-0000-00008D060000}"/>
    <cellStyle name="경고문 2 3" xfId="1452" xr:uid="{00000000-0005-0000-0000-00008E060000}"/>
    <cellStyle name="경고문 3" xfId="1453" xr:uid="{00000000-0005-0000-0000-00008F060000}"/>
    <cellStyle name="경고문 4" xfId="1454" xr:uid="{00000000-0005-0000-0000-000090060000}"/>
    <cellStyle name="경고문 5" xfId="1455" xr:uid="{00000000-0005-0000-0000-000091060000}"/>
    <cellStyle name="경고문 6" xfId="1456" xr:uid="{00000000-0005-0000-0000-000092060000}"/>
    <cellStyle name="경고문 7" xfId="1457" xr:uid="{00000000-0005-0000-0000-000093060000}"/>
    <cellStyle name="경고문 8" xfId="1458" xr:uid="{00000000-0005-0000-0000-000094060000}"/>
    <cellStyle name="경고문 9" xfId="1459" xr:uid="{00000000-0005-0000-0000-000095060000}"/>
    <cellStyle name="계산" xfId="11" builtinId="22" customBuiltin="1"/>
    <cellStyle name="계산 10" xfId="1460" xr:uid="{00000000-0005-0000-0000-000097060000}"/>
    <cellStyle name="계산 11" xfId="1461" xr:uid="{00000000-0005-0000-0000-000098060000}"/>
    <cellStyle name="계산 12" xfId="1462" xr:uid="{00000000-0005-0000-0000-000099060000}"/>
    <cellStyle name="계산 13" xfId="1463" xr:uid="{00000000-0005-0000-0000-00009A060000}"/>
    <cellStyle name="계산 14" xfId="1464" xr:uid="{00000000-0005-0000-0000-00009B060000}"/>
    <cellStyle name="계산 2" xfId="1465" xr:uid="{00000000-0005-0000-0000-00009C060000}"/>
    <cellStyle name="계산 2 10" xfId="1466" xr:uid="{00000000-0005-0000-0000-00009D060000}"/>
    <cellStyle name="계산 2 10 2" xfId="1467" xr:uid="{00000000-0005-0000-0000-00009E060000}"/>
    <cellStyle name="계산 2 11" xfId="1468" xr:uid="{00000000-0005-0000-0000-00009F060000}"/>
    <cellStyle name="계산 2 2" xfId="1469" xr:uid="{00000000-0005-0000-0000-0000A0060000}"/>
    <cellStyle name="계산 2 2 10" xfId="1470" xr:uid="{00000000-0005-0000-0000-0000A1060000}"/>
    <cellStyle name="계산 2 2 2" xfId="1471" xr:uid="{00000000-0005-0000-0000-0000A2060000}"/>
    <cellStyle name="계산 2 2 2 2" xfId="1472" xr:uid="{00000000-0005-0000-0000-0000A3060000}"/>
    <cellStyle name="계산 2 2 2 2 2" xfId="1473" xr:uid="{00000000-0005-0000-0000-0000A4060000}"/>
    <cellStyle name="계산 2 2 2 2 2 2" xfId="1474" xr:uid="{00000000-0005-0000-0000-0000A5060000}"/>
    <cellStyle name="계산 2 2 2 2 2 2 2" xfId="1475" xr:uid="{00000000-0005-0000-0000-0000A6060000}"/>
    <cellStyle name="계산 2 2 2 2 2 2 2 2" xfId="1476" xr:uid="{00000000-0005-0000-0000-0000A7060000}"/>
    <cellStyle name="계산 2 2 2 2 2 2 3" xfId="1477" xr:uid="{00000000-0005-0000-0000-0000A8060000}"/>
    <cellStyle name="계산 2 2 2 2 2 2 3 2" xfId="1478" xr:uid="{00000000-0005-0000-0000-0000A9060000}"/>
    <cellStyle name="계산 2 2 2 2 2 2 4" xfId="1479" xr:uid="{00000000-0005-0000-0000-0000AA060000}"/>
    <cellStyle name="계산 2 2 2 2 2 2 4 2" xfId="1480" xr:uid="{00000000-0005-0000-0000-0000AB060000}"/>
    <cellStyle name="계산 2 2 2 2 2 2 5" xfId="1481" xr:uid="{00000000-0005-0000-0000-0000AC060000}"/>
    <cellStyle name="계산 2 2 2 2 2 3" xfId="1482" xr:uid="{00000000-0005-0000-0000-0000AD060000}"/>
    <cellStyle name="계산 2 2 2 2 2 3 2" xfId="1483" xr:uid="{00000000-0005-0000-0000-0000AE060000}"/>
    <cellStyle name="계산 2 2 2 2 2 3 2 2" xfId="1484" xr:uid="{00000000-0005-0000-0000-0000AF060000}"/>
    <cellStyle name="계산 2 2 2 2 2 3 3" xfId="1485" xr:uid="{00000000-0005-0000-0000-0000B0060000}"/>
    <cellStyle name="계산 2 2 2 2 2 3 3 2" xfId="1486" xr:uid="{00000000-0005-0000-0000-0000B1060000}"/>
    <cellStyle name="계산 2 2 2 2 2 3 4" xfId="1487" xr:uid="{00000000-0005-0000-0000-0000B2060000}"/>
    <cellStyle name="계산 2 2 2 2 2 3 4 2" xfId="1488" xr:uid="{00000000-0005-0000-0000-0000B3060000}"/>
    <cellStyle name="계산 2 2 2 2 2 3 5" xfId="1489" xr:uid="{00000000-0005-0000-0000-0000B4060000}"/>
    <cellStyle name="계산 2 2 2 2 2 4" xfId="1490" xr:uid="{00000000-0005-0000-0000-0000B5060000}"/>
    <cellStyle name="계산 2 2 2 2 2 4 2" xfId="1491" xr:uid="{00000000-0005-0000-0000-0000B6060000}"/>
    <cellStyle name="계산 2 2 2 2 2 5" xfId="1492" xr:uid="{00000000-0005-0000-0000-0000B7060000}"/>
    <cellStyle name="계산 2 2 2 2 2 5 2" xfId="1493" xr:uid="{00000000-0005-0000-0000-0000B8060000}"/>
    <cellStyle name="계산 2 2 2 2 2 6" xfId="1494" xr:uid="{00000000-0005-0000-0000-0000B9060000}"/>
    <cellStyle name="계산 2 2 2 2 2 6 2" xfId="1495" xr:uid="{00000000-0005-0000-0000-0000BA060000}"/>
    <cellStyle name="계산 2 2 2 2 2 7" xfId="1496" xr:uid="{00000000-0005-0000-0000-0000BB060000}"/>
    <cellStyle name="계산 2 2 2 2 3" xfId="1497" xr:uid="{00000000-0005-0000-0000-0000BC060000}"/>
    <cellStyle name="계산 2 2 2 2 3 2" xfId="1498" xr:uid="{00000000-0005-0000-0000-0000BD060000}"/>
    <cellStyle name="계산 2 2 2 2 3 2 2" xfId="1499" xr:uid="{00000000-0005-0000-0000-0000BE060000}"/>
    <cellStyle name="계산 2 2 2 2 3 3" xfId="1500" xr:uid="{00000000-0005-0000-0000-0000BF060000}"/>
    <cellStyle name="계산 2 2 2 2 3 3 2" xfId="1501" xr:uid="{00000000-0005-0000-0000-0000C0060000}"/>
    <cellStyle name="계산 2 2 2 2 3 4" xfId="1502" xr:uid="{00000000-0005-0000-0000-0000C1060000}"/>
    <cellStyle name="계산 2 2 2 2 3 4 2" xfId="1503" xr:uid="{00000000-0005-0000-0000-0000C2060000}"/>
    <cellStyle name="계산 2 2 2 2 3 5" xfId="1504" xr:uid="{00000000-0005-0000-0000-0000C3060000}"/>
    <cellStyle name="계산 2 2 2 2 4" xfId="1505" xr:uid="{00000000-0005-0000-0000-0000C4060000}"/>
    <cellStyle name="계산 2 2 2 2 4 2" xfId="1506" xr:uid="{00000000-0005-0000-0000-0000C5060000}"/>
    <cellStyle name="계산 2 2 2 2 4 2 2" xfId="1507" xr:uid="{00000000-0005-0000-0000-0000C6060000}"/>
    <cellStyle name="계산 2 2 2 2 4 3" xfId="1508" xr:uid="{00000000-0005-0000-0000-0000C7060000}"/>
    <cellStyle name="계산 2 2 2 2 4 3 2" xfId="1509" xr:uid="{00000000-0005-0000-0000-0000C8060000}"/>
    <cellStyle name="계산 2 2 2 2 4 4" xfId="1510" xr:uid="{00000000-0005-0000-0000-0000C9060000}"/>
    <cellStyle name="계산 2 2 2 2 4 4 2" xfId="1511" xr:uid="{00000000-0005-0000-0000-0000CA060000}"/>
    <cellStyle name="계산 2 2 2 2 4 5" xfId="1512" xr:uid="{00000000-0005-0000-0000-0000CB060000}"/>
    <cellStyle name="계산 2 2 2 2 5" xfId="1513" xr:uid="{00000000-0005-0000-0000-0000CC060000}"/>
    <cellStyle name="계산 2 2 2 2 5 2" xfId="1514" xr:uid="{00000000-0005-0000-0000-0000CD060000}"/>
    <cellStyle name="계산 2 2 2 2 6" xfId="1515" xr:uid="{00000000-0005-0000-0000-0000CE060000}"/>
    <cellStyle name="계산 2 2 2 2 6 2" xfId="1516" xr:uid="{00000000-0005-0000-0000-0000CF060000}"/>
    <cellStyle name="계산 2 2 2 2 7" xfId="1517" xr:uid="{00000000-0005-0000-0000-0000D0060000}"/>
    <cellStyle name="계산 2 2 2 3" xfId="1518" xr:uid="{00000000-0005-0000-0000-0000D1060000}"/>
    <cellStyle name="계산 2 2 2 3 2" xfId="1519" xr:uid="{00000000-0005-0000-0000-0000D2060000}"/>
    <cellStyle name="계산 2 2 2 3 2 2" xfId="1520" xr:uid="{00000000-0005-0000-0000-0000D3060000}"/>
    <cellStyle name="계산 2 2 2 3 2 2 2" xfId="1521" xr:uid="{00000000-0005-0000-0000-0000D4060000}"/>
    <cellStyle name="계산 2 2 2 3 2 3" xfId="1522" xr:uid="{00000000-0005-0000-0000-0000D5060000}"/>
    <cellStyle name="계산 2 2 2 3 2 3 2" xfId="1523" xr:uid="{00000000-0005-0000-0000-0000D6060000}"/>
    <cellStyle name="계산 2 2 2 3 2 4" xfId="1524" xr:uid="{00000000-0005-0000-0000-0000D7060000}"/>
    <cellStyle name="계산 2 2 2 3 2 4 2" xfId="1525" xr:uid="{00000000-0005-0000-0000-0000D8060000}"/>
    <cellStyle name="계산 2 2 2 3 2 5" xfId="1526" xr:uid="{00000000-0005-0000-0000-0000D9060000}"/>
    <cellStyle name="계산 2 2 2 3 3" xfId="1527" xr:uid="{00000000-0005-0000-0000-0000DA060000}"/>
    <cellStyle name="계산 2 2 2 3 3 2" xfId="1528" xr:uid="{00000000-0005-0000-0000-0000DB060000}"/>
    <cellStyle name="계산 2 2 2 3 3 2 2" xfId="1529" xr:uid="{00000000-0005-0000-0000-0000DC060000}"/>
    <cellStyle name="계산 2 2 2 3 3 3" xfId="1530" xr:uid="{00000000-0005-0000-0000-0000DD060000}"/>
    <cellStyle name="계산 2 2 2 3 3 3 2" xfId="1531" xr:uid="{00000000-0005-0000-0000-0000DE060000}"/>
    <cellStyle name="계산 2 2 2 3 3 4" xfId="1532" xr:uid="{00000000-0005-0000-0000-0000DF060000}"/>
    <cellStyle name="계산 2 2 2 3 3 4 2" xfId="1533" xr:uid="{00000000-0005-0000-0000-0000E0060000}"/>
    <cellStyle name="계산 2 2 2 3 3 5" xfId="1534" xr:uid="{00000000-0005-0000-0000-0000E1060000}"/>
    <cellStyle name="계산 2 2 2 3 4" xfId="1535" xr:uid="{00000000-0005-0000-0000-0000E2060000}"/>
    <cellStyle name="계산 2 2 2 3 4 2" xfId="1536" xr:uid="{00000000-0005-0000-0000-0000E3060000}"/>
    <cellStyle name="계산 2 2 2 3 5" xfId="1537" xr:uid="{00000000-0005-0000-0000-0000E4060000}"/>
    <cellStyle name="계산 2 2 2 3 5 2" xfId="1538" xr:uid="{00000000-0005-0000-0000-0000E5060000}"/>
    <cellStyle name="계산 2 2 2 3 6" xfId="1539" xr:uid="{00000000-0005-0000-0000-0000E6060000}"/>
    <cellStyle name="계산 2 2 2 3 6 2" xfId="1540" xr:uid="{00000000-0005-0000-0000-0000E7060000}"/>
    <cellStyle name="계산 2 2 2 3 7" xfId="1541" xr:uid="{00000000-0005-0000-0000-0000E8060000}"/>
    <cellStyle name="계산 2 2 2 4" xfId="1542" xr:uid="{00000000-0005-0000-0000-0000E9060000}"/>
    <cellStyle name="계산 2 2 2 4 2" xfId="1543" xr:uid="{00000000-0005-0000-0000-0000EA060000}"/>
    <cellStyle name="계산 2 2 2 4 2 2" xfId="1544" xr:uid="{00000000-0005-0000-0000-0000EB060000}"/>
    <cellStyle name="계산 2 2 2 4 3" xfId="1545" xr:uid="{00000000-0005-0000-0000-0000EC060000}"/>
    <cellStyle name="계산 2 2 2 4 3 2" xfId="1546" xr:uid="{00000000-0005-0000-0000-0000ED060000}"/>
    <cellStyle name="계산 2 2 2 4 4" xfId="1547" xr:uid="{00000000-0005-0000-0000-0000EE060000}"/>
    <cellStyle name="계산 2 2 2 4 4 2" xfId="1548" xr:uid="{00000000-0005-0000-0000-0000EF060000}"/>
    <cellStyle name="계산 2 2 2 4 5" xfId="1549" xr:uid="{00000000-0005-0000-0000-0000F0060000}"/>
    <cellStyle name="계산 2 2 2 5" xfId="1550" xr:uid="{00000000-0005-0000-0000-0000F1060000}"/>
    <cellStyle name="계산 2 2 2 5 2" xfId="1551" xr:uid="{00000000-0005-0000-0000-0000F2060000}"/>
    <cellStyle name="계산 2 2 2 5 2 2" xfId="1552" xr:uid="{00000000-0005-0000-0000-0000F3060000}"/>
    <cellStyle name="계산 2 2 2 5 3" xfId="1553" xr:uid="{00000000-0005-0000-0000-0000F4060000}"/>
    <cellStyle name="계산 2 2 2 5 3 2" xfId="1554" xr:uid="{00000000-0005-0000-0000-0000F5060000}"/>
    <cellStyle name="계산 2 2 2 5 4" xfId="1555" xr:uid="{00000000-0005-0000-0000-0000F6060000}"/>
    <cellStyle name="계산 2 2 2 5 4 2" xfId="1556" xr:uid="{00000000-0005-0000-0000-0000F7060000}"/>
    <cellStyle name="계산 2 2 2 5 5" xfId="1557" xr:uid="{00000000-0005-0000-0000-0000F8060000}"/>
    <cellStyle name="계산 2 2 2 6" xfId="1558" xr:uid="{00000000-0005-0000-0000-0000F9060000}"/>
    <cellStyle name="계산 2 2 2 6 2" xfId="1559" xr:uid="{00000000-0005-0000-0000-0000FA060000}"/>
    <cellStyle name="계산 2 2 2 7" xfId="1560" xr:uid="{00000000-0005-0000-0000-0000FB060000}"/>
    <cellStyle name="계산 2 2 2 7 2" xfId="1561" xr:uid="{00000000-0005-0000-0000-0000FC060000}"/>
    <cellStyle name="계산 2 2 2 8" xfId="1562" xr:uid="{00000000-0005-0000-0000-0000FD060000}"/>
    <cellStyle name="계산 2 2 3" xfId="1563" xr:uid="{00000000-0005-0000-0000-0000FE060000}"/>
    <cellStyle name="계산 2 2 3 2" xfId="1564" xr:uid="{00000000-0005-0000-0000-0000FF060000}"/>
    <cellStyle name="계산 2 2 3 2 2" xfId="1565" xr:uid="{00000000-0005-0000-0000-000000070000}"/>
    <cellStyle name="계산 2 2 3 2 2 2" xfId="1566" xr:uid="{00000000-0005-0000-0000-000001070000}"/>
    <cellStyle name="계산 2 2 3 2 2 2 2" xfId="1567" xr:uid="{00000000-0005-0000-0000-000002070000}"/>
    <cellStyle name="계산 2 2 3 2 2 3" xfId="1568" xr:uid="{00000000-0005-0000-0000-000003070000}"/>
    <cellStyle name="계산 2 2 3 2 2 3 2" xfId="1569" xr:uid="{00000000-0005-0000-0000-000004070000}"/>
    <cellStyle name="계산 2 2 3 2 2 4" xfId="1570" xr:uid="{00000000-0005-0000-0000-000005070000}"/>
    <cellStyle name="계산 2 2 3 2 2 4 2" xfId="1571" xr:uid="{00000000-0005-0000-0000-000006070000}"/>
    <cellStyle name="계산 2 2 3 2 2 5" xfId="1572" xr:uid="{00000000-0005-0000-0000-000007070000}"/>
    <cellStyle name="계산 2 2 3 2 3" xfId="1573" xr:uid="{00000000-0005-0000-0000-000008070000}"/>
    <cellStyle name="계산 2 2 3 2 3 2" xfId="1574" xr:uid="{00000000-0005-0000-0000-000009070000}"/>
    <cellStyle name="계산 2 2 3 2 3 2 2" xfId="1575" xr:uid="{00000000-0005-0000-0000-00000A070000}"/>
    <cellStyle name="계산 2 2 3 2 3 3" xfId="1576" xr:uid="{00000000-0005-0000-0000-00000B070000}"/>
    <cellStyle name="계산 2 2 3 2 3 3 2" xfId="1577" xr:uid="{00000000-0005-0000-0000-00000C070000}"/>
    <cellStyle name="계산 2 2 3 2 3 4" xfId="1578" xr:uid="{00000000-0005-0000-0000-00000D070000}"/>
    <cellStyle name="계산 2 2 3 2 3 4 2" xfId="1579" xr:uid="{00000000-0005-0000-0000-00000E070000}"/>
    <cellStyle name="계산 2 2 3 2 3 5" xfId="1580" xr:uid="{00000000-0005-0000-0000-00000F070000}"/>
    <cellStyle name="계산 2 2 3 2 4" xfId="1581" xr:uid="{00000000-0005-0000-0000-000010070000}"/>
    <cellStyle name="계산 2 2 3 2 4 2" xfId="1582" xr:uid="{00000000-0005-0000-0000-000011070000}"/>
    <cellStyle name="계산 2 2 3 2 5" xfId="1583" xr:uid="{00000000-0005-0000-0000-000012070000}"/>
    <cellStyle name="계산 2 2 3 2 5 2" xfId="1584" xr:uid="{00000000-0005-0000-0000-000013070000}"/>
    <cellStyle name="계산 2 2 3 2 6" xfId="1585" xr:uid="{00000000-0005-0000-0000-000014070000}"/>
    <cellStyle name="계산 2 2 3 2 6 2" xfId="1586" xr:uid="{00000000-0005-0000-0000-000015070000}"/>
    <cellStyle name="계산 2 2 3 2 7" xfId="1587" xr:uid="{00000000-0005-0000-0000-000016070000}"/>
    <cellStyle name="계산 2 2 3 3" xfId="1588" xr:uid="{00000000-0005-0000-0000-000017070000}"/>
    <cellStyle name="계산 2 2 3 3 2" xfId="1589" xr:uid="{00000000-0005-0000-0000-000018070000}"/>
    <cellStyle name="계산 2 2 3 3 2 2" xfId="1590" xr:uid="{00000000-0005-0000-0000-000019070000}"/>
    <cellStyle name="계산 2 2 3 3 3" xfId="1591" xr:uid="{00000000-0005-0000-0000-00001A070000}"/>
    <cellStyle name="계산 2 2 3 3 3 2" xfId="1592" xr:uid="{00000000-0005-0000-0000-00001B070000}"/>
    <cellStyle name="계산 2 2 3 3 4" xfId="1593" xr:uid="{00000000-0005-0000-0000-00001C070000}"/>
    <cellStyle name="계산 2 2 3 3 4 2" xfId="1594" xr:uid="{00000000-0005-0000-0000-00001D070000}"/>
    <cellStyle name="계산 2 2 3 3 5" xfId="1595" xr:uid="{00000000-0005-0000-0000-00001E070000}"/>
    <cellStyle name="계산 2 2 3 4" xfId="1596" xr:uid="{00000000-0005-0000-0000-00001F070000}"/>
    <cellStyle name="계산 2 2 3 4 2" xfId="1597" xr:uid="{00000000-0005-0000-0000-000020070000}"/>
    <cellStyle name="계산 2 2 3 4 2 2" xfId="1598" xr:uid="{00000000-0005-0000-0000-000021070000}"/>
    <cellStyle name="계산 2 2 3 4 3" xfId="1599" xr:uid="{00000000-0005-0000-0000-000022070000}"/>
    <cellStyle name="계산 2 2 3 4 3 2" xfId="1600" xr:uid="{00000000-0005-0000-0000-000023070000}"/>
    <cellStyle name="계산 2 2 3 4 4" xfId="1601" xr:uid="{00000000-0005-0000-0000-000024070000}"/>
    <cellStyle name="계산 2 2 3 4 4 2" xfId="1602" xr:uid="{00000000-0005-0000-0000-000025070000}"/>
    <cellStyle name="계산 2 2 3 4 5" xfId="1603" xr:uid="{00000000-0005-0000-0000-000026070000}"/>
    <cellStyle name="계산 2 2 3 5" xfId="1604" xr:uid="{00000000-0005-0000-0000-000027070000}"/>
    <cellStyle name="계산 2 2 3 5 2" xfId="1605" xr:uid="{00000000-0005-0000-0000-000028070000}"/>
    <cellStyle name="계산 2 2 3 6" xfId="1606" xr:uid="{00000000-0005-0000-0000-000029070000}"/>
    <cellStyle name="계산 2 2 3 6 2" xfId="1607" xr:uid="{00000000-0005-0000-0000-00002A070000}"/>
    <cellStyle name="계산 2 2 3 7" xfId="1608" xr:uid="{00000000-0005-0000-0000-00002B070000}"/>
    <cellStyle name="계산 2 2 4" xfId="1609" xr:uid="{00000000-0005-0000-0000-00002C070000}"/>
    <cellStyle name="계산 2 2 4 2" xfId="1610" xr:uid="{00000000-0005-0000-0000-00002D070000}"/>
    <cellStyle name="계산 2 2 4 2 2" xfId="1611" xr:uid="{00000000-0005-0000-0000-00002E070000}"/>
    <cellStyle name="계산 2 2 4 2 2 2" xfId="1612" xr:uid="{00000000-0005-0000-0000-00002F070000}"/>
    <cellStyle name="계산 2 2 4 2 2 2 2" xfId="1613" xr:uid="{00000000-0005-0000-0000-000030070000}"/>
    <cellStyle name="계산 2 2 4 2 2 3" xfId="1614" xr:uid="{00000000-0005-0000-0000-000031070000}"/>
    <cellStyle name="계산 2 2 4 2 2 3 2" xfId="1615" xr:uid="{00000000-0005-0000-0000-000032070000}"/>
    <cellStyle name="계산 2 2 4 2 2 4" xfId="1616" xr:uid="{00000000-0005-0000-0000-000033070000}"/>
    <cellStyle name="계산 2 2 4 2 2 4 2" xfId="1617" xr:uid="{00000000-0005-0000-0000-000034070000}"/>
    <cellStyle name="계산 2 2 4 2 2 5" xfId="1618" xr:uid="{00000000-0005-0000-0000-000035070000}"/>
    <cellStyle name="계산 2 2 4 2 3" xfId="1619" xr:uid="{00000000-0005-0000-0000-000036070000}"/>
    <cellStyle name="계산 2 2 4 2 3 2" xfId="1620" xr:uid="{00000000-0005-0000-0000-000037070000}"/>
    <cellStyle name="계산 2 2 4 2 3 2 2" xfId="1621" xr:uid="{00000000-0005-0000-0000-000038070000}"/>
    <cellStyle name="계산 2 2 4 2 3 3" xfId="1622" xr:uid="{00000000-0005-0000-0000-000039070000}"/>
    <cellStyle name="계산 2 2 4 2 3 3 2" xfId="1623" xr:uid="{00000000-0005-0000-0000-00003A070000}"/>
    <cellStyle name="계산 2 2 4 2 3 4" xfId="1624" xr:uid="{00000000-0005-0000-0000-00003B070000}"/>
    <cellStyle name="계산 2 2 4 2 3 4 2" xfId="1625" xr:uid="{00000000-0005-0000-0000-00003C070000}"/>
    <cellStyle name="계산 2 2 4 2 3 5" xfId="1626" xr:uid="{00000000-0005-0000-0000-00003D070000}"/>
    <cellStyle name="계산 2 2 4 2 4" xfId="1627" xr:uid="{00000000-0005-0000-0000-00003E070000}"/>
    <cellStyle name="계산 2 2 4 2 4 2" xfId="1628" xr:uid="{00000000-0005-0000-0000-00003F070000}"/>
    <cellStyle name="계산 2 2 4 2 5" xfId="1629" xr:uid="{00000000-0005-0000-0000-000040070000}"/>
    <cellStyle name="계산 2 2 4 2 5 2" xfId="1630" xr:uid="{00000000-0005-0000-0000-000041070000}"/>
    <cellStyle name="계산 2 2 4 2 6" xfId="1631" xr:uid="{00000000-0005-0000-0000-000042070000}"/>
    <cellStyle name="계산 2 2 4 2 6 2" xfId="1632" xr:uid="{00000000-0005-0000-0000-000043070000}"/>
    <cellStyle name="계산 2 2 4 2 7" xfId="1633" xr:uid="{00000000-0005-0000-0000-000044070000}"/>
    <cellStyle name="계산 2 2 4 3" xfId="1634" xr:uid="{00000000-0005-0000-0000-000045070000}"/>
    <cellStyle name="계산 2 2 4 3 2" xfId="1635" xr:uid="{00000000-0005-0000-0000-000046070000}"/>
    <cellStyle name="계산 2 2 4 3 2 2" xfId="1636" xr:uid="{00000000-0005-0000-0000-000047070000}"/>
    <cellStyle name="계산 2 2 4 3 3" xfId="1637" xr:uid="{00000000-0005-0000-0000-000048070000}"/>
    <cellStyle name="계산 2 2 4 3 3 2" xfId="1638" xr:uid="{00000000-0005-0000-0000-000049070000}"/>
    <cellStyle name="계산 2 2 4 3 4" xfId="1639" xr:uid="{00000000-0005-0000-0000-00004A070000}"/>
    <cellStyle name="계산 2 2 4 3 4 2" xfId="1640" xr:uid="{00000000-0005-0000-0000-00004B070000}"/>
    <cellStyle name="계산 2 2 4 3 5" xfId="1641" xr:uid="{00000000-0005-0000-0000-00004C070000}"/>
    <cellStyle name="계산 2 2 4 4" xfId="1642" xr:uid="{00000000-0005-0000-0000-00004D070000}"/>
    <cellStyle name="계산 2 2 4 4 2" xfId="1643" xr:uid="{00000000-0005-0000-0000-00004E070000}"/>
    <cellStyle name="계산 2 2 4 4 2 2" xfId="1644" xr:uid="{00000000-0005-0000-0000-00004F070000}"/>
    <cellStyle name="계산 2 2 4 4 3" xfId="1645" xr:uid="{00000000-0005-0000-0000-000050070000}"/>
    <cellStyle name="계산 2 2 4 4 3 2" xfId="1646" xr:uid="{00000000-0005-0000-0000-000051070000}"/>
    <cellStyle name="계산 2 2 4 4 4" xfId="1647" xr:uid="{00000000-0005-0000-0000-000052070000}"/>
    <cellStyle name="계산 2 2 4 4 4 2" xfId="1648" xr:uid="{00000000-0005-0000-0000-000053070000}"/>
    <cellStyle name="계산 2 2 4 4 5" xfId="1649" xr:uid="{00000000-0005-0000-0000-000054070000}"/>
    <cellStyle name="계산 2 2 4 5" xfId="1650" xr:uid="{00000000-0005-0000-0000-000055070000}"/>
    <cellStyle name="계산 2 2 4 5 2" xfId="1651" xr:uid="{00000000-0005-0000-0000-000056070000}"/>
    <cellStyle name="계산 2 2 4 6" xfId="1652" xr:uid="{00000000-0005-0000-0000-000057070000}"/>
    <cellStyle name="계산 2 2 4 6 2" xfId="1653" xr:uid="{00000000-0005-0000-0000-000058070000}"/>
    <cellStyle name="계산 2 2 4 7" xfId="1654" xr:uid="{00000000-0005-0000-0000-000059070000}"/>
    <cellStyle name="계산 2 2 5" xfId="1655" xr:uid="{00000000-0005-0000-0000-00005A070000}"/>
    <cellStyle name="계산 2 2 5 2" xfId="1656" xr:uid="{00000000-0005-0000-0000-00005B070000}"/>
    <cellStyle name="계산 2 2 5 2 2" xfId="1657" xr:uid="{00000000-0005-0000-0000-00005C070000}"/>
    <cellStyle name="계산 2 2 5 2 2 2" xfId="1658" xr:uid="{00000000-0005-0000-0000-00005D070000}"/>
    <cellStyle name="계산 2 2 5 2 3" xfId="1659" xr:uid="{00000000-0005-0000-0000-00005E070000}"/>
    <cellStyle name="계산 2 2 5 2 3 2" xfId="1660" xr:uid="{00000000-0005-0000-0000-00005F070000}"/>
    <cellStyle name="계산 2 2 5 2 4" xfId="1661" xr:uid="{00000000-0005-0000-0000-000060070000}"/>
    <cellStyle name="계산 2 2 5 2 4 2" xfId="1662" xr:uid="{00000000-0005-0000-0000-000061070000}"/>
    <cellStyle name="계산 2 2 5 2 5" xfId="1663" xr:uid="{00000000-0005-0000-0000-000062070000}"/>
    <cellStyle name="계산 2 2 5 3" xfId="1664" xr:uid="{00000000-0005-0000-0000-000063070000}"/>
    <cellStyle name="계산 2 2 5 3 2" xfId="1665" xr:uid="{00000000-0005-0000-0000-000064070000}"/>
    <cellStyle name="계산 2 2 5 3 2 2" xfId="1666" xr:uid="{00000000-0005-0000-0000-000065070000}"/>
    <cellStyle name="계산 2 2 5 3 3" xfId="1667" xr:uid="{00000000-0005-0000-0000-000066070000}"/>
    <cellStyle name="계산 2 2 5 3 3 2" xfId="1668" xr:uid="{00000000-0005-0000-0000-000067070000}"/>
    <cellStyle name="계산 2 2 5 3 4" xfId="1669" xr:uid="{00000000-0005-0000-0000-000068070000}"/>
    <cellStyle name="계산 2 2 5 3 4 2" xfId="1670" xr:uid="{00000000-0005-0000-0000-000069070000}"/>
    <cellStyle name="계산 2 2 5 3 5" xfId="1671" xr:uid="{00000000-0005-0000-0000-00006A070000}"/>
    <cellStyle name="계산 2 2 5 4" xfId="1672" xr:uid="{00000000-0005-0000-0000-00006B070000}"/>
    <cellStyle name="계산 2 2 5 4 2" xfId="1673" xr:uid="{00000000-0005-0000-0000-00006C070000}"/>
    <cellStyle name="계산 2 2 5 5" xfId="1674" xr:uid="{00000000-0005-0000-0000-00006D070000}"/>
    <cellStyle name="계산 2 2 5 5 2" xfId="1675" xr:uid="{00000000-0005-0000-0000-00006E070000}"/>
    <cellStyle name="계산 2 2 5 6" xfId="1676" xr:uid="{00000000-0005-0000-0000-00006F070000}"/>
    <cellStyle name="계산 2 2 5 6 2" xfId="1677" xr:uid="{00000000-0005-0000-0000-000070070000}"/>
    <cellStyle name="계산 2 2 5 7" xfId="1678" xr:uid="{00000000-0005-0000-0000-000071070000}"/>
    <cellStyle name="계산 2 2 6" xfId="1679" xr:uid="{00000000-0005-0000-0000-000072070000}"/>
    <cellStyle name="계산 2 2 6 2" xfId="1680" xr:uid="{00000000-0005-0000-0000-000073070000}"/>
    <cellStyle name="계산 2 2 6 2 2" xfId="1681" xr:uid="{00000000-0005-0000-0000-000074070000}"/>
    <cellStyle name="계산 2 2 6 3" xfId="1682" xr:uid="{00000000-0005-0000-0000-000075070000}"/>
    <cellStyle name="계산 2 2 6 3 2" xfId="1683" xr:uid="{00000000-0005-0000-0000-000076070000}"/>
    <cellStyle name="계산 2 2 6 4" xfId="1684" xr:uid="{00000000-0005-0000-0000-000077070000}"/>
    <cellStyle name="계산 2 2 6 4 2" xfId="1685" xr:uid="{00000000-0005-0000-0000-000078070000}"/>
    <cellStyle name="계산 2 2 6 5" xfId="1686" xr:uid="{00000000-0005-0000-0000-000079070000}"/>
    <cellStyle name="계산 2 2 7" xfId="1687" xr:uid="{00000000-0005-0000-0000-00007A070000}"/>
    <cellStyle name="계산 2 2 7 2" xfId="1688" xr:uid="{00000000-0005-0000-0000-00007B070000}"/>
    <cellStyle name="계산 2 2 7 2 2" xfId="1689" xr:uid="{00000000-0005-0000-0000-00007C070000}"/>
    <cellStyle name="계산 2 2 7 3" xfId="1690" xr:uid="{00000000-0005-0000-0000-00007D070000}"/>
    <cellStyle name="계산 2 2 7 3 2" xfId="1691" xr:uid="{00000000-0005-0000-0000-00007E070000}"/>
    <cellStyle name="계산 2 2 7 4" xfId="1692" xr:uid="{00000000-0005-0000-0000-00007F070000}"/>
    <cellStyle name="계산 2 2 7 4 2" xfId="1693" xr:uid="{00000000-0005-0000-0000-000080070000}"/>
    <cellStyle name="계산 2 2 7 5" xfId="1694" xr:uid="{00000000-0005-0000-0000-000081070000}"/>
    <cellStyle name="계산 2 2 8" xfId="1695" xr:uid="{00000000-0005-0000-0000-000082070000}"/>
    <cellStyle name="계산 2 2 8 2" xfId="1696" xr:uid="{00000000-0005-0000-0000-000083070000}"/>
    <cellStyle name="계산 2 2 9" xfId="1697" xr:uid="{00000000-0005-0000-0000-000084070000}"/>
    <cellStyle name="계산 2 2 9 2" xfId="1698" xr:uid="{00000000-0005-0000-0000-000085070000}"/>
    <cellStyle name="계산 2 3" xfId="1699" xr:uid="{00000000-0005-0000-0000-000086070000}"/>
    <cellStyle name="계산 2 3 2" xfId="1700" xr:uid="{00000000-0005-0000-0000-000087070000}"/>
    <cellStyle name="계산 2 3 2 2" xfId="1701" xr:uid="{00000000-0005-0000-0000-000088070000}"/>
    <cellStyle name="계산 2 3 2 2 2" xfId="1702" xr:uid="{00000000-0005-0000-0000-000089070000}"/>
    <cellStyle name="계산 2 3 2 2 2 2" xfId="1703" xr:uid="{00000000-0005-0000-0000-00008A070000}"/>
    <cellStyle name="계산 2 3 2 2 2 2 2" xfId="1704" xr:uid="{00000000-0005-0000-0000-00008B070000}"/>
    <cellStyle name="계산 2 3 2 2 2 3" xfId="1705" xr:uid="{00000000-0005-0000-0000-00008C070000}"/>
    <cellStyle name="계산 2 3 2 2 2 3 2" xfId="1706" xr:uid="{00000000-0005-0000-0000-00008D070000}"/>
    <cellStyle name="계산 2 3 2 2 2 4" xfId="1707" xr:uid="{00000000-0005-0000-0000-00008E070000}"/>
    <cellStyle name="계산 2 3 2 2 2 4 2" xfId="1708" xr:uid="{00000000-0005-0000-0000-00008F070000}"/>
    <cellStyle name="계산 2 3 2 2 2 5" xfId="1709" xr:uid="{00000000-0005-0000-0000-000090070000}"/>
    <cellStyle name="계산 2 3 2 2 3" xfId="1710" xr:uid="{00000000-0005-0000-0000-000091070000}"/>
    <cellStyle name="계산 2 3 2 2 3 2" xfId="1711" xr:uid="{00000000-0005-0000-0000-000092070000}"/>
    <cellStyle name="계산 2 3 2 2 3 2 2" xfId="1712" xr:uid="{00000000-0005-0000-0000-000093070000}"/>
    <cellStyle name="계산 2 3 2 2 3 3" xfId="1713" xr:uid="{00000000-0005-0000-0000-000094070000}"/>
    <cellStyle name="계산 2 3 2 2 3 3 2" xfId="1714" xr:uid="{00000000-0005-0000-0000-000095070000}"/>
    <cellStyle name="계산 2 3 2 2 3 4" xfId="1715" xr:uid="{00000000-0005-0000-0000-000096070000}"/>
    <cellStyle name="계산 2 3 2 2 3 4 2" xfId="1716" xr:uid="{00000000-0005-0000-0000-000097070000}"/>
    <cellStyle name="계산 2 3 2 2 3 5" xfId="1717" xr:uid="{00000000-0005-0000-0000-000098070000}"/>
    <cellStyle name="계산 2 3 2 2 4" xfId="1718" xr:uid="{00000000-0005-0000-0000-000099070000}"/>
    <cellStyle name="계산 2 3 2 2 4 2" xfId="1719" xr:uid="{00000000-0005-0000-0000-00009A070000}"/>
    <cellStyle name="계산 2 3 2 2 5" xfId="1720" xr:uid="{00000000-0005-0000-0000-00009B070000}"/>
    <cellStyle name="계산 2 3 2 2 5 2" xfId="1721" xr:uid="{00000000-0005-0000-0000-00009C070000}"/>
    <cellStyle name="계산 2 3 2 2 6" xfId="1722" xr:uid="{00000000-0005-0000-0000-00009D070000}"/>
    <cellStyle name="계산 2 3 2 2 6 2" xfId="1723" xr:uid="{00000000-0005-0000-0000-00009E070000}"/>
    <cellStyle name="계산 2 3 2 2 7" xfId="1724" xr:uid="{00000000-0005-0000-0000-00009F070000}"/>
    <cellStyle name="계산 2 3 2 3" xfId="1725" xr:uid="{00000000-0005-0000-0000-0000A0070000}"/>
    <cellStyle name="계산 2 3 2 3 2" xfId="1726" xr:uid="{00000000-0005-0000-0000-0000A1070000}"/>
    <cellStyle name="계산 2 3 2 3 2 2" xfId="1727" xr:uid="{00000000-0005-0000-0000-0000A2070000}"/>
    <cellStyle name="계산 2 3 2 3 3" xfId="1728" xr:uid="{00000000-0005-0000-0000-0000A3070000}"/>
    <cellStyle name="계산 2 3 2 3 3 2" xfId="1729" xr:uid="{00000000-0005-0000-0000-0000A4070000}"/>
    <cellStyle name="계산 2 3 2 3 4" xfId="1730" xr:uid="{00000000-0005-0000-0000-0000A5070000}"/>
    <cellStyle name="계산 2 3 2 3 4 2" xfId="1731" xr:uid="{00000000-0005-0000-0000-0000A6070000}"/>
    <cellStyle name="계산 2 3 2 3 5" xfId="1732" xr:uid="{00000000-0005-0000-0000-0000A7070000}"/>
    <cellStyle name="계산 2 3 2 4" xfId="1733" xr:uid="{00000000-0005-0000-0000-0000A8070000}"/>
    <cellStyle name="계산 2 3 2 4 2" xfId="1734" xr:uid="{00000000-0005-0000-0000-0000A9070000}"/>
    <cellStyle name="계산 2 3 2 4 2 2" xfId="1735" xr:uid="{00000000-0005-0000-0000-0000AA070000}"/>
    <cellStyle name="계산 2 3 2 4 3" xfId="1736" xr:uid="{00000000-0005-0000-0000-0000AB070000}"/>
    <cellStyle name="계산 2 3 2 4 3 2" xfId="1737" xr:uid="{00000000-0005-0000-0000-0000AC070000}"/>
    <cellStyle name="계산 2 3 2 4 4" xfId="1738" xr:uid="{00000000-0005-0000-0000-0000AD070000}"/>
    <cellStyle name="계산 2 3 2 4 4 2" xfId="1739" xr:uid="{00000000-0005-0000-0000-0000AE070000}"/>
    <cellStyle name="계산 2 3 2 4 5" xfId="1740" xr:uid="{00000000-0005-0000-0000-0000AF070000}"/>
    <cellStyle name="계산 2 3 2 5" xfId="1741" xr:uid="{00000000-0005-0000-0000-0000B0070000}"/>
    <cellStyle name="계산 2 3 2 5 2" xfId="1742" xr:uid="{00000000-0005-0000-0000-0000B1070000}"/>
    <cellStyle name="계산 2 3 2 6" xfId="1743" xr:uid="{00000000-0005-0000-0000-0000B2070000}"/>
    <cellStyle name="계산 2 3 2 6 2" xfId="1744" xr:uid="{00000000-0005-0000-0000-0000B3070000}"/>
    <cellStyle name="계산 2 3 2 7" xfId="1745" xr:uid="{00000000-0005-0000-0000-0000B4070000}"/>
    <cellStyle name="계산 2 3 3" xfId="1746" xr:uid="{00000000-0005-0000-0000-0000B5070000}"/>
    <cellStyle name="계산 2 3 3 2" xfId="1747" xr:uid="{00000000-0005-0000-0000-0000B6070000}"/>
    <cellStyle name="계산 2 3 3 2 2" xfId="1748" xr:uid="{00000000-0005-0000-0000-0000B7070000}"/>
    <cellStyle name="계산 2 3 3 2 2 2" xfId="1749" xr:uid="{00000000-0005-0000-0000-0000B8070000}"/>
    <cellStyle name="계산 2 3 3 2 3" xfId="1750" xr:uid="{00000000-0005-0000-0000-0000B9070000}"/>
    <cellStyle name="계산 2 3 3 2 3 2" xfId="1751" xr:uid="{00000000-0005-0000-0000-0000BA070000}"/>
    <cellStyle name="계산 2 3 3 2 4" xfId="1752" xr:uid="{00000000-0005-0000-0000-0000BB070000}"/>
    <cellStyle name="계산 2 3 3 2 4 2" xfId="1753" xr:uid="{00000000-0005-0000-0000-0000BC070000}"/>
    <cellStyle name="계산 2 3 3 2 5" xfId="1754" xr:uid="{00000000-0005-0000-0000-0000BD070000}"/>
    <cellStyle name="계산 2 3 3 3" xfId="1755" xr:uid="{00000000-0005-0000-0000-0000BE070000}"/>
    <cellStyle name="계산 2 3 3 3 2" xfId="1756" xr:uid="{00000000-0005-0000-0000-0000BF070000}"/>
    <cellStyle name="계산 2 3 3 3 2 2" xfId="1757" xr:uid="{00000000-0005-0000-0000-0000C0070000}"/>
    <cellStyle name="계산 2 3 3 3 3" xfId="1758" xr:uid="{00000000-0005-0000-0000-0000C1070000}"/>
    <cellStyle name="계산 2 3 3 3 3 2" xfId="1759" xr:uid="{00000000-0005-0000-0000-0000C2070000}"/>
    <cellStyle name="계산 2 3 3 3 4" xfId="1760" xr:uid="{00000000-0005-0000-0000-0000C3070000}"/>
    <cellStyle name="계산 2 3 3 3 4 2" xfId="1761" xr:uid="{00000000-0005-0000-0000-0000C4070000}"/>
    <cellStyle name="계산 2 3 3 3 5" xfId="1762" xr:uid="{00000000-0005-0000-0000-0000C5070000}"/>
    <cellStyle name="계산 2 3 3 4" xfId="1763" xr:uid="{00000000-0005-0000-0000-0000C6070000}"/>
    <cellStyle name="계산 2 3 3 4 2" xfId="1764" xr:uid="{00000000-0005-0000-0000-0000C7070000}"/>
    <cellStyle name="계산 2 3 3 5" xfId="1765" xr:uid="{00000000-0005-0000-0000-0000C8070000}"/>
    <cellStyle name="계산 2 3 3 5 2" xfId="1766" xr:uid="{00000000-0005-0000-0000-0000C9070000}"/>
    <cellStyle name="계산 2 3 3 6" xfId="1767" xr:uid="{00000000-0005-0000-0000-0000CA070000}"/>
    <cellStyle name="계산 2 3 3 6 2" xfId="1768" xr:uid="{00000000-0005-0000-0000-0000CB070000}"/>
    <cellStyle name="계산 2 3 3 7" xfId="1769" xr:uid="{00000000-0005-0000-0000-0000CC070000}"/>
    <cellStyle name="계산 2 3 4" xfId="1770" xr:uid="{00000000-0005-0000-0000-0000CD070000}"/>
    <cellStyle name="계산 2 3 4 2" xfId="1771" xr:uid="{00000000-0005-0000-0000-0000CE070000}"/>
    <cellStyle name="계산 2 3 4 2 2" xfId="1772" xr:uid="{00000000-0005-0000-0000-0000CF070000}"/>
    <cellStyle name="계산 2 3 4 3" xfId="1773" xr:uid="{00000000-0005-0000-0000-0000D0070000}"/>
    <cellStyle name="계산 2 3 4 3 2" xfId="1774" xr:uid="{00000000-0005-0000-0000-0000D1070000}"/>
    <cellStyle name="계산 2 3 4 4" xfId="1775" xr:uid="{00000000-0005-0000-0000-0000D2070000}"/>
    <cellStyle name="계산 2 3 4 4 2" xfId="1776" xr:uid="{00000000-0005-0000-0000-0000D3070000}"/>
    <cellStyle name="계산 2 3 4 5" xfId="1777" xr:uid="{00000000-0005-0000-0000-0000D4070000}"/>
    <cellStyle name="계산 2 3 5" xfId="1778" xr:uid="{00000000-0005-0000-0000-0000D5070000}"/>
    <cellStyle name="계산 2 3 5 2" xfId="1779" xr:uid="{00000000-0005-0000-0000-0000D6070000}"/>
    <cellStyle name="계산 2 3 5 2 2" xfId="1780" xr:uid="{00000000-0005-0000-0000-0000D7070000}"/>
    <cellStyle name="계산 2 3 5 3" xfId="1781" xr:uid="{00000000-0005-0000-0000-0000D8070000}"/>
    <cellStyle name="계산 2 3 5 3 2" xfId="1782" xr:uid="{00000000-0005-0000-0000-0000D9070000}"/>
    <cellStyle name="계산 2 3 5 4" xfId="1783" xr:uid="{00000000-0005-0000-0000-0000DA070000}"/>
    <cellStyle name="계산 2 3 5 4 2" xfId="1784" xr:uid="{00000000-0005-0000-0000-0000DB070000}"/>
    <cellStyle name="계산 2 3 5 5" xfId="1785" xr:uid="{00000000-0005-0000-0000-0000DC070000}"/>
    <cellStyle name="계산 2 3 6" xfId="1786" xr:uid="{00000000-0005-0000-0000-0000DD070000}"/>
    <cellStyle name="계산 2 3 6 2" xfId="1787" xr:uid="{00000000-0005-0000-0000-0000DE070000}"/>
    <cellStyle name="계산 2 3 7" xfId="1788" xr:uid="{00000000-0005-0000-0000-0000DF070000}"/>
    <cellStyle name="계산 2 3 7 2" xfId="1789" xr:uid="{00000000-0005-0000-0000-0000E0070000}"/>
    <cellStyle name="계산 2 3 8" xfId="1790" xr:uid="{00000000-0005-0000-0000-0000E1070000}"/>
    <cellStyle name="계산 2 4" xfId="1791" xr:uid="{00000000-0005-0000-0000-0000E2070000}"/>
    <cellStyle name="계산 2 4 2" xfId="1792" xr:uid="{00000000-0005-0000-0000-0000E3070000}"/>
    <cellStyle name="계산 2 4 2 2" xfId="1793" xr:uid="{00000000-0005-0000-0000-0000E4070000}"/>
    <cellStyle name="계산 2 4 2 2 2" xfId="1794" xr:uid="{00000000-0005-0000-0000-0000E5070000}"/>
    <cellStyle name="계산 2 4 2 2 2 2" xfId="1795" xr:uid="{00000000-0005-0000-0000-0000E6070000}"/>
    <cellStyle name="계산 2 4 2 2 3" xfId="1796" xr:uid="{00000000-0005-0000-0000-0000E7070000}"/>
    <cellStyle name="계산 2 4 2 2 3 2" xfId="1797" xr:uid="{00000000-0005-0000-0000-0000E8070000}"/>
    <cellStyle name="계산 2 4 2 2 4" xfId="1798" xr:uid="{00000000-0005-0000-0000-0000E9070000}"/>
    <cellStyle name="계산 2 4 2 2 4 2" xfId="1799" xr:uid="{00000000-0005-0000-0000-0000EA070000}"/>
    <cellStyle name="계산 2 4 2 2 5" xfId="1800" xr:uid="{00000000-0005-0000-0000-0000EB070000}"/>
    <cellStyle name="계산 2 4 2 3" xfId="1801" xr:uid="{00000000-0005-0000-0000-0000EC070000}"/>
    <cellStyle name="계산 2 4 2 3 2" xfId="1802" xr:uid="{00000000-0005-0000-0000-0000ED070000}"/>
    <cellStyle name="계산 2 4 2 3 2 2" xfId="1803" xr:uid="{00000000-0005-0000-0000-0000EE070000}"/>
    <cellStyle name="계산 2 4 2 3 3" xfId="1804" xr:uid="{00000000-0005-0000-0000-0000EF070000}"/>
    <cellStyle name="계산 2 4 2 3 3 2" xfId="1805" xr:uid="{00000000-0005-0000-0000-0000F0070000}"/>
    <cellStyle name="계산 2 4 2 3 4" xfId="1806" xr:uid="{00000000-0005-0000-0000-0000F1070000}"/>
    <cellStyle name="계산 2 4 2 3 4 2" xfId="1807" xr:uid="{00000000-0005-0000-0000-0000F2070000}"/>
    <cellStyle name="계산 2 4 2 3 5" xfId="1808" xr:uid="{00000000-0005-0000-0000-0000F3070000}"/>
    <cellStyle name="계산 2 4 2 4" xfId="1809" xr:uid="{00000000-0005-0000-0000-0000F4070000}"/>
    <cellStyle name="계산 2 4 2 4 2" xfId="1810" xr:uid="{00000000-0005-0000-0000-0000F5070000}"/>
    <cellStyle name="계산 2 4 2 5" xfId="1811" xr:uid="{00000000-0005-0000-0000-0000F6070000}"/>
    <cellStyle name="계산 2 4 2 5 2" xfId="1812" xr:uid="{00000000-0005-0000-0000-0000F7070000}"/>
    <cellStyle name="계산 2 4 2 6" xfId="1813" xr:uid="{00000000-0005-0000-0000-0000F8070000}"/>
    <cellStyle name="계산 2 4 2 6 2" xfId="1814" xr:uid="{00000000-0005-0000-0000-0000F9070000}"/>
    <cellStyle name="계산 2 4 2 7" xfId="1815" xr:uid="{00000000-0005-0000-0000-0000FA070000}"/>
    <cellStyle name="계산 2 4 3" xfId="1816" xr:uid="{00000000-0005-0000-0000-0000FB070000}"/>
    <cellStyle name="계산 2 4 3 2" xfId="1817" xr:uid="{00000000-0005-0000-0000-0000FC070000}"/>
    <cellStyle name="계산 2 4 3 2 2" xfId="1818" xr:uid="{00000000-0005-0000-0000-0000FD070000}"/>
    <cellStyle name="계산 2 4 3 3" xfId="1819" xr:uid="{00000000-0005-0000-0000-0000FE070000}"/>
    <cellStyle name="계산 2 4 3 3 2" xfId="1820" xr:uid="{00000000-0005-0000-0000-0000FF070000}"/>
    <cellStyle name="계산 2 4 3 4" xfId="1821" xr:uid="{00000000-0005-0000-0000-000000080000}"/>
    <cellStyle name="계산 2 4 3 4 2" xfId="1822" xr:uid="{00000000-0005-0000-0000-000001080000}"/>
    <cellStyle name="계산 2 4 3 5" xfId="1823" xr:uid="{00000000-0005-0000-0000-000002080000}"/>
    <cellStyle name="계산 2 4 4" xfId="1824" xr:uid="{00000000-0005-0000-0000-000003080000}"/>
    <cellStyle name="계산 2 4 4 2" xfId="1825" xr:uid="{00000000-0005-0000-0000-000004080000}"/>
    <cellStyle name="계산 2 4 4 2 2" xfId="1826" xr:uid="{00000000-0005-0000-0000-000005080000}"/>
    <cellStyle name="계산 2 4 4 3" xfId="1827" xr:uid="{00000000-0005-0000-0000-000006080000}"/>
    <cellStyle name="계산 2 4 4 3 2" xfId="1828" xr:uid="{00000000-0005-0000-0000-000007080000}"/>
    <cellStyle name="계산 2 4 4 4" xfId="1829" xr:uid="{00000000-0005-0000-0000-000008080000}"/>
    <cellStyle name="계산 2 4 4 4 2" xfId="1830" xr:uid="{00000000-0005-0000-0000-000009080000}"/>
    <cellStyle name="계산 2 4 4 5" xfId="1831" xr:uid="{00000000-0005-0000-0000-00000A080000}"/>
    <cellStyle name="계산 2 4 5" xfId="1832" xr:uid="{00000000-0005-0000-0000-00000B080000}"/>
    <cellStyle name="계산 2 4 5 2" xfId="1833" xr:uid="{00000000-0005-0000-0000-00000C080000}"/>
    <cellStyle name="계산 2 4 6" xfId="1834" xr:uid="{00000000-0005-0000-0000-00000D080000}"/>
    <cellStyle name="계산 2 4 6 2" xfId="1835" xr:uid="{00000000-0005-0000-0000-00000E080000}"/>
    <cellStyle name="계산 2 4 7" xfId="1836" xr:uid="{00000000-0005-0000-0000-00000F080000}"/>
    <cellStyle name="계산 2 5" xfId="1837" xr:uid="{00000000-0005-0000-0000-000010080000}"/>
    <cellStyle name="계산 2 5 2" xfId="1838" xr:uid="{00000000-0005-0000-0000-000011080000}"/>
    <cellStyle name="계산 2 5 2 2" xfId="1839" xr:uid="{00000000-0005-0000-0000-000012080000}"/>
    <cellStyle name="계산 2 5 2 2 2" xfId="1840" xr:uid="{00000000-0005-0000-0000-000013080000}"/>
    <cellStyle name="계산 2 5 2 2 2 2" xfId="1841" xr:uid="{00000000-0005-0000-0000-000014080000}"/>
    <cellStyle name="계산 2 5 2 2 3" xfId="1842" xr:uid="{00000000-0005-0000-0000-000015080000}"/>
    <cellStyle name="계산 2 5 2 2 3 2" xfId="1843" xr:uid="{00000000-0005-0000-0000-000016080000}"/>
    <cellStyle name="계산 2 5 2 2 4" xfId="1844" xr:uid="{00000000-0005-0000-0000-000017080000}"/>
    <cellStyle name="계산 2 5 2 2 4 2" xfId="1845" xr:uid="{00000000-0005-0000-0000-000018080000}"/>
    <cellStyle name="계산 2 5 2 2 5" xfId="1846" xr:uid="{00000000-0005-0000-0000-000019080000}"/>
    <cellStyle name="계산 2 5 2 3" xfId="1847" xr:uid="{00000000-0005-0000-0000-00001A080000}"/>
    <cellStyle name="계산 2 5 2 3 2" xfId="1848" xr:uid="{00000000-0005-0000-0000-00001B080000}"/>
    <cellStyle name="계산 2 5 2 3 2 2" xfId="1849" xr:uid="{00000000-0005-0000-0000-00001C080000}"/>
    <cellStyle name="계산 2 5 2 3 3" xfId="1850" xr:uid="{00000000-0005-0000-0000-00001D080000}"/>
    <cellStyle name="계산 2 5 2 3 3 2" xfId="1851" xr:uid="{00000000-0005-0000-0000-00001E080000}"/>
    <cellStyle name="계산 2 5 2 3 4" xfId="1852" xr:uid="{00000000-0005-0000-0000-00001F080000}"/>
    <cellStyle name="계산 2 5 2 3 4 2" xfId="1853" xr:uid="{00000000-0005-0000-0000-000020080000}"/>
    <cellStyle name="계산 2 5 2 3 5" xfId="1854" xr:uid="{00000000-0005-0000-0000-000021080000}"/>
    <cellStyle name="계산 2 5 2 4" xfId="1855" xr:uid="{00000000-0005-0000-0000-000022080000}"/>
    <cellStyle name="계산 2 5 2 4 2" xfId="1856" xr:uid="{00000000-0005-0000-0000-000023080000}"/>
    <cellStyle name="계산 2 5 2 5" xfId="1857" xr:uid="{00000000-0005-0000-0000-000024080000}"/>
    <cellStyle name="계산 2 5 2 5 2" xfId="1858" xr:uid="{00000000-0005-0000-0000-000025080000}"/>
    <cellStyle name="계산 2 5 2 6" xfId="1859" xr:uid="{00000000-0005-0000-0000-000026080000}"/>
    <cellStyle name="계산 2 5 2 6 2" xfId="1860" xr:uid="{00000000-0005-0000-0000-000027080000}"/>
    <cellStyle name="계산 2 5 2 7" xfId="1861" xr:uid="{00000000-0005-0000-0000-000028080000}"/>
    <cellStyle name="계산 2 5 3" xfId="1862" xr:uid="{00000000-0005-0000-0000-000029080000}"/>
    <cellStyle name="계산 2 5 3 2" xfId="1863" xr:uid="{00000000-0005-0000-0000-00002A080000}"/>
    <cellStyle name="계산 2 5 3 2 2" xfId="1864" xr:uid="{00000000-0005-0000-0000-00002B080000}"/>
    <cellStyle name="계산 2 5 3 3" xfId="1865" xr:uid="{00000000-0005-0000-0000-00002C080000}"/>
    <cellStyle name="계산 2 5 3 3 2" xfId="1866" xr:uid="{00000000-0005-0000-0000-00002D080000}"/>
    <cellStyle name="계산 2 5 3 4" xfId="1867" xr:uid="{00000000-0005-0000-0000-00002E080000}"/>
    <cellStyle name="계산 2 5 3 4 2" xfId="1868" xr:uid="{00000000-0005-0000-0000-00002F080000}"/>
    <cellStyle name="계산 2 5 3 5" xfId="1869" xr:uid="{00000000-0005-0000-0000-000030080000}"/>
    <cellStyle name="계산 2 5 4" xfId="1870" xr:uid="{00000000-0005-0000-0000-000031080000}"/>
    <cellStyle name="계산 2 5 4 2" xfId="1871" xr:uid="{00000000-0005-0000-0000-000032080000}"/>
    <cellStyle name="계산 2 5 4 2 2" xfId="1872" xr:uid="{00000000-0005-0000-0000-000033080000}"/>
    <cellStyle name="계산 2 5 4 3" xfId="1873" xr:uid="{00000000-0005-0000-0000-000034080000}"/>
    <cellStyle name="계산 2 5 4 3 2" xfId="1874" xr:uid="{00000000-0005-0000-0000-000035080000}"/>
    <cellStyle name="계산 2 5 4 4" xfId="1875" xr:uid="{00000000-0005-0000-0000-000036080000}"/>
    <cellStyle name="계산 2 5 4 4 2" xfId="1876" xr:uid="{00000000-0005-0000-0000-000037080000}"/>
    <cellStyle name="계산 2 5 4 5" xfId="1877" xr:uid="{00000000-0005-0000-0000-000038080000}"/>
    <cellStyle name="계산 2 5 5" xfId="1878" xr:uid="{00000000-0005-0000-0000-000039080000}"/>
    <cellStyle name="계산 2 5 5 2" xfId="1879" xr:uid="{00000000-0005-0000-0000-00003A080000}"/>
    <cellStyle name="계산 2 5 6" xfId="1880" xr:uid="{00000000-0005-0000-0000-00003B080000}"/>
    <cellStyle name="계산 2 5 6 2" xfId="1881" xr:uid="{00000000-0005-0000-0000-00003C080000}"/>
    <cellStyle name="계산 2 5 7" xfId="1882" xr:uid="{00000000-0005-0000-0000-00003D080000}"/>
    <cellStyle name="계산 2 6" xfId="1883" xr:uid="{00000000-0005-0000-0000-00003E080000}"/>
    <cellStyle name="계산 2 6 2" xfId="1884" xr:uid="{00000000-0005-0000-0000-00003F080000}"/>
    <cellStyle name="계산 2 6 2 2" xfId="1885" xr:uid="{00000000-0005-0000-0000-000040080000}"/>
    <cellStyle name="계산 2 6 2 2 2" xfId="1886" xr:uid="{00000000-0005-0000-0000-000041080000}"/>
    <cellStyle name="계산 2 6 2 3" xfId="1887" xr:uid="{00000000-0005-0000-0000-000042080000}"/>
    <cellStyle name="계산 2 6 2 3 2" xfId="1888" xr:uid="{00000000-0005-0000-0000-000043080000}"/>
    <cellStyle name="계산 2 6 2 4" xfId="1889" xr:uid="{00000000-0005-0000-0000-000044080000}"/>
    <cellStyle name="계산 2 6 2 4 2" xfId="1890" xr:uid="{00000000-0005-0000-0000-000045080000}"/>
    <cellStyle name="계산 2 6 2 5" xfId="1891" xr:uid="{00000000-0005-0000-0000-000046080000}"/>
    <cellStyle name="계산 2 6 3" xfId="1892" xr:uid="{00000000-0005-0000-0000-000047080000}"/>
    <cellStyle name="계산 2 6 3 2" xfId="1893" xr:uid="{00000000-0005-0000-0000-000048080000}"/>
    <cellStyle name="계산 2 6 3 2 2" xfId="1894" xr:uid="{00000000-0005-0000-0000-000049080000}"/>
    <cellStyle name="계산 2 6 3 3" xfId="1895" xr:uid="{00000000-0005-0000-0000-00004A080000}"/>
    <cellStyle name="계산 2 6 3 3 2" xfId="1896" xr:uid="{00000000-0005-0000-0000-00004B080000}"/>
    <cellStyle name="계산 2 6 3 4" xfId="1897" xr:uid="{00000000-0005-0000-0000-00004C080000}"/>
    <cellStyle name="계산 2 6 3 4 2" xfId="1898" xr:uid="{00000000-0005-0000-0000-00004D080000}"/>
    <cellStyle name="계산 2 6 3 5" xfId="1899" xr:uid="{00000000-0005-0000-0000-00004E080000}"/>
    <cellStyle name="계산 2 6 4" xfId="1900" xr:uid="{00000000-0005-0000-0000-00004F080000}"/>
    <cellStyle name="계산 2 6 4 2" xfId="1901" xr:uid="{00000000-0005-0000-0000-000050080000}"/>
    <cellStyle name="계산 2 6 5" xfId="1902" xr:uid="{00000000-0005-0000-0000-000051080000}"/>
    <cellStyle name="계산 2 6 5 2" xfId="1903" xr:uid="{00000000-0005-0000-0000-000052080000}"/>
    <cellStyle name="계산 2 6 6" xfId="1904" xr:uid="{00000000-0005-0000-0000-000053080000}"/>
    <cellStyle name="계산 2 6 6 2" xfId="1905" xr:uid="{00000000-0005-0000-0000-000054080000}"/>
    <cellStyle name="계산 2 6 7" xfId="1906" xr:uid="{00000000-0005-0000-0000-000055080000}"/>
    <cellStyle name="계산 2 7" xfId="1907" xr:uid="{00000000-0005-0000-0000-000056080000}"/>
    <cellStyle name="계산 2 7 2" xfId="1908" xr:uid="{00000000-0005-0000-0000-000057080000}"/>
    <cellStyle name="계산 2 7 2 2" xfId="1909" xr:uid="{00000000-0005-0000-0000-000058080000}"/>
    <cellStyle name="계산 2 7 3" xfId="1910" xr:uid="{00000000-0005-0000-0000-000059080000}"/>
    <cellStyle name="계산 2 7 3 2" xfId="1911" xr:uid="{00000000-0005-0000-0000-00005A080000}"/>
    <cellStyle name="계산 2 7 4" xfId="1912" xr:uid="{00000000-0005-0000-0000-00005B080000}"/>
    <cellStyle name="계산 2 7 4 2" xfId="1913" xr:uid="{00000000-0005-0000-0000-00005C080000}"/>
    <cellStyle name="계산 2 7 5" xfId="1914" xr:uid="{00000000-0005-0000-0000-00005D080000}"/>
    <cellStyle name="계산 2 8" xfId="1915" xr:uid="{00000000-0005-0000-0000-00005E080000}"/>
    <cellStyle name="계산 2 8 2" xfId="1916" xr:uid="{00000000-0005-0000-0000-00005F080000}"/>
    <cellStyle name="계산 2 8 2 2" xfId="1917" xr:uid="{00000000-0005-0000-0000-000060080000}"/>
    <cellStyle name="계산 2 8 3" xfId="1918" xr:uid="{00000000-0005-0000-0000-000061080000}"/>
    <cellStyle name="계산 2 8 3 2" xfId="1919" xr:uid="{00000000-0005-0000-0000-000062080000}"/>
    <cellStyle name="계산 2 8 4" xfId="1920" xr:uid="{00000000-0005-0000-0000-000063080000}"/>
    <cellStyle name="계산 2 8 4 2" xfId="1921" xr:uid="{00000000-0005-0000-0000-000064080000}"/>
    <cellStyle name="계산 2 8 5" xfId="1922" xr:uid="{00000000-0005-0000-0000-000065080000}"/>
    <cellStyle name="계산 2 9" xfId="1923" xr:uid="{00000000-0005-0000-0000-000066080000}"/>
    <cellStyle name="계산 2 9 2" xfId="1924" xr:uid="{00000000-0005-0000-0000-000067080000}"/>
    <cellStyle name="계산 3" xfId="1925" xr:uid="{00000000-0005-0000-0000-000068080000}"/>
    <cellStyle name="계산 4" xfId="1926" xr:uid="{00000000-0005-0000-0000-000069080000}"/>
    <cellStyle name="계산 5" xfId="1927" xr:uid="{00000000-0005-0000-0000-00006A080000}"/>
    <cellStyle name="계산 6" xfId="1928" xr:uid="{00000000-0005-0000-0000-00006B080000}"/>
    <cellStyle name="계산 7" xfId="1929" xr:uid="{00000000-0005-0000-0000-00006C080000}"/>
    <cellStyle name="계산 8" xfId="1930" xr:uid="{00000000-0005-0000-0000-00006D080000}"/>
    <cellStyle name="계산 9" xfId="1931" xr:uid="{00000000-0005-0000-0000-00006E080000}"/>
    <cellStyle name="고정소숫점" xfId="1932" xr:uid="{00000000-0005-0000-0000-00006F080000}"/>
    <cellStyle name="고정출력1" xfId="1933" xr:uid="{00000000-0005-0000-0000-000070080000}"/>
    <cellStyle name="고정출력2" xfId="1934" xr:uid="{00000000-0005-0000-0000-000071080000}"/>
    <cellStyle name="괄(계정)" xfId="1935" xr:uid="{00000000-0005-0000-0000-000072080000}"/>
    <cellStyle name="나쁨" xfId="7" builtinId="27" customBuiltin="1"/>
    <cellStyle name="나쁨 10" xfId="1936" xr:uid="{00000000-0005-0000-0000-000074080000}"/>
    <cellStyle name="나쁨 11" xfId="1937" xr:uid="{00000000-0005-0000-0000-000075080000}"/>
    <cellStyle name="나쁨 12" xfId="1938" xr:uid="{00000000-0005-0000-0000-000076080000}"/>
    <cellStyle name="나쁨 13" xfId="1939" xr:uid="{00000000-0005-0000-0000-000077080000}"/>
    <cellStyle name="나쁨 14" xfId="1940" xr:uid="{00000000-0005-0000-0000-000078080000}"/>
    <cellStyle name="나쁨 2" xfId="1941" xr:uid="{00000000-0005-0000-0000-000079080000}"/>
    <cellStyle name="나쁨 2 2" xfId="1942" xr:uid="{00000000-0005-0000-0000-00007A080000}"/>
    <cellStyle name="나쁨 2 2 2" xfId="1943" xr:uid="{00000000-0005-0000-0000-00007B080000}"/>
    <cellStyle name="나쁨 2 3" xfId="1944" xr:uid="{00000000-0005-0000-0000-00007C080000}"/>
    <cellStyle name="나쁨 3" xfId="1945" xr:uid="{00000000-0005-0000-0000-00007D080000}"/>
    <cellStyle name="나쁨 3 2" xfId="1946" xr:uid="{00000000-0005-0000-0000-00007E080000}"/>
    <cellStyle name="나쁨 4" xfId="1947" xr:uid="{00000000-0005-0000-0000-00007F080000}"/>
    <cellStyle name="나쁨 4 2" xfId="1948" xr:uid="{00000000-0005-0000-0000-000080080000}"/>
    <cellStyle name="나쁨 5" xfId="1949" xr:uid="{00000000-0005-0000-0000-000081080000}"/>
    <cellStyle name="나쁨 6" xfId="1950" xr:uid="{00000000-0005-0000-0000-000082080000}"/>
    <cellStyle name="나쁨 7" xfId="1951" xr:uid="{00000000-0005-0000-0000-000083080000}"/>
    <cellStyle name="나쁨 8" xfId="1952" xr:uid="{00000000-0005-0000-0000-000084080000}"/>
    <cellStyle name="나쁨 9" xfId="1953" xr:uid="{00000000-0005-0000-0000-000085080000}"/>
    <cellStyle name="날짜" xfId="1954" xr:uid="{00000000-0005-0000-0000-000086080000}"/>
    <cellStyle name="달러" xfId="1955" xr:uid="{00000000-0005-0000-0000-000087080000}"/>
    <cellStyle name="뒤에 오는 하이퍼링크" xfId="1956" xr:uid="{00000000-0005-0000-0000-000088080000}"/>
    <cellStyle name="똿뗦먛귟 [0.00]_PRODUCT DETAIL Q1" xfId="1957" xr:uid="{00000000-0005-0000-0000-000089080000}"/>
    <cellStyle name="똿뗦먛귟_PRODUCT DETAIL Q1" xfId="1958" xr:uid="{00000000-0005-0000-0000-00008A080000}"/>
    <cellStyle name="메모" xfId="15" builtinId="10" customBuiltin="1"/>
    <cellStyle name="메모 10" xfId="1959" xr:uid="{00000000-0005-0000-0000-00008C080000}"/>
    <cellStyle name="메모 11" xfId="1960" xr:uid="{00000000-0005-0000-0000-00008D080000}"/>
    <cellStyle name="메모 12" xfId="1961" xr:uid="{00000000-0005-0000-0000-00008E080000}"/>
    <cellStyle name="메모 13" xfId="1962" xr:uid="{00000000-0005-0000-0000-00008F080000}"/>
    <cellStyle name="메모 14" xfId="1963" xr:uid="{00000000-0005-0000-0000-000090080000}"/>
    <cellStyle name="메모 15" xfId="6873" xr:uid="{00000000-0005-0000-0000-000091080000}"/>
    <cellStyle name="메모 15 2" xfId="9397" xr:uid="{00000000-0005-0000-0000-000092080000}"/>
    <cellStyle name="메모 16" xfId="7715" xr:uid="{00000000-0005-0000-0000-000093080000}"/>
    <cellStyle name="메모 17" xfId="8555" xr:uid="{00000000-0005-0000-0000-000094080000}"/>
    <cellStyle name="메모 18" xfId="6025" xr:uid="{00000000-0005-0000-0000-000095080000}"/>
    <cellStyle name="메모 2" xfId="1964" xr:uid="{00000000-0005-0000-0000-000096080000}"/>
    <cellStyle name="메모 2 10" xfId="1965" xr:uid="{00000000-0005-0000-0000-000097080000}"/>
    <cellStyle name="메모 2 10 2" xfId="1966" xr:uid="{00000000-0005-0000-0000-000098080000}"/>
    <cellStyle name="메모 2 11" xfId="1967" xr:uid="{00000000-0005-0000-0000-000099080000}"/>
    <cellStyle name="메모 2 11 2" xfId="1968" xr:uid="{00000000-0005-0000-0000-00009A080000}"/>
    <cellStyle name="메모 2 12" xfId="1969" xr:uid="{00000000-0005-0000-0000-00009B080000}"/>
    <cellStyle name="메모 2 13" xfId="1970" xr:uid="{00000000-0005-0000-0000-00009C080000}"/>
    <cellStyle name="메모 2 14" xfId="1971" xr:uid="{00000000-0005-0000-0000-00009D080000}"/>
    <cellStyle name="메모 2 15" xfId="1972" xr:uid="{00000000-0005-0000-0000-00009E080000}"/>
    <cellStyle name="메모 2 16" xfId="1973" xr:uid="{00000000-0005-0000-0000-00009F080000}"/>
    <cellStyle name="메모 2 17" xfId="1974" xr:uid="{00000000-0005-0000-0000-0000A0080000}"/>
    <cellStyle name="메모 2 18" xfId="1975" xr:uid="{00000000-0005-0000-0000-0000A1080000}"/>
    <cellStyle name="메모 2 19" xfId="1976" xr:uid="{00000000-0005-0000-0000-0000A2080000}"/>
    <cellStyle name="메모 2 2" xfId="1977" xr:uid="{00000000-0005-0000-0000-0000A3080000}"/>
    <cellStyle name="메모 2 2 10" xfId="1978" xr:uid="{00000000-0005-0000-0000-0000A4080000}"/>
    <cellStyle name="메모 2 2 10 2" xfId="1979" xr:uid="{00000000-0005-0000-0000-0000A5080000}"/>
    <cellStyle name="메모 2 2 11" xfId="1980" xr:uid="{00000000-0005-0000-0000-0000A6080000}"/>
    <cellStyle name="메모 2 2 12" xfId="1981" xr:uid="{00000000-0005-0000-0000-0000A7080000}"/>
    <cellStyle name="메모 2 2 13" xfId="1982" xr:uid="{00000000-0005-0000-0000-0000A8080000}"/>
    <cellStyle name="메모 2 2 14" xfId="1983" xr:uid="{00000000-0005-0000-0000-0000A9080000}"/>
    <cellStyle name="메모 2 2 15" xfId="1984" xr:uid="{00000000-0005-0000-0000-0000AA080000}"/>
    <cellStyle name="메모 2 2 16" xfId="1985" xr:uid="{00000000-0005-0000-0000-0000AB080000}"/>
    <cellStyle name="메모 2 2 17" xfId="1986" xr:uid="{00000000-0005-0000-0000-0000AC080000}"/>
    <cellStyle name="메모 2 2 18" xfId="1987" xr:uid="{00000000-0005-0000-0000-0000AD080000}"/>
    <cellStyle name="메모 2 2 19" xfId="1988" xr:uid="{00000000-0005-0000-0000-0000AE080000}"/>
    <cellStyle name="메모 2 2 2" xfId="1989" xr:uid="{00000000-0005-0000-0000-0000AF080000}"/>
    <cellStyle name="메모 2 2 2 10" xfId="1990" xr:uid="{00000000-0005-0000-0000-0000B0080000}"/>
    <cellStyle name="메모 2 2 2 11" xfId="1991" xr:uid="{00000000-0005-0000-0000-0000B1080000}"/>
    <cellStyle name="메모 2 2 2 12" xfId="1992" xr:uid="{00000000-0005-0000-0000-0000B2080000}"/>
    <cellStyle name="메모 2 2 2 13" xfId="1993" xr:uid="{00000000-0005-0000-0000-0000B3080000}"/>
    <cellStyle name="메모 2 2 2 14" xfId="1994" xr:uid="{00000000-0005-0000-0000-0000B4080000}"/>
    <cellStyle name="메모 2 2 2 15" xfId="1995" xr:uid="{00000000-0005-0000-0000-0000B5080000}"/>
    <cellStyle name="메모 2 2 2 16" xfId="1996" xr:uid="{00000000-0005-0000-0000-0000B6080000}"/>
    <cellStyle name="메모 2 2 2 17" xfId="1997" xr:uid="{00000000-0005-0000-0000-0000B7080000}"/>
    <cellStyle name="메모 2 2 2 18" xfId="1998" xr:uid="{00000000-0005-0000-0000-0000B8080000}"/>
    <cellStyle name="메모 2 2 2 2" xfId="1999" xr:uid="{00000000-0005-0000-0000-0000B9080000}"/>
    <cellStyle name="메모 2 2 2 2 10" xfId="2000" xr:uid="{00000000-0005-0000-0000-0000BA080000}"/>
    <cellStyle name="메모 2 2 2 2 11" xfId="2001" xr:uid="{00000000-0005-0000-0000-0000BB080000}"/>
    <cellStyle name="메모 2 2 2 2 12" xfId="2002" xr:uid="{00000000-0005-0000-0000-0000BC080000}"/>
    <cellStyle name="메모 2 2 2 2 13" xfId="2003" xr:uid="{00000000-0005-0000-0000-0000BD080000}"/>
    <cellStyle name="메모 2 2 2 2 14" xfId="2004" xr:uid="{00000000-0005-0000-0000-0000BE080000}"/>
    <cellStyle name="메모 2 2 2 2 15" xfId="2005" xr:uid="{00000000-0005-0000-0000-0000BF080000}"/>
    <cellStyle name="메모 2 2 2 2 16" xfId="2006" xr:uid="{00000000-0005-0000-0000-0000C0080000}"/>
    <cellStyle name="메모 2 2 2 2 17" xfId="2007" xr:uid="{00000000-0005-0000-0000-0000C1080000}"/>
    <cellStyle name="메모 2 2 2 2 2" xfId="2008" xr:uid="{00000000-0005-0000-0000-0000C2080000}"/>
    <cellStyle name="메모 2 2 2 2 2 2" xfId="2009" xr:uid="{00000000-0005-0000-0000-0000C3080000}"/>
    <cellStyle name="메모 2 2 2 2 2 2 2" xfId="2010" xr:uid="{00000000-0005-0000-0000-0000C4080000}"/>
    <cellStyle name="메모 2 2 2 2 2 2 2 2" xfId="2011" xr:uid="{00000000-0005-0000-0000-0000C5080000}"/>
    <cellStyle name="메모 2 2 2 2 2 2 2 2 2" xfId="2012" xr:uid="{00000000-0005-0000-0000-0000C6080000}"/>
    <cellStyle name="메모 2 2 2 2 2 2 2 3" xfId="2013" xr:uid="{00000000-0005-0000-0000-0000C7080000}"/>
    <cellStyle name="메모 2 2 2 2 2 2 2 3 2" xfId="2014" xr:uid="{00000000-0005-0000-0000-0000C8080000}"/>
    <cellStyle name="메모 2 2 2 2 2 2 2 4" xfId="2015" xr:uid="{00000000-0005-0000-0000-0000C9080000}"/>
    <cellStyle name="메모 2 2 2 2 2 2 2 4 2" xfId="2016" xr:uid="{00000000-0005-0000-0000-0000CA080000}"/>
    <cellStyle name="메모 2 2 2 2 2 2 2 5" xfId="2017" xr:uid="{00000000-0005-0000-0000-0000CB080000}"/>
    <cellStyle name="메모 2 2 2 2 2 2 3" xfId="2018" xr:uid="{00000000-0005-0000-0000-0000CC080000}"/>
    <cellStyle name="메모 2 2 2 2 2 2 3 2" xfId="2019" xr:uid="{00000000-0005-0000-0000-0000CD080000}"/>
    <cellStyle name="메모 2 2 2 2 2 2 3 2 2" xfId="2020" xr:uid="{00000000-0005-0000-0000-0000CE080000}"/>
    <cellStyle name="메모 2 2 2 2 2 2 3 3" xfId="2021" xr:uid="{00000000-0005-0000-0000-0000CF080000}"/>
    <cellStyle name="메모 2 2 2 2 2 2 3 3 2" xfId="2022" xr:uid="{00000000-0005-0000-0000-0000D0080000}"/>
    <cellStyle name="메모 2 2 2 2 2 2 3 4" xfId="2023" xr:uid="{00000000-0005-0000-0000-0000D1080000}"/>
    <cellStyle name="메모 2 2 2 2 2 2 3 4 2" xfId="2024" xr:uid="{00000000-0005-0000-0000-0000D2080000}"/>
    <cellStyle name="메모 2 2 2 2 2 2 3 5" xfId="2025" xr:uid="{00000000-0005-0000-0000-0000D3080000}"/>
    <cellStyle name="메모 2 2 2 2 2 2 4" xfId="2026" xr:uid="{00000000-0005-0000-0000-0000D4080000}"/>
    <cellStyle name="메모 2 2 2 2 2 2 4 2" xfId="2027" xr:uid="{00000000-0005-0000-0000-0000D5080000}"/>
    <cellStyle name="메모 2 2 2 2 2 2 5" xfId="2028" xr:uid="{00000000-0005-0000-0000-0000D6080000}"/>
    <cellStyle name="메모 2 2 2 2 2 2 5 2" xfId="2029" xr:uid="{00000000-0005-0000-0000-0000D7080000}"/>
    <cellStyle name="메모 2 2 2 2 2 2 6" xfId="2030" xr:uid="{00000000-0005-0000-0000-0000D8080000}"/>
    <cellStyle name="메모 2 2 2 2 2 2 6 2" xfId="2031" xr:uid="{00000000-0005-0000-0000-0000D9080000}"/>
    <cellStyle name="메모 2 2 2 2 2 2 7" xfId="2032" xr:uid="{00000000-0005-0000-0000-0000DA080000}"/>
    <cellStyle name="메모 2 2 2 2 2 3" xfId="2033" xr:uid="{00000000-0005-0000-0000-0000DB080000}"/>
    <cellStyle name="메모 2 2 2 2 2 3 2" xfId="2034" xr:uid="{00000000-0005-0000-0000-0000DC080000}"/>
    <cellStyle name="메모 2 2 2 2 2 3 2 2" xfId="2035" xr:uid="{00000000-0005-0000-0000-0000DD080000}"/>
    <cellStyle name="메모 2 2 2 2 2 3 3" xfId="2036" xr:uid="{00000000-0005-0000-0000-0000DE080000}"/>
    <cellStyle name="메모 2 2 2 2 2 3 3 2" xfId="2037" xr:uid="{00000000-0005-0000-0000-0000DF080000}"/>
    <cellStyle name="메모 2 2 2 2 2 3 4" xfId="2038" xr:uid="{00000000-0005-0000-0000-0000E0080000}"/>
    <cellStyle name="메모 2 2 2 2 2 3 4 2" xfId="2039" xr:uid="{00000000-0005-0000-0000-0000E1080000}"/>
    <cellStyle name="메모 2 2 2 2 2 3 5" xfId="2040" xr:uid="{00000000-0005-0000-0000-0000E2080000}"/>
    <cellStyle name="메모 2 2 2 2 2 4" xfId="2041" xr:uid="{00000000-0005-0000-0000-0000E3080000}"/>
    <cellStyle name="메모 2 2 2 2 2 4 2" xfId="2042" xr:uid="{00000000-0005-0000-0000-0000E4080000}"/>
    <cellStyle name="메모 2 2 2 2 2 4 2 2" xfId="2043" xr:uid="{00000000-0005-0000-0000-0000E5080000}"/>
    <cellStyle name="메모 2 2 2 2 2 4 3" xfId="2044" xr:uid="{00000000-0005-0000-0000-0000E6080000}"/>
    <cellStyle name="메모 2 2 2 2 2 4 3 2" xfId="2045" xr:uid="{00000000-0005-0000-0000-0000E7080000}"/>
    <cellStyle name="메모 2 2 2 2 2 4 4" xfId="2046" xr:uid="{00000000-0005-0000-0000-0000E8080000}"/>
    <cellStyle name="메모 2 2 2 2 2 4 4 2" xfId="2047" xr:uid="{00000000-0005-0000-0000-0000E9080000}"/>
    <cellStyle name="메모 2 2 2 2 2 4 5" xfId="2048" xr:uid="{00000000-0005-0000-0000-0000EA080000}"/>
    <cellStyle name="메모 2 2 2 2 2 5" xfId="2049" xr:uid="{00000000-0005-0000-0000-0000EB080000}"/>
    <cellStyle name="메모 2 2 2 2 2 5 2" xfId="2050" xr:uid="{00000000-0005-0000-0000-0000EC080000}"/>
    <cellStyle name="메모 2 2 2 2 2 6" xfId="2051" xr:uid="{00000000-0005-0000-0000-0000ED080000}"/>
    <cellStyle name="메모 2 2 2 2 2 6 2" xfId="2052" xr:uid="{00000000-0005-0000-0000-0000EE080000}"/>
    <cellStyle name="메모 2 2 2 2 2 7" xfId="2053" xr:uid="{00000000-0005-0000-0000-0000EF080000}"/>
    <cellStyle name="메모 2 2 2 2 2 8" xfId="2054" xr:uid="{00000000-0005-0000-0000-0000F0080000}"/>
    <cellStyle name="메모 2 2 2 2 3" xfId="2055" xr:uid="{00000000-0005-0000-0000-0000F1080000}"/>
    <cellStyle name="메모 2 2 2 2 3 2" xfId="2056" xr:uid="{00000000-0005-0000-0000-0000F2080000}"/>
    <cellStyle name="메모 2 2 2 2 3 2 2" xfId="2057" xr:uid="{00000000-0005-0000-0000-0000F3080000}"/>
    <cellStyle name="메모 2 2 2 2 3 2 2 2" xfId="2058" xr:uid="{00000000-0005-0000-0000-0000F4080000}"/>
    <cellStyle name="메모 2 2 2 2 3 2 3" xfId="2059" xr:uid="{00000000-0005-0000-0000-0000F5080000}"/>
    <cellStyle name="메모 2 2 2 2 3 2 3 2" xfId="2060" xr:uid="{00000000-0005-0000-0000-0000F6080000}"/>
    <cellStyle name="메모 2 2 2 2 3 2 4" xfId="2061" xr:uid="{00000000-0005-0000-0000-0000F7080000}"/>
    <cellStyle name="메모 2 2 2 2 3 2 4 2" xfId="2062" xr:uid="{00000000-0005-0000-0000-0000F8080000}"/>
    <cellStyle name="메모 2 2 2 2 3 2 5" xfId="2063" xr:uid="{00000000-0005-0000-0000-0000F9080000}"/>
    <cellStyle name="메모 2 2 2 2 3 3" xfId="2064" xr:uid="{00000000-0005-0000-0000-0000FA080000}"/>
    <cellStyle name="메모 2 2 2 2 3 3 2" xfId="2065" xr:uid="{00000000-0005-0000-0000-0000FB080000}"/>
    <cellStyle name="메모 2 2 2 2 3 3 2 2" xfId="2066" xr:uid="{00000000-0005-0000-0000-0000FC080000}"/>
    <cellStyle name="메모 2 2 2 2 3 3 3" xfId="2067" xr:uid="{00000000-0005-0000-0000-0000FD080000}"/>
    <cellStyle name="메모 2 2 2 2 3 3 3 2" xfId="2068" xr:uid="{00000000-0005-0000-0000-0000FE080000}"/>
    <cellStyle name="메모 2 2 2 2 3 3 4" xfId="2069" xr:uid="{00000000-0005-0000-0000-0000FF080000}"/>
    <cellStyle name="메모 2 2 2 2 3 3 4 2" xfId="2070" xr:uid="{00000000-0005-0000-0000-000000090000}"/>
    <cellStyle name="메모 2 2 2 2 3 3 5" xfId="2071" xr:uid="{00000000-0005-0000-0000-000001090000}"/>
    <cellStyle name="메모 2 2 2 2 3 4" xfId="2072" xr:uid="{00000000-0005-0000-0000-000002090000}"/>
    <cellStyle name="메모 2 2 2 2 3 4 2" xfId="2073" xr:uid="{00000000-0005-0000-0000-000003090000}"/>
    <cellStyle name="메모 2 2 2 2 3 5" xfId="2074" xr:uid="{00000000-0005-0000-0000-000004090000}"/>
    <cellStyle name="메모 2 2 2 2 3 5 2" xfId="2075" xr:uid="{00000000-0005-0000-0000-000005090000}"/>
    <cellStyle name="메모 2 2 2 2 3 6" xfId="2076" xr:uid="{00000000-0005-0000-0000-000006090000}"/>
    <cellStyle name="메모 2 2 2 2 3 6 2" xfId="2077" xr:uid="{00000000-0005-0000-0000-000007090000}"/>
    <cellStyle name="메모 2 2 2 2 3 7" xfId="2078" xr:uid="{00000000-0005-0000-0000-000008090000}"/>
    <cellStyle name="메모 2 2 2 2 4" xfId="2079" xr:uid="{00000000-0005-0000-0000-000009090000}"/>
    <cellStyle name="메모 2 2 2 2 4 2" xfId="2080" xr:uid="{00000000-0005-0000-0000-00000A090000}"/>
    <cellStyle name="메모 2 2 2 2 4 2 2" xfId="2081" xr:uid="{00000000-0005-0000-0000-00000B090000}"/>
    <cellStyle name="메모 2 2 2 2 4 3" xfId="2082" xr:uid="{00000000-0005-0000-0000-00000C090000}"/>
    <cellStyle name="메모 2 2 2 2 4 3 2" xfId="2083" xr:uid="{00000000-0005-0000-0000-00000D090000}"/>
    <cellStyle name="메모 2 2 2 2 4 4" xfId="2084" xr:uid="{00000000-0005-0000-0000-00000E090000}"/>
    <cellStyle name="메모 2 2 2 2 4 4 2" xfId="2085" xr:uid="{00000000-0005-0000-0000-00000F090000}"/>
    <cellStyle name="메모 2 2 2 2 4 5" xfId="2086" xr:uid="{00000000-0005-0000-0000-000010090000}"/>
    <cellStyle name="메모 2 2 2 2 5" xfId="2087" xr:uid="{00000000-0005-0000-0000-000011090000}"/>
    <cellStyle name="메모 2 2 2 2 5 2" xfId="2088" xr:uid="{00000000-0005-0000-0000-000012090000}"/>
    <cellStyle name="메모 2 2 2 2 5 2 2" xfId="2089" xr:uid="{00000000-0005-0000-0000-000013090000}"/>
    <cellStyle name="메모 2 2 2 2 5 3" xfId="2090" xr:uid="{00000000-0005-0000-0000-000014090000}"/>
    <cellStyle name="메모 2 2 2 2 5 3 2" xfId="2091" xr:uid="{00000000-0005-0000-0000-000015090000}"/>
    <cellStyle name="메모 2 2 2 2 5 4" xfId="2092" xr:uid="{00000000-0005-0000-0000-000016090000}"/>
    <cellStyle name="메모 2 2 2 2 5 4 2" xfId="2093" xr:uid="{00000000-0005-0000-0000-000017090000}"/>
    <cellStyle name="메모 2 2 2 2 5 5" xfId="2094" xr:uid="{00000000-0005-0000-0000-000018090000}"/>
    <cellStyle name="메모 2 2 2 2 6" xfId="2095" xr:uid="{00000000-0005-0000-0000-000019090000}"/>
    <cellStyle name="메모 2 2 2 2 6 2" xfId="2096" xr:uid="{00000000-0005-0000-0000-00001A090000}"/>
    <cellStyle name="메모 2 2 2 2 7" xfId="2097" xr:uid="{00000000-0005-0000-0000-00001B090000}"/>
    <cellStyle name="메모 2 2 2 2 7 2" xfId="2098" xr:uid="{00000000-0005-0000-0000-00001C090000}"/>
    <cellStyle name="메모 2 2 2 2 8" xfId="2099" xr:uid="{00000000-0005-0000-0000-00001D090000}"/>
    <cellStyle name="메모 2 2 2 2 9" xfId="2100" xr:uid="{00000000-0005-0000-0000-00001E090000}"/>
    <cellStyle name="메모 2 2 2 3" xfId="2101" xr:uid="{00000000-0005-0000-0000-00001F090000}"/>
    <cellStyle name="메모 2 2 2 3 2" xfId="2102" xr:uid="{00000000-0005-0000-0000-000020090000}"/>
    <cellStyle name="메모 2 2 2 3 2 2" xfId="2103" xr:uid="{00000000-0005-0000-0000-000021090000}"/>
    <cellStyle name="메모 2 2 2 3 2 2 2" xfId="2104" xr:uid="{00000000-0005-0000-0000-000022090000}"/>
    <cellStyle name="메모 2 2 2 3 2 2 2 2" xfId="2105" xr:uid="{00000000-0005-0000-0000-000023090000}"/>
    <cellStyle name="메모 2 2 2 3 2 2 3" xfId="2106" xr:uid="{00000000-0005-0000-0000-000024090000}"/>
    <cellStyle name="메모 2 2 2 3 2 2 3 2" xfId="2107" xr:uid="{00000000-0005-0000-0000-000025090000}"/>
    <cellStyle name="메모 2 2 2 3 2 2 4" xfId="2108" xr:uid="{00000000-0005-0000-0000-000026090000}"/>
    <cellStyle name="메모 2 2 2 3 2 2 4 2" xfId="2109" xr:uid="{00000000-0005-0000-0000-000027090000}"/>
    <cellStyle name="메모 2 2 2 3 2 2 5" xfId="2110" xr:uid="{00000000-0005-0000-0000-000028090000}"/>
    <cellStyle name="메모 2 2 2 3 2 3" xfId="2111" xr:uid="{00000000-0005-0000-0000-000029090000}"/>
    <cellStyle name="메모 2 2 2 3 2 3 2" xfId="2112" xr:uid="{00000000-0005-0000-0000-00002A090000}"/>
    <cellStyle name="메모 2 2 2 3 2 3 2 2" xfId="2113" xr:uid="{00000000-0005-0000-0000-00002B090000}"/>
    <cellStyle name="메모 2 2 2 3 2 3 3" xfId="2114" xr:uid="{00000000-0005-0000-0000-00002C090000}"/>
    <cellStyle name="메모 2 2 2 3 2 3 3 2" xfId="2115" xr:uid="{00000000-0005-0000-0000-00002D090000}"/>
    <cellStyle name="메모 2 2 2 3 2 3 4" xfId="2116" xr:uid="{00000000-0005-0000-0000-00002E090000}"/>
    <cellStyle name="메모 2 2 2 3 2 3 4 2" xfId="2117" xr:uid="{00000000-0005-0000-0000-00002F090000}"/>
    <cellStyle name="메모 2 2 2 3 2 3 5" xfId="2118" xr:uid="{00000000-0005-0000-0000-000030090000}"/>
    <cellStyle name="메모 2 2 2 3 2 4" xfId="2119" xr:uid="{00000000-0005-0000-0000-000031090000}"/>
    <cellStyle name="메모 2 2 2 3 2 4 2" xfId="2120" xr:uid="{00000000-0005-0000-0000-000032090000}"/>
    <cellStyle name="메모 2 2 2 3 2 5" xfId="2121" xr:uid="{00000000-0005-0000-0000-000033090000}"/>
    <cellStyle name="메모 2 2 2 3 2 5 2" xfId="2122" xr:uid="{00000000-0005-0000-0000-000034090000}"/>
    <cellStyle name="메모 2 2 2 3 2 6" xfId="2123" xr:uid="{00000000-0005-0000-0000-000035090000}"/>
    <cellStyle name="메모 2 2 2 3 2 6 2" xfId="2124" xr:uid="{00000000-0005-0000-0000-000036090000}"/>
    <cellStyle name="메모 2 2 2 3 2 7" xfId="2125" xr:uid="{00000000-0005-0000-0000-000037090000}"/>
    <cellStyle name="메모 2 2 2 3 3" xfId="2126" xr:uid="{00000000-0005-0000-0000-000038090000}"/>
    <cellStyle name="메모 2 2 2 3 3 2" xfId="2127" xr:uid="{00000000-0005-0000-0000-000039090000}"/>
    <cellStyle name="메모 2 2 2 3 3 2 2" xfId="2128" xr:uid="{00000000-0005-0000-0000-00003A090000}"/>
    <cellStyle name="메모 2 2 2 3 3 3" xfId="2129" xr:uid="{00000000-0005-0000-0000-00003B090000}"/>
    <cellStyle name="메모 2 2 2 3 3 3 2" xfId="2130" xr:uid="{00000000-0005-0000-0000-00003C090000}"/>
    <cellStyle name="메모 2 2 2 3 3 4" xfId="2131" xr:uid="{00000000-0005-0000-0000-00003D090000}"/>
    <cellStyle name="메모 2 2 2 3 3 4 2" xfId="2132" xr:uid="{00000000-0005-0000-0000-00003E090000}"/>
    <cellStyle name="메모 2 2 2 3 3 5" xfId="2133" xr:uid="{00000000-0005-0000-0000-00003F090000}"/>
    <cellStyle name="메모 2 2 2 3 4" xfId="2134" xr:uid="{00000000-0005-0000-0000-000040090000}"/>
    <cellStyle name="메모 2 2 2 3 4 2" xfId="2135" xr:uid="{00000000-0005-0000-0000-000041090000}"/>
    <cellStyle name="메모 2 2 2 3 4 2 2" xfId="2136" xr:uid="{00000000-0005-0000-0000-000042090000}"/>
    <cellStyle name="메모 2 2 2 3 4 3" xfId="2137" xr:uid="{00000000-0005-0000-0000-000043090000}"/>
    <cellStyle name="메모 2 2 2 3 4 3 2" xfId="2138" xr:uid="{00000000-0005-0000-0000-000044090000}"/>
    <cellStyle name="메모 2 2 2 3 4 4" xfId="2139" xr:uid="{00000000-0005-0000-0000-000045090000}"/>
    <cellStyle name="메모 2 2 2 3 4 4 2" xfId="2140" xr:uid="{00000000-0005-0000-0000-000046090000}"/>
    <cellStyle name="메모 2 2 2 3 4 5" xfId="2141" xr:uid="{00000000-0005-0000-0000-000047090000}"/>
    <cellStyle name="메모 2 2 2 3 5" xfId="2142" xr:uid="{00000000-0005-0000-0000-000048090000}"/>
    <cellStyle name="메모 2 2 2 3 5 2" xfId="2143" xr:uid="{00000000-0005-0000-0000-000049090000}"/>
    <cellStyle name="메모 2 2 2 3 6" xfId="2144" xr:uid="{00000000-0005-0000-0000-00004A090000}"/>
    <cellStyle name="메모 2 2 2 3 6 2" xfId="2145" xr:uid="{00000000-0005-0000-0000-00004B090000}"/>
    <cellStyle name="메모 2 2 2 3 7" xfId="2146" xr:uid="{00000000-0005-0000-0000-00004C090000}"/>
    <cellStyle name="메모 2 2 2 3 8" xfId="2147" xr:uid="{00000000-0005-0000-0000-00004D090000}"/>
    <cellStyle name="메모 2 2 2 4" xfId="2148" xr:uid="{00000000-0005-0000-0000-00004E090000}"/>
    <cellStyle name="메모 2 2 2 4 2" xfId="2149" xr:uid="{00000000-0005-0000-0000-00004F090000}"/>
    <cellStyle name="메모 2 2 2 4 2 2" xfId="2150" xr:uid="{00000000-0005-0000-0000-000050090000}"/>
    <cellStyle name="메모 2 2 2 4 2 2 2" xfId="2151" xr:uid="{00000000-0005-0000-0000-000051090000}"/>
    <cellStyle name="메모 2 2 2 4 2 3" xfId="2152" xr:uid="{00000000-0005-0000-0000-000052090000}"/>
    <cellStyle name="메모 2 2 2 4 2 3 2" xfId="2153" xr:uid="{00000000-0005-0000-0000-000053090000}"/>
    <cellStyle name="메모 2 2 2 4 2 4" xfId="2154" xr:uid="{00000000-0005-0000-0000-000054090000}"/>
    <cellStyle name="메모 2 2 2 4 2 4 2" xfId="2155" xr:uid="{00000000-0005-0000-0000-000055090000}"/>
    <cellStyle name="메모 2 2 2 4 2 5" xfId="2156" xr:uid="{00000000-0005-0000-0000-000056090000}"/>
    <cellStyle name="메모 2 2 2 4 3" xfId="2157" xr:uid="{00000000-0005-0000-0000-000057090000}"/>
    <cellStyle name="메모 2 2 2 4 3 2" xfId="2158" xr:uid="{00000000-0005-0000-0000-000058090000}"/>
    <cellStyle name="메모 2 2 2 4 3 2 2" xfId="2159" xr:uid="{00000000-0005-0000-0000-000059090000}"/>
    <cellStyle name="메모 2 2 2 4 3 3" xfId="2160" xr:uid="{00000000-0005-0000-0000-00005A090000}"/>
    <cellStyle name="메모 2 2 2 4 3 3 2" xfId="2161" xr:uid="{00000000-0005-0000-0000-00005B090000}"/>
    <cellStyle name="메모 2 2 2 4 3 4" xfId="2162" xr:uid="{00000000-0005-0000-0000-00005C090000}"/>
    <cellStyle name="메모 2 2 2 4 3 4 2" xfId="2163" xr:uid="{00000000-0005-0000-0000-00005D090000}"/>
    <cellStyle name="메모 2 2 2 4 3 5" xfId="2164" xr:uid="{00000000-0005-0000-0000-00005E090000}"/>
    <cellStyle name="메모 2 2 2 4 4" xfId="2165" xr:uid="{00000000-0005-0000-0000-00005F090000}"/>
    <cellStyle name="메모 2 2 2 4 4 2" xfId="2166" xr:uid="{00000000-0005-0000-0000-000060090000}"/>
    <cellStyle name="메모 2 2 2 4 5" xfId="2167" xr:uid="{00000000-0005-0000-0000-000061090000}"/>
    <cellStyle name="메모 2 2 2 4 5 2" xfId="2168" xr:uid="{00000000-0005-0000-0000-000062090000}"/>
    <cellStyle name="메모 2 2 2 4 6" xfId="2169" xr:uid="{00000000-0005-0000-0000-000063090000}"/>
    <cellStyle name="메모 2 2 2 4 6 2" xfId="2170" xr:uid="{00000000-0005-0000-0000-000064090000}"/>
    <cellStyle name="메모 2 2 2 4 7" xfId="2171" xr:uid="{00000000-0005-0000-0000-000065090000}"/>
    <cellStyle name="메모 2 2 2 5" xfId="2172" xr:uid="{00000000-0005-0000-0000-000066090000}"/>
    <cellStyle name="메모 2 2 2 5 2" xfId="2173" xr:uid="{00000000-0005-0000-0000-000067090000}"/>
    <cellStyle name="메모 2 2 2 5 2 2" xfId="2174" xr:uid="{00000000-0005-0000-0000-000068090000}"/>
    <cellStyle name="메모 2 2 2 5 3" xfId="2175" xr:uid="{00000000-0005-0000-0000-000069090000}"/>
    <cellStyle name="메모 2 2 2 5 3 2" xfId="2176" xr:uid="{00000000-0005-0000-0000-00006A090000}"/>
    <cellStyle name="메모 2 2 2 5 4" xfId="2177" xr:uid="{00000000-0005-0000-0000-00006B090000}"/>
    <cellStyle name="메모 2 2 2 5 4 2" xfId="2178" xr:uid="{00000000-0005-0000-0000-00006C090000}"/>
    <cellStyle name="메모 2 2 2 5 5" xfId="2179" xr:uid="{00000000-0005-0000-0000-00006D090000}"/>
    <cellStyle name="메모 2 2 2 6" xfId="2180" xr:uid="{00000000-0005-0000-0000-00006E090000}"/>
    <cellStyle name="메모 2 2 2 6 2" xfId="2181" xr:uid="{00000000-0005-0000-0000-00006F090000}"/>
    <cellStyle name="메모 2 2 2 6 2 2" xfId="2182" xr:uid="{00000000-0005-0000-0000-000070090000}"/>
    <cellStyle name="메모 2 2 2 6 3" xfId="2183" xr:uid="{00000000-0005-0000-0000-000071090000}"/>
    <cellStyle name="메모 2 2 2 6 3 2" xfId="2184" xr:uid="{00000000-0005-0000-0000-000072090000}"/>
    <cellStyle name="메모 2 2 2 6 4" xfId="2185" xr:uid="{00000000-0005-0000-0000-000073090000}"/>
    <cellStyle name="메모 2 2 2 6 4 2" xfId="2186" xr:uid="{00000000-0005-0000-0000-000074090000}"/>
    <cellStyle name="메모 2 2 2 6 5" xfId="2187" xr:uid="{00000000-0005-0000-0000-000075090000}"/>
    <cellStyle name="메모 2 2 2 7" xfId="2188" xr:uid="{00000000-0005-0000-0000-000076090000}"/>
    <cellStyle name="메모 2 2 2 7 2" xfId="2189" xr:uid="{00000000-0005-0000-0000-000077090000}"/>
    <cellStyle name="메모 2 2 2 8" xfId="2190" xr:uid="{00000000-0005-0000-0000-000078090000}"/>
    <cellStyle name="메모 2 2 2 8 2" xfId="2191" xr:uid="{00000000-0005-0000-0000-000079090000}"/>
    <cellStyle name="메모 2 2 2 9" xfId="2192" xr:uid="{00000000-0005-0000-0000-00007A090000}"/>
    <cellStyle name="메모 2 2 20" xfId="2193" xr:uid="{00000000-0005-0000-0000-00007B090000}"/>
    <cellStyle name="메모 2 2 3" xfId="2194" xr:uid="{00000000-0005-0000-0000-00007C090000}"/>
    <cellStyle name="메모 2 2 3 10" xfId="2195" xr:uid="{00000000-0005-0000-0000-00007D090000}"/>
    <cellStyle name="메모 2 2 3 11" xfId="2196" xr:uid="{00000000-0005-0000-0000-00007E090000}"/>
    <cellStyle name="메모 2 2 3 12" xfId="2197" xr:uid="{00000000-0005-0000-0000-00007F090000}"/>
    <cellStyle name="메모 2 2 3 13" xfId="2198" xr:uid="{00000000-0005-0000-0000-000080090000}"/>
    <cellStyle name="메모 2 2 3 14" xfId="2199" xr:uid="{00000000-0005-0000-0000-000081090000}"/>
    <cellStyle name="메모 2 2 3 15" xfId="2200" xr:uid="{00000000-0005-0000-0000-000082090000}"/>
    <cellStyle name="메모 2 2 3 16" xfId="2201" xr:uid="{00000000-0005-0000-0000-000083090000}"/>
    <cellStyle name="메모 2 2 3 17" xfId="2202" xr:uid="{00000000-0005-0000-0000-000084090000}"/>
    <cellStyle name="메모 2 2 3 2" xfId="2203" xr:uid="{00000000-0005-0000-0000-000085090000}"/>
    <cellStyle name="메모 2 2 3 2 2" xfId="2204" xr:uid="{00000000-0005-0000-0000-000086090000}"/>
    <cellStyle name="메모 2 2 3 2 2 2" xfId="2205" xr:uid="{00000000-0005-0000-0000-000087090000}"/>
    <cellStyle name="메모 2 2 3 2 2 2 2" xfId="2206" xr:uid="{00000000-0005-0000-0000-000088090000}"/>
    <cellStyle name="메모 2 2 3 2 2 2 2 2" xfId="2207" xr:uid="{00000000-0005-0000-0000-000089090000}"/>
    <cellStyle name="메모 2 2 3 2 2 2 3" xfId="2208" xr:uid="{00000000-0005-0000-0000-00008A090000}"/>
    <cellStyle name="메모 2 2 3 2 2 2 3 2" xfId="2209" xr:uid="{00000000-0005-0000-0000-00008B090000}"/>
    <cellStyle name="메모 2 2 3 2 2 2 4" xfId="2210" xr:uid="{00000000-0005-0000-0000-00008C090000}"/>
    <cellStyle name="메모 2 2 3 2 2 2 4 2" xfId="2211" xr:uid="{00000000-0005-0000-0000-00008D090000}"/>
    <cellStyle name="메모 2 2 3 2 2 2 5" xfId="2212" xr:uid="{00000000-0005-0000-0000-00008E090000}"/>
    <cellStyle name="메모 2 2 3 2 2 3" xfId="2213" xr:uid="{00000000-0005-0000-0000-00008F090000}"/>
    <cellStyle name="메모 2 2 3 2 2 3 2" xfId="2214" xr:uid="{00000000-0005-0000-0000-000090090000}"/>
    <cellStyle name="메모 2 2 3 2 2 3 2 2" xfId="2215" xr:uid="{00000000-0005-0000-0000-000091090000}"/>
    <cellStyle name="메모 2 2 3 2 2 3 3" xfId="2216" xr:uid="{00000000-0005-0000-0000-000092090000}"/>
    <cellStyle name="메모 2 2 3 2 2 3 3 2" xfId="2217" xr:uid="{00000000-0005-0000-0000-000093090000}"/>
    <cellStyle name="메모 2 2 3 2 2 3 4" xfId="2218" xr:uid="{00000000-0005-0000-0000-000094090000}"/>
    <cellStyle name="메모 2 2 3 2 2 3 4 2" xfId="2219" xr:uid="{00000000-0005-0000-0000-000095090000}"/>
    <cellStyle name="메모 2 2 3 2 2 3 5" xfId="2220" xr:uid="{00000000-0005-0000-0000-000096090000}"/>
    <cellStyle name="메모 2 2 3 2 2 4" xfId="2221" xr:uid="{00000000-0005-0000-0000-000097090000}"/>
    <cellStyle name="메모 2 2 3 2 2 4 2" xfId="2222" xr:uid="{00000000-0005-0000-0000-000098090000}"/>
    <cellStyle name="메모 2 2 3 2 2 5" xfId="2223" xr:uid="{00000000-0005-0000-0000-000099090000}"/>
    <cellStyle name="메모 2 2 3 2 2 5 2" xfId="2224" xr:uid="{00000000-0005-0000-0000-00009A090000}"/>
    <cellStyle name="메모 2 2 3 2 2 6" xfId="2225" xr:uid="{00000000-0005-0000-0000-00009B090000}"/>
    <cellStyle name="메모 2 2 3 2 2 6 2" xfId="2226" xr:uid="{00000000-0005-0000-0000-00009C090000}"/>
    <cellStyle name="메모 2 2 3 2 2 7" xfId="2227" xr:uid="{00000000-0005-0000-0000-00009D090000}"/>
    <cellStyle name="메모 2 2 3 2 3" xfId="2228" xr:uid="{00000000-0005-0000-0000-00009E090000}"/>
    <cellStyle name="메모 2 2 3 2 3 2" xfId="2229" xr:uid="{00000000-0005-0000-0000-00009F090000}"/>
    <cellStyle name="메모 2 2 3 2 3 2 2" xfId="2230" xr:uid="{00000000-0005-0000-0000-0000A0090000}"/>
    <cellStyle name="메모 2 2 3 2 3 3" xfId="2231" xr:uid="{00000000-0005-0000-0000-0000A1090000}"/>
    <cellStyle name="메모 2 2 3 2 3 3 2" xfId="2232" xr:uid="{00000000-0005-0000-0000-0000A2090000}"/>
    <cellStyle name="메모 2 2 3 2 3 4" xfId="2233" xr:uid="{00000000-0005-0000-0000-0000A3090000}"/>
    <cellStyle name="메모 2 2 3 2 3 4 2" xfId="2234" xr:uid="{00000000-0005-0000-0000-0000A4090000}"/>
    <cellStyle name="메모 2 2 3 2 3 5" xfId="2235" xr:uid="{00000000-0005-0000-0000-0000A5090000}"/>
    <cellStyle name="메모 2 2 3 2 4" xfId="2236" xr:uid="{00000000-0005-0000-0000-0000A6090000}"/>
    <cellStyle name="메모 2 2 3 2 4 2" xfId="2237" xr:uid="{00000000-0005-0000-0000-0000A7090000}"/>
    <cellStyle name="메모 2 2 3 2 4 2 2" xfId="2238" xr:uid="{00000000-0005-0000-0000-0000A8090000}"/>
    <cellStyle name="메모 2 2 3 2 4 3" xfId="2239" xr:uid="{00000000-0005-0000-0000-0000A9090000}"/>
    <cellStyle name="메모 2 2 3 2 4 3 2" xfId="2240" xr:uid="{00000000-0005-0000-0000-0000AA090000}"/>
    <cellStyle name="메모 2 2 3 2 4 4" xfId="2241" xr:uid="{00000000-0005-0000-0000-0000AB090000}"/>
    <cellStyle name="메모 2 2 3 2 4 4 2" xfId="2242" xr:uid="{00000000-0005-0000-0000-0000AC090000}"/>
    <cellStyle name="메모 2 2 3 2 4 5" xfId="2243" xr:uid="{00000000-0005-0000-0000-0000AD090000}"/>
    <cellStyle name="메모 2 2 3 2 5" xfId="2244" xr:uid="{00000000-0005-0000-0000-0000AE090000}"/>
    <cellStyle name="메모 2 2 3 2 5 2" xfId="2245" xr:uid="{00000000-0005-0000-0000-0000AF090000}"/>
    <cellStyle name="메모 2 2 3 2 6" xfId="2246" xr:uid="{00000000-0005-0000-0000-0000B0090000}"/>
    <cellStyle name="메모 2 2 3 2 6 2" xfId="2247" xr:uid="{00000000-0005-0000-0000-0000B1090000}"/>
    <cellStyle name="메모 2 2 3 2 7" xfId="2248" xr:uid="{00000000-0005-0000-0000-0000B2090000}"/>
    <cellStyle name="메모 2 2 3 2 8" xfId="2249" xr:uid="{00000000-0005-0000-0000-0000B3090000}"/>
    <cellStyle name="메모 2 2 3 3" xfId="2250" xr:uid="{00000000-0005-0000-0000-0000B4090000}"/>
    <cellStyle name="메모 2 2 3 3 2" xfId="2251" xr:uid="{00000000-0005-0000-0000-0000B5090000}"/>
    <cellStyle name="메모 2 2 3 3 2 2" xfId="2252" xr:uid="{00000000-0005-0000-0000-0000B6090000}"/>
    <cellStyle name="메모 2 2 3 3 2 2 2" xfId="2253" xr:uid="{00000000-0005-0000-0000-0000B7090000}"/>
    <cellStyle name="메모 2 2 3 3 2 3" xfId="2254" xr:uid="{00000000-0005-0000-0000-0000B8090000}"/>
    <cellStyle name="메모 2 2 3 3 2 3 2" xfId="2255" xr:uid="{00000000-0005-0000-0000-0000B9090000}"/>
    <cellStyle name="메모 2 2 3 3 2 4" xfId="2256" xr:uid="{00000000-0005-0000-0000-0000BA090000}"/>
    <cellStyle name="메모 2 2 3 3 2 4 2" xfId="2257" xr:uid="{00000000-0005-0000-0000-0000BB090000}"/>
    <cellStyle name="메모 2 2 3 3 2 5" xfId="2258" xr:uid="{00000000-0005-0000-0000-0000BC090000}"/>
    <cellStyle name="메모 2 2 3 3 3" xfId="2259" xr:uid="{00000000-0005-0000-0000-0000BD090000}"/>
    <cellStyle name="메모 2 2 3 3 3 2" xfId="2260" xr:uid="{00000000-0005-0000-0000-0000BE090000}"/>
    <cellStyle name="메모 2 2 3 3 3 2 2" xfId="2261" xr:uid="{00000000-0005-0000-0000-0000BF090000}"/>
    <cellStyle name="메모 2 2 3 3 3 3" xfId="2262" xr:uid="{00000000-0005-0000-0000-0000C0090000}"/>
    <cellStyle name="메모 2 2 3 3 3 3 2" xfId="2263" xr:uid="{00000000-0005-0000-0000-0000C1090000}"/>
    <cellStyle name="메모 2 2 3 3 3 4" xfId="2264" xr:uid="{00000000-0005-0000-0000-0000C2090000}"/>
    <cellStyle name="메모 2 2 3 3 3 4 2" xfId="2265" xr:uid="{00000000-0005-0000-0000-0000C3090000}"/>
    <cellStyle name="메모 2 2 3 3 3 5" xfId="2266" xr:uid="{00000000-0005-0000-0000-0000C4090000}"/>
    <cellStyle name="메모 2 2 3 3 4" xfId="2267" xr:uid="{00000000-0005-0000-0000-0000C5090000}"/>
    <cellStyle name="메모 2 2 3 3 4 2" xfId="2268" xr:uid="{00000000-0005-0000-0000-0000C6090000}"/>
    <cellStyle name="메모 2 2 3 3 5" xfId="2269" xr:uid="{00000000-0005-0000-0000-0000C7090000}"/>
    <cellStyle name="메모 2 2 3 3 5 2" xfId="2270" xr:uid="{00000000-0005-0000-0000-0000C8090000}"/>
    <cellStyle name="메모 2 2 3 3 6" xfId="2271" xr:uid="{00000000-0005-0000-0000-0000C9090000}"/>
    <cellStyle name="메모 2 2 3 3 6 2" xfId="2272" xr:uid="{00000000-0005-0000-0000-0000CA090000}"/>
    <cellStyle name="메모 2 2 3 3 7" xfId="2273" xr:uid="{00000000-0005-0000-0000-0000CB090000}"/>
    <cellStyle name="메모 2 2 3 4" xfId="2274" xr:uid="{00000000-0005-0000-0000-0000CC090000}"/>
    <cellStyle name="메모 2 2 3 4 2" xfId="2275" xr:uid="{00000000-0005-0000-0000-0000CD090000}"/>
    <cellStyle name="메모 2 2 3 4 2 2" xfId="2276" xr:uid="{00000000-0005-0000-0000-0000CE090000}"/>
    <cellStyle name="메모 2 2 3 4 3" xfId="2277" xr:uid="{00000000-0005-0000-0000-0000CF090000}"/>
    <cellStyle name="메모 2 2 3 4 3 2" xfId="2278" xr:uid="{00000000-0005-0000-0000-0000D0090000}"/>
    <cellStyle name="메모 2 2 3 4 4" xfId="2279" xr:uid="{00000000-0005-0000-0000-0000D1090000}"/>
    <cellStyle name="메모 2 2 3 4 4 2" xfId="2280" xr:uid="{00000000-0005-0000-0000-0000D2090000}"/>
    <cellStyle name="메모 2 2 3 4 5" xfId="2281" xr:uid="{00000000-0005-0000-0000-0000D3090000}"/>
    <cellStyle name="메모 2 2 3 5" xfId="2282" xr:uid="{00000000-0005-0000-0000-0000D4090000}"/>
    <cellStyle name="메모 2 2 3 5 2" xfId="2283" xr:uid="{00000000-0005-0000-0000-0000D5090000}"/>
    <cellStyle name="메모 2 2 3 5 2 2" xfId="2284" xr:uid="{00000000-0005-0000-0000-0000D6090000}"/>
    <cellStyle name="메모 2 2 3 5 3" xfId="2285" xr:uid="{00000000-0005-0000-0000-0000D7090000}"/>
    <cellStyle name="메모 2 2 3 5 3 2" xfId="2286" xr:uid="{00000000-0005-0000-0000-0000D8090000}"/>
    <cellStyle name="메모 2 2 3 5 4" xfId="2287" xr:uid="{00000000-0005-0000-0000-0000D9090000}"/>
    <cellStyle name="메모 2 2 3 5 4 2" xfId="2288" xr:uid="{00000000-0005-0000-0000-0000DA090000}"/>
    <cellStyle name="메모 2 2 3 5 5" xfId="2289" xr:uid="{00000000-0005-0000-0000-0000DB090000}"/>
    <cellStyle name="메모 2 2 3 6" xfId="2290" xr:uid="{00000000-0005-0000-0000-0000DC090000}"/>
    <cellStyle name="메모 2 2 3 6 2" xfId="2291" xr:uid="{00000000-0005-0000-0000-0000DD090000}"/>
    <cellStyle name="메모 2 2 3 7" xfId="2292" xr:uid="{00000000-0005-0000-0000-0000DE090000}"/>
    <cellStyle name="메모 2 2 3 7 2" xfId="2293" xr:uid="{00000000-0005-0000-0000-0000DF090000}"/>
    <cellStyle name="메모 2 2 3 8" xfId="2294" xr:uid="{00000000-0005-0000-0000-0000E0090000}"/>
    <cellStyle name="메모 2 2 3 9" xfId="2295" xr:uid="{00000000-0005-0000-0000-0000E1090000}"/>
    <cellStyle name="메모 2 2 4" xfId="2296" xr:uid="{00000000-0005-0000-0000-0000E2090000}"/>
    <cellStyle name="메모 2 2 4 10" xfId="2297" xr:uid="{00000000-0005-0000-0000-0000E3090000}"/>
    <cellStyle name="메모 2 2 4 11" xfId="2298" xr:uid="{00000000-0005-0000-0000-0000E4090000}"/>
    <cellStyle name="메모 2 2 4 12" xfId="2299" xr:uid="{00000000-0005-0000-0000-0000E5090000}"/>
    <cellStyle name="메모 2 2 4 13" xfId="2300" xr:uid="{00000000-0005-0000-0000-0000E6090000}"/>
    <cellStyle name="메모 2 2 4 14" xfId="2301" xr:uid="{00000000-0005-0000-0000-0000E7090000}"/>
    <cellStyle name="메모 2 2 4 15" xfId="2302" xr:uid="{00000000-0005-0000-0000-0000E8090000}"/>
    <cellStyle name="메모 2 2 4 16" xfId="2303" xr:uid="{00000000-0005-0000-0000-0000E9090000}"/>
    <cellStyle name="메모 2 2 4 17" xfId="2304" xr:uid="{00000000-0005-0000-0000-0000EA090000}"/>
    <cellStyle name="메모 2 2 4 2" xfId="2305" xr:uid="{00000000-0005-0000-0000-0000EB090000}"/>
    <cellStyle name="메모 2 2 4 2 2" xfId="2306" xr:uid="{00000000-0005-0000-0000-0000EC090000}"/>
    <cellStyle name="메모 2 2 4 2 2 2" xfId="2307" xr:uid="{00000000-0005-0000-0000-0000ED090000}"/>
    <cellStyle name="메모 2 2 4 2 2 2 2" xfId="2308" xr:uid="{00000000-0005-0000-0000-0000EE090000}"/>
    <cellStyle name="메모 2 2 4 2 2 2 2 2" xfId="2309" xr:uid="{00000000-0005-0000-0000-0000EF090000}"/>
    <cellStyle name="메모 2 2 4 2 2 2 3" xfId="2310" xr:uid="{00000000-0005-0000-0000-0000F0090000}"/>
    <cellStyle name="메모 2 2 4 2 2 2 3 2" xfId="2311" xr:uid="{00000000-0005-0000-0000-0000F1090000}"/>
    <cellStyle name="메모 2 2 4 2 2 2 4" xfId="2312" xr:uid="{00000000-0005-0000-0000-0000F2090000}"/>
    <cellStyle name="메모 2 2 4 2 2 2 4 2" xfId="2313" xr:uid="{00000000-0005-0000-0000-0000F3090000}"/>
    <cellStyle name="메모 2 2 4 2 2 2 5" xfId="2314" xr:uid="{00000000-0005-0000-0000-0000F4090000}"/>
    <cellStyle name="메모 2 2 4 2 2 3" xfId="2315" xr:uid="{00000000-0005-0000-0000-0000F5090000}"/>
    <cellStyle name="메모 2 2 4 2 2 3 2" xfId="2316" xr:uid="{00000000-0005-0000-0000-0000F6090000}"/>
    <cellStyle name="메모 2 2 4 2 2 3 2 2" xfId="2317" xr:uid="{00000000-0005-0000-0000-0000F7090000}"/>
    <cellStyle name="메모 2 2 4 2 2 3 3" xfId="2318" xr:uid="{00000000-0005-0000-0000-0000F8090000}"/>
    <cellStyle name="메모 2 2 4 2 2 3 3 2" xfId="2319" xr:uid="{00000000-0005-0000-0000-0000F9090000}"/>
    <cellStyle name="메모 2 2 4 2 2 3 4" xfId="2320" xr:uid="{00000000-0005-0000-0000-0000FA090000}"/>
    <cellStyle name="메모 2 2 4 2 2 3 4 2" xfId="2321" xr:uid="{00000000-0005-0000-0000-0000FB090000}"/>
    <cellStyle name="메모 2 2 4 2 2 3 5" xfId="2322" xr:uid="{00000000-0005-0000-0000-0000FC090000}"/>
    <cellStyle name="메모 2 2 4 2 2 4" xfId="2323" xr:uid="{00000000-0005-0000-0000-0000FD090000}"/>
    <cellStyle name="메모 2 2 4 2 2 4 2" xfId="2324" xr:uid="{00000000-0005-0000-0000-0000FE090000}"/>
    <cellStyle name="메모 2 2 4 2 2 5" xfId="2325" xr:uid="{00000000-0005-0000-0000-0000FF090000}"/>
    <cellStyle name="메모 2 2 4 2 2 5 2" xfId="2326" xr:uid="{00000000-0005-0000-0000-0000000A0000}"/>
    <cellStyle name="메모 2 2 4 2 2 6" xfId="2327" xr:uid="{00000000-0005-0000-0000-0000010A0000}"/>
    <cellStyle name="메모 2 2 4 2 2 6 2" xfId="2328" xr:uid="{00000000-0005-0000-0000-0000020A0000}"/>
    <cellStyle name="메모 2 2 4 2 2 7" xfId="2329" xr:uid="{00000000-0005-0000-0000-0000030A0000}"/>
    <cellStyle name="메모 2 2 4 2 3" xfId="2330" xr:uid="{00000000-0005-0000-0000-0000040A0000}"/>
    <cellStyle name="메모 2 2 4 2 3 2" xfId="2331" xr:uid="{00000000-0005-0000-0000-0000050A0000}"/>
    <cellStyle name="메모 2 2 4 2 3 2 2" xfId="2332" xr:uid="{00000000-0005-0000-0000-0000060A0000}"/>
    <cellStyle name="메모 2 2 4 2 3 3" xfId="2333" xr:uid="{00000000-0005-0000-0000-0000070A0000}"/>
    <cellStyle name="메모 2 2 4 2 3 3 2" xfId="2334" xr:uid="{00000000-0005-0000-0000-0000080A0000}"/>
    <cellStyle name="메모 2 2 4 2 3 4" xfId="2335" xr:uid="{00000000-0005-0000-0000-0000090A0000}"/>
    <cellStyle name="메모 2 2 4 2 3 4 2" xfId="2336" xr:uid="{00000000-0005-0000-0000-00000A0A0000}"/>
    <cellStyle name="메모 2 2 4 2 3 5" xfId="2337" xr:uid="{00000000-0005-0000-0000-00000B0A0000}"/>
    <cellStyle name="메모 2 2 4 2 4" xfId="2338" xr:uid="{00000000-0005-0000-0000-00000C0A0000}"/>
    <cellStyle name="메모 2 2 4 2 4 2" xfId="2339" xr:uid="{00000000-0005-0000-0000-00000D0A0000}"/>
    <cellStyle name="메모 2 2 4 2 4 2 2" xfId="2340" xr:uid="{00000000-0005-0000-0000-00000E0A0000}"/>
    <cellStyle name="메모 2 2 4 2 4 3" xfId="2341" xr:uid="{00000000-0005-0000-0000-00000F0A0000}"/>
    <cellStyle name="메모 2 2 4 2 4 3 2" xfId="2342" xr:uid="{00000000-0005-0000-0000-0000100A0000}"/>
    <cellStyle name="메모 2 2 4 2 4 4" xfId="2343" xr:uid="{00000000-0005-0000-0000-0000110A0000}"/>
    <cellStyle name="메모 2 2 4 2 4 4 2" xfId="2344" xr:uid="{00000000-0005-0000-0000-0000120A0000}"/>
    <cellStyle name="메모 2 2 4 2 4 5" xfId="2345" xr:uid="{00000000-0005-0000-0000-0000130A0000}"/>
    <cellStyle name="메모 2 2 4 2 5" xfId="2346" xr:uid="{00000000-0005-0000-0000-0000140A0000}"/>
    <cellStyle name="메모 2 2 4 2 5 2" xfId="2347" xr:uid="{00000000-0005-0000-0000-0000150A0000}"/>
    <cellStyle name="메모 2 2 4 2 6" xfId="2348" xr:uid="{00000000-0005-0000-0000-0000160A0000}"/>
    <cellStyle name="메모 2 2 4 2 6 2" xfId="2349" xr:uid="{00000000-0005-0000-0000-0000170A0000}"/>
    <cellStyle name="메모 2 2 4 2 7" xfId="2350" xr:uid="{00000000-0005-0000-0000-0000180A0000}"/>
    <cellStyle name="메모 2 2 4 2 8" xfId="2351" xr:uid="{00000000-0005-0000-0000-0000190A0000}"/>
    <cellStyle name="메모 2 2 4 3" xfId="2352" xr:uid="{00000000-0005-0000-0000-00001A0A0000}"/>
    <cellStyle name="메모 2 2 4 3 2" xfId="2353" xr:uid="{00000000-0005-0000-0000-00001B0A0000}"/>
    <cellStyle name="메모 2 2 4 3 2 2" xfId="2354" xr:uid="{00000000-0005-0000-0000-00001C0A0000}"/>
    <cellStyle name="메모 2 2 4 3 2 2 2" xfId="2355" xr:uid="{00000000-0005-0000-0000-00001D0A0000}"/>
    <cellStyle name="메모 2 2 4 3 2 3" xfId="2356" xr:uid="{00000000-0005-0000-0000-00001E0A0000}"/>
    <cellStyle name="메모 2 2 4 3 2 3 2" xfId="2357" xr:uid="{00000000-0005-0000-0000-00001F0A0000}"/>
    <cellStyle name="메모 2 2 4 3 2 4" xfId="2358" xr:uid="{00000000-0005-0000-0000-0000200A0000}"/>
    <cellStyle name="메모 2 2 4 3 2 4 2" xfId="2359" xr:uid="{00000000-0005-0000-0000-0000210A0000}"/>
    <cellStyle name="메모 2 2 4 3 2 5" xfId="2360" xr:uid="{00000000-0005-0000-0000-0000220A0000}"/>
    <cellStyle name="메모 2 2 4 3 3" xfId="2361" xr:uid="{00000000-0005-0000-0000-0000230A0000}"/>
    <cellStyle name="메모 2 2 4 3 3 2" xfId="2362" xr:uid="{00000000-0005-0000-0000-0000240A0000}"/>
    <cellStyle name="메모 2 2 4 3 3 2 2" xfId="2363" xr:uid="{00000000-0005-0000-0000-0000250A0000}"/>
    <cellStyle name="메모 2 2 4 3 3 3" xfId="2364" xr:uid="{00000000-0005-0000-0000-0000260A0000}"/>
    <cellStyle name="메모 2 2 4 3 3 3 2" xfId="2365" xr:uid="{00000000-0005-0000-0000-0000270A0000}"/>
    <cellStyle name="메모 2 2 4 3 3 4" xfId="2366" xr:uid="{00000000-0005-0000-0000-0000280A0000}"/>
    <cellStyle name="메모 2 2 4 3 3 4 2" xfId="2367" xr:uid="{00000000-0005-0000-0000-0000290A0000}"/>
    <cellStyle name="메모 2 2 4 3 3 5" xfId="2368" xr:uid="{00000000-0005-0000-0000-00002A0A0000}"/>
    <cellStyle name="메모 2 2 4 3 4" xfId="2369" xr:uid="{00000000-0005-0000-0000-00002B0A0000}"/>
    <cellStyle name="메모 2 2 4 3 4 2" xfId="2370" xr:uid="{00000000-0005-0000-0000-00002C0A0000}"/>
    <cellStyle name="메모 2 2 4 3 5" xfId="2371" xr:uid="{00000000-0005-0000-0000-00002D0A0000}"/>
    <cellStyle name="메모 2 2 4 3 5 2" xfId="2372" xr:uid="{00000000-0005-0000-0000-00002E0A0000}"/>
    <cellStyle name="메모 2 2 4 3 6" xfId="2373" xr:uid="{00000000-0005-0000-0000-00002F0A0000}"/>
    <cellStyle name="메모 2 2 4 3 6 2" xfId="2374" xr:uid="{00000000-0005-0000-0000-0000300A0000}"/>
    <cellStyle name="메모 2 2 4 3 7" xfId="2375" xr:uid="{00000000-0005-0000-0000-0000310A0000}"/>
    <cellStyle name="메모 2 2 4 4" xfId="2376" xr:uid="{00000000-0005-0000-0000-0000320A0000}"/>
    <cellStyle name="메모 2 2 4 4 2" xfId="2377" xr:uid="{00000000-0005-0000-0000-0000330A0000}"/>
    <cellStyle name="메모 2 2 4 4 2 2" xfId="2378" xr:uid="{00000000-0005-0000-0000-0000340A0000}"/>
    <cellStyle name="메모 2 2 4 4 3" xfId="2379" xr:uid="{00000000-0005-0000-0000-0000350A0000}"/>
    <cellStyle name="메모 2 2 4 4 3 2" xfId="2380" xr:uid="{00000000-0005-0000-0000-0000360A0000}"/>
    <cellStyle name="메모 2 2 4 4 4" xfId="2381" xr:uid="{00000000-0005-0000-0000-0000370A0000}"/>
    <cellStyle name="메모 2 2 4 4 4 2" xfId="2382" xr:uid="{00000000-0005-0000-0000-0000380A0000}"/>
    <cellStyle name="메모 2 2 4 4 5" xfId="2383" xr:uid="{00000000-0005-0000-0000-0000390A0000}"/>
    <cellStyle name="메모 2 2 4 5" xfId="2384" xr:uid="{00000000-0005-0000-0000-00003A0A0000}"/>
    <cellStyle name="메모 2 2 4 5 2" xfId="2385" xr:uid="{00000000-0005-0000-0000-00003B0A0000}"/>
    <cellStyle name="메모 2 2 4 5 2 2" xfId="2386" xr:uid="{00000000-0005-0000-0000-00003C0A0000}"/>
    <cellStyle name="메모 2 2 4 5 3" xfId="2387" xr:uid="{00000000-0005-0000-0000-00003D0A0000}"/>
    <cellStyle name="메모 2 2 4 5 3 2" xfId="2388" xr:uid="{00000000-0005-0000-0000-00003E0A0000}"/>
    <cellStyle name="메모 2 2 4 5 4" xfId="2389" xr:uid="{00000000-0005-0000-0000-00003F0A0000}"/>
    <cellStyle name="메모 2 2 4 5 4 2" xfId="2390" xr:uid="{00000000-0005-0000-0000-0000400A0000}"/>
    <cellStyle name="메모 2 2 4 5 5" xfId="2391" xr:uid="{00000000-0005-0000-0000-0000410A0000}"/>
    <cellStyle name="메모 2 2 4 6" xfId="2392" xr:uid="{00000000-0005-0000-0000-0000420A0000}"/>
    <cellStyle name="메모 2 2 4 6 2" xfId="2393" xr:uid="{00000000-0005-0000-0000-0000430A0000}"/>
    <cellStyle name="메모 2 2 4 7" xfId="2394" xr:uid="{00000000-0005-0000-0000-0000440A0000}"/>
    <cellStyle name="메모 2 2 4 7 2" xfId="2395" xr:uid="{00000000-0005-0000-0000-0000450A0000}"/>
    <cellStyle name="메모 2 2 4 8" xfId="2396" xr:uid="{00000000-0005-0000-0000-0000460A0000}"/>
    <cellStyle name="메모 2 2 4 9" xfId="2397" xr:uid="{00000000-0005-0000-0000-0000470A0000}"/>
    <cellStyle name="메모 2 2 5" xfId="2398" xr:uid="{00000000-0005-0000-0000-0000480A0000}"/>
    <cellStyle name="메모 2 2 5 2" xfId="2399" xr:uid="{00000000-0005-0000-0000-0000490A0000}"/>
    <cellStyle name="메모 2 2 5 2 2" xfId="2400" xr:uid="{00000000-0005-0000-0000-00004A0A0000}"/>
    <cellStyle name="메모 2 2 5 2 2 2" xfId="2401" xr:uid="{00000000-0005-0000-0000-00004B0A0000}"/>
    <cellStyle name="메모 2 2 5 2 2 2 2" xfId="2402" xr:uid="{00000000-0005-0000-0000-00004C0A0000}"/>
    <cellStyle name="메모 2 2 5 2 2 3" xfId="2403" xr:uid="{00000000-0005-0000-0000-00004D0A0000}"/>
    <cellStyle name="메모 2 2 5 2 2 3 2" xfId="2404" xr:uid="{00000000-0005-0000-0000-00004E0A0000}"/>
    <cellStyle name="메모 2 2 5 2 2 4" xfId="2405" xr:uid="{00000000-0005-0000-0000-00004F0A0000}"/>
    <cellStyle name="메모 2 2 5 2 2 4 2" xfId="2406" xr:uid="{00000000-0005-0000-0000-0000500A0000}"/>
    <cellStyle name="메모 2 2 5 2 2 5" xfId="2407" xr:uid="{00000000-0005-0000-0000-0000510A0000}"/>
    <cellStyle name="메모 2 2 5 2 3" xfId="2408" xr:uid="{00000000-0005-0000-0000-0000520A0000}"/>
    <cellStyle name="메모 2 2 5 2 3 2" xfId="2409" xr:uid="{00000000-0005-0000-0000-0000530A0000}"/>
    <cellStyle name="메모 2 2 5 2 3 2 2" xfId="2410" xr:uid="{00000000-0005-0000-0000-0000540A0000}"/>
    <cellStyle name="메모 2 2 5 2 3 3" xfId="2411" xr:uid="{00000000-0005-0000-0000-0000550A0000}"/>
    <cellStyle name="메모 2 2 5 2 3 3 2" xfId="2412" xr:uid="{00000000-0005-0000-0000-0000560A0000}"/>
    <cellStyle name="메모 2 2 5 2 3 4" xfId="2413" xr:uid="{00000000-0005-0000-0000-0000570A0000}"/>
    <cellStyle name="메모 2 2 5 2 3 4 2" xfId="2414" xr:uid="{00000000-0005-0000-0000-0000580A0000}"/>
    <cellStyle name="메모 2 2 5 2 3 5" xfId="2415" xr:uid="{00000000-0005-0000-0000-0000590A0000}"/>
    <cellStyle name="메모 2 2 5 2 4" xfId="2416" xr:uid="{00000000-0005-0000-0000-00005A0A0000}"/>
    <cellStyle name="메모 2 2 5 2 4 2" xfId="2417" xr:uid="{00000000-0005-0000-0000-00005B0A0000}"/>
    <cellStyle name="메모 2 2 5 2 5" xfId="2418" xr:uid="{00000000-0005-0000-0000-00005C0A0000}"/>
    <cellStyle name="메모 2 2 5 2 5 2" xfId="2419" xr:uid="{00000000-0005-0000-0000-00005D0A0000}"/>
    <cellStyle name="메모 2 2 5 2 6" xfId="2420" xr:uid="{00000000-0005-0000-0000-00005E0A0000}"/>
    <cellStyle name="메모 2 2 5 2 6 2" xfId="2421" xr:uid="{00000000-0005-0000-0000-00005F0A0000}"/>
    <cellStyle name="메모 2 2 5 2 7" xfId="2422" xr:uid="{00000000-0005-0000-0000-0000600A0000}"/>
    <cellStyle name="메모 2 2 5 3" xfId="2423" xr:uid="{00000000-0005-0000-0000-0000610A0000}"/>
    <cellStyle name="메모 2 2 5 3 2" xfId="2424" xr:uid="{00000000-0005-0000-0000-0000620A0000}"/>
    <cellStyle name="메모 2 2 5 3 2 2" xfId="2425" xr:uid="{00000000-0005-0000-0000-0000630A0000}"/>
    <cellStyle name="메모 2 2 5 3 3" xfId="2426" xr:uid="{00000000-0005-0000-0000-0000640A0000}"/>
    <cellStyle name="메모 2 2 5 3 3 2" xfId="2427" xr:uid="{00000000-0005-0000-0000-0000650A0000}"/>
    <cellStyle name="메모 2 2 5 3 4" xfId="2428" xr:uid="{00000000-0005-0000-0000-0000660A0000}"/>
    <cellStyle name="메모 2 2 5 3 4 2" xfId="2429" xr:uid="{00000000-0005-0000-0000-0000670A0000}"/>
    <cellStyle name="메모 2 2 5 3 5" xfId="2430" xr:uid="{00000000-0005-0000-0000-0000680A0000}"/>
    <cellStyle name="메모 2 2 5 4" xfId="2431" xr:uid="{00000000-0005-0000-0000-0000690A0000}"/>
    <cellStyle name="메모 2 2 5 4 2" xfId="2432" xr:uid="{00000000-0005-0000-0000-00006A0A0000}"/>
    <cellStyle name="메모 2 2 5 4 2 2" xfId="2433" xr:uid="{00000000-0005-0000-0000-00006B0A0000}"/>
    <cellStyle name="메모 2 2 5 4 3" xfId="2434" xr:uid="{00000000-0005-0000-0000-00006C0A0000}"/>
    <cellStyle name="메모 2 2 5 4 3 2" xfId="2435" xr:uid="{00000000-0005-0000-0000-00006D0A0000}"/>
    <cellStyle name="메모 2 2 5 4 4" xfId="2436" xr:uid="{00000000-0005-0000-0000-00006E0A0000}"/>
    <cellStyle name="메모 2 2 5 4 4 2" xfId="2437" xr:uid="{00000000-0005-0000-0000-00006F0A0000}"/>
    <cellStyle name="메모 2 2 5 4 5" xfId="2438" xr:uid="{00000000-0005-0000-0000-0000700A0000}"/>
    <cellStyle name="메모 2 2 5 5" xfId="2439" xr:uid="{00000000-0005-0000-0000-0000710A0000}"/>
    <cellStyle name="메모 2 2 5 5 2" xfId="2440" xr:uid="{00000000-0005-0000-0000-0000720A0000}"/>
    <cellStyle name="메모 2 2 5 6" xfId="2441" xr:uid="{00000000-0005-0000-0000-0000730A0000}"/>
    <cellStyle name="메모 2 2 5 6 2" xfId="2442" xr:uid="{00000000-0005-0000-0000-0000740A0000}"/>
    <cellStyle name="메모 2 2 5 7" xfId="2443" xr:uid="{00000000-0005-0000-0000-0000750A0000}"/>
    <cellStyle name="메모 2 2 5 8" xfId="2444" xr:uid="{00000000-0005-0000-0000-0000760A0000}"/>
    <cellStyle name="메모 2 2 6" xfId="2445" xr:uid="{00000000-0005-0000-0000-0000770A0000}"/>
    <cellStyle name="메모 2 2 6 2" xfId="2446" xr:uid="{00000000-0005-0000-0000-0000780A0000}"/>
    <cellStyle name="메모 2 2 6 2 2" xfId="2447" xr:uid="{00000000-0005-0000-0000-0000790A0000}"/>
    <cellStyle name="메모 2 2 6 2 2 2" xfId="2448" xr:uid="{00000000-0005-0000-0000-00007A0A0000}"/>
    <cellStyle name="메모 2 2 6 2 3" xfId="2449" xr:uid="{00000000-0005-0000-0000-00007B0A0000}"/>
    <cellStyle name="메모 2 2 6 2 3 2" xfId="2450" xr:uid="{00000000-0005-0000-0000-00007C0A0000}"/>
    <cellStyle name="메모 2 2 6 2 4" xfId="2451" xr:uid="{00000000-0005-0000-0000-00007D0A0000}"/>
    <cellStyle name="메모 2 2 6 2 4 2" xfId="2452" xr:uid="{00000000-0005-0000-0000-00007E0A0000}"/>
    <cellStyle name="메모 2 2 6 2 5" xfId="2453" xr:uid="{00000000-0005-0000-0000-00007F0A0000}"/>
    <cellStyle name="메모 2 2 6 3" xfId="2454" xr:uid="{00000000-0005-0000-0000-0000800A0000}"/>
    <cellStyle name="메모 2 2 6 3 2" xfId="2455" xr:uid="{00000000-0005-0000-0000-0000810A0000}"/>
    <cellStyle name="메모 2 2 6 3 2 2" xfId="2456" xr:uid="{00000000-0005-0000-0000-0000820A0000}"/>
    <cellStyle name="메모 2 2 6 3 3" xfId="2457" xr:uid="{00000000-0005-0000-0000-0000830A0000}"/>
    <cellStyle name="메모 2 2 6 3 3 2" xfId="2458" xr:uid="{00000000-0005-0000-0000-0000840A0000}"/>
    <cellStyle name="메모 2 2 6 3 4" xfId="2459" xr:uid="{00000000-0005-0000-0000-0000850A0000}"/>
    <cellStyle name="메모 2 2 6 3 4 2" xfId="2460" xr:uid="{00000000-0005-0000-0000-0000860A0000}"/>
    <cellStyle name="메모 2 2 6 3 5" xfId="2461" xr:uid="{00000000-0005-0000-0000-0000870A0000}"/>
    <cellStyle name="메모 2 2 6 4" xfId="2462" xr:uid="{00000000-0005-0000-0000-0000880A0000}"/>
    <cellStyle name="메모 2 2 6 4 2" xfId="2463" xr:uid="{00000000-0005-0000-0000-0000890A0000}"/>
    <cellStyle name="메모 2 2 6 5" xfId="2464" xr:uid="{00000000-0005-0000-0000-00008A0A0000}"/>
    <cellStyle name="메모 2 2 6 5 2" xfId="2465" xr:uid="{00000000-0005-0000-0000-00008B0A0000}"/>
    <cellStyle name="메모 2 2 6 6" xfId="2466" xr:uid="{00000000-0005-0000-0000-00008C0A0000}"/>
    <cellStyle name="메모 2 2 6 6 2" xfId="2467" xr:uid="{00000000-0005-0000-0000-00008D0A0000}"/>
    <cellStyle name="메모 2 2 6 7" xfId="2468" xr:uid="{00000000-0005-0000-0000-00008E0A0000}"/>
    <cellStyle name="메모 2 2 7" xfId="2469" xr:uid="{00000000-0005-0000-0000-00008F0A0000}"/>
    <cellStyle name="메모 2 2 7 2" xfId="2470" xr:uid="{00000000-0005-0000-0000-0000900A0000}"/>
    <cellStyle name="메모 2 2 7 2 2" xfId="2471" xr:uid="{00000000-0005-0000-0000-0000910A0000}"/>
    <cellStyle name="메모 2 2 7 3" xfId="2472" xr:uid="{00000000-0005-0000-0000-0000920A0000}"/>
    <cellStyle name="메모 2 2 7 3 2" xfId="2473" xr:uid="{00000000-0005-0000-0000-0000930A0000}"/>
    <cellStyle name="메모 2 2 7 4" xfId="2474" xr:uid="{00000000-0005-0000-0000-0000940A0000}"/>
    <cellStyle name="메모 2 2 7 4 2" xfId="2475" xr:uid="{00000000-0005-0000-0000-0000950A0000}"/>
    <cellStyle name="메모 2 2 7 5" xfId="2476" xr:uid="{00000000-0005-0000-0000-0000960A0000}"/>
    <cellStyle name="메모 2 2 8" xfId="2477" xr:uid="{00000000-0005-0000-0000-0000970A0000}"/>
    <cellStyle name="메모 2 2 8 2" xfId="2478" xr:uid="{00000000-0005-0000-0000-0000980A0000}"/>
    <cellStyle name="메모 2 2 8 2 2" xfId="2479" xr:uid="{00000000-0005-0000-0000-0000990A0000}"/>
    <cellStyle name="메모 2 2 8 3" xfId="2480" xr:uid="{00000000-0005-0000-0000-00009A0A0000}"/>
    <cellStyle name="메모 2 2 8 3 2" xfId="2481" xr:uid="{00000000-0005-0000-0000-00009B0A0000}"/>
    <cellStyle name="메모 2 2 8 4" xfId="2482" xr:uid="{00000000-0005-0000-0000-00009C0A0000}"/>
    <cellStyle name="메모 2 2 8 4 2" xfId="2483" xr:uid="{00000000-0005-0000-0000-00009D0A0000}"/>
    <cellStyle name="메모 2 2 8 5" xfId="2484" xr:uid="{00000000-0005-0000-0000-00009E0A0000}"/>
    <cellStyle name="메모 2 2 9" xfId="2485" xr:uid="{00000000-0005-0000-0000-00009F0A0000}"/>
    <cellStyle name="메모 2 2 9 2" xfId="2486" xr:uid="{00000000-0005-0000-0000-0000A00A0000}"/>
    <cellStyle name="메모 2 20" xfId="2487" xr:uid="{00000000-0005-0000-0000-0000A10A0000}"/>
    <cellStyle name="메모 2 21" xfId="2488" xr:uid="{00000000-0005-0000-0000-0000A20A0000}"/>
    <cellStyle name="메모 2 22" xfId="2489" xr:uid="{00000000-0005-0000-0000-0000A30A0000}"/>
    <cellStyle name="메모 2 23" xfId="6925" xr:uid="{00000000-0005-0000-0000-0000A40A0000}"/>
    <cellStyle name="메모 2 23 2" xfId="9410" xr:uid="{00000000-0005-0000-0000-0000A50A0000}"/>
    <cellStyle name="메모 2 24" xfId="7728" xr:uid="{00000000-0005-0000-0000-0000A60A0000}"/>
    <cellStyle name="메모 2 25" xfId="8608" xr:uid="{00000000-0005-0000-0000-0000A70A0000}"/>
    <cellStyle name="메모 2 26" xfId="6038" xr:uid="{00000000-0005-0000-0000-0000A80A0000}"/>
    <cellStyle name="메모 2 3" xfId="2490" xr:uid="{00000000-0005-0000-0000-0000A90A0000}"/>
    <cellStyle name="메모 2 3 10" xfId="2491" xr:uid="{00000000-0005-0000-0000-0000AA0A0000}"/>
    <cellStyle name="메모 2 3 11" xfId="2492" xr:uid="{00000000-0005-0000-0000-0000AB0A0000}"/>
    <cellStyle name="메모 2 3 12" xfId="2493" xr:uid="{00000000-0005-0000-0000-0000AC0A0000}"/>
    <cellStyle name="메모 2 3 13" xfId="2494" xr:uid="{00000000-0005-0000-0000-0000AD0A0000}"/>
    <cellStyle name="메모 2 3 14" xfId="2495" xr:uid="{00000000-0005-0000-0000-0000AE0A0000}"/>
    <cellStyle name="메모 2 3 15" xfId="2496" xr:uid="{00000000-0005-0000-0000-0000AF0A0000}"/>
    <cellStyle name="메모 2 3 16" xfId="2497" xr:uid="{00000000-0005-0000-0000-0000B00A0000}"/>
    <cellStyle name="메모 2 3 17" xfId="2498" xr:uid="{00000000-0005-0000-0000-0000B10A0000}"/>
    <cellStyle name="메모 2 3 18" xfId="2499" xr:uid="{00000000-0005-0000-0000-0000B20A0000}"/>
    <cellStyle name="메모 2 3 2" xfId="2500" xr:uid="{00000000-0005-0000-0000-0000B30A0000}"/>
    <cellStyle name="메모 2 3 2 10" xfId="2501" xr:uid="{00000000-0005-0000-0000-0000B40A0000}"/>
    <cellStyle name="메모 2 3 2 11" xfId="2502" xr:uid="{00000000-0005-0000-0000-0000B50A0000}"/>
    <cellStyle name="메모 2 3 2 12" xfId="2503" xr:uid="{00000000-0005-0000-0000-0000B60A0000}"/>
    <cellStyle name="메모 2 3 2 13" xfId="2504" xr:uid="{00000000-0005-0000-0000-0000B70A0000}"/>
    <cellStyle name="메모 2 3 2 14" xfId="2505" xr:uid="{00000000-0005-0000-0000-0000B80A0000}"/>
    <cellStyle name="메모 2 3 2 15" xfId="2506" xr:uid="{00000000-0005-0000-0000-0000B90A0000}"/>
    <cellStyle name="메모 2 3 2 16" xfId="2507" xr:uid="{00000000-0005-0000-0000-0000BA0A0000}"/>
    <cellStyle name="메모 2 3 2 17" xfId="2508" xr:uid="{00000000-0005-0000-0000-0000BB0A0000}"/>
    <cellStyle name="메모 2 3 2 2" xfId="2509" xr:uid="{00000000-0005-0000-0000-0000BC0A0000}"/>
    <cellStyle name="메모 2 3 2 2 2" xfId="2510" xr:uid="{00000000-0005-0000-0000-0000BD0A0000}"/>
    <cellStyle name="메모 2 3 2 2 2 2" xfId="2511" xr:uid="{00000000-0005-0000-0000-0000BE0A0000}"/>
    <cellStyle name="메모 2 3 2 2 2 2 2" xfId="2512" xr:uid="{00000000-0005-0000-0000-0000BF0A0000}"/>
    <cellStyle name="메모 2 3 2 2 2 2 2 2" xfId="2513" xr:uid="{00000000-0005-0000-0000-0000C00A0000}"/>
    <cellStyle name="메모 2 3 2 2 2 2 3" xfId="2514" xr:uid="{00000000-0005-0000-0000-0000C10A0000}"/>
    <cellStyle name="메모 2 3 2 2 2 2 3 2" xfId="2515" xr:uid="{00000000-0005-0000-0000-0000C20A0000}"/>
    <cellStyle name="메모 2 3 2 2 2 2 4" xfId="2516" xr:uid="{00000000-0005-0000-0000-0000C30A0000}"/>
    <cellStyle name="메모 2 3 2 2 2 2 4 2" xfId="2517" xr:uid="{00000000-0005-0000-0000-0000C40A0000}"/>
    <cellStyle name="메모 2 3 2 2 2 2 5" xfId="2518" xr:uid="{00000000-0005-0000-0000-0000C50A0000}"/>
    <cellStyle name="메모 2 3 2 2 2 3" xfId="2519" xr:uid="{00000000-0005-0000-0000-0000C60A0000}"/>
    <cellStyle name="메모 2 3 2 2 2 3 2" xfId="2520" xr:uid="{00000000-0005-0000-0000-0000C70A0000}"/>
    <cellStyle name="메모 2 3 2 2 2 3 2 2" xfId="2521" xr:uid="{00000000-0005-0000-0000-0000C80A0000}"/>
    <cellStyle name="메모 2 3 2 2 2 3 3" xfId="2522" xr:uid="{00000000-0005-0000-0000-0000C90A0000}"/>
    <cellStyle name="메모 2 3 2 2 2 3 3 2" xfId="2523" xr:uid="{00000000-0005-0000-0000-0000CA0A0000}"/>
    <cellStyle name="메모 2 3 2 2 2 3 4" xfId="2524" xr:uid="{00000000-0005-0000-0000-0000CB0A0000}"/>
    <cellStyle name="메모 2 3 2 2 2 3 4 2" xfId="2525" xr:uid="{00000000-0005-0000-0000-0000CC0A0000}"/>
    <cellStyle name="메모 2 3 2 2 2 3 5" xfId="2526" xr:uid="{00000000-0005-0000-0000-0000CD0A0000}"/>
    <cellStyle name="메모 2 3 2 2 2 4" xfId="2527" xr:uid="{00000000-0005-0000-0000-0000CE0A0000}"/>
    <cellStyle name="메모 2 3 2 2 2 4 2" xfId="2528" xr:uid="{00000000-0005-0000-0000-0000CF0A0000}"/>
    <cellStyle name="메모 2 3 2 2 2 5" xfId="2529" xr:uid="{00000000-0005-0000-0000-0000D00A0000}"/>
    <cellStyle name="메모 2 3 2 2 2 5 2" xfId="2530" xr:uid="{00000000-0005-0000-0000-0000D10A0000}"/>
    <cellStyle name="메모 2 3 2 2 2 6" xfId="2531" xr:uid="{00000000-0005-0000-0000-0000D20A0000}"/>
    <cellStyle name="메모 2 3 2 2 2 6 2" xfId="2532" xr:uid="{00000000-0005-0000-0000-0000D30A0000}"/>
    <cellStyle name="메모 2 3 2 2 2 7" xfId="2533" xr:uid="{00000000-0005-0000-0000-0000D40A0000}"/>
    <cellStyle name="메모 2 3 2 2 3" xfId="2534" xr:uid="{00000000-0005-0000-0000-0000D50A0000}"/>
    <cellStyle name="메모 2 3 2 2 3 2" xfId="2535" xr:uid="{00000000-0005-0000-0000-0000D60A0000}"/>
    <cellStyle name="메모 2 3 2 2 3 2 2" xfId="2536" xr:uid="{00000000-0005-0000-0000-0000D70A0000}"/>
    <cellStyle name="메모 2 3 2 2 3 3" xfId="2537" xr:uid="{00000000-0005-0000-0000-0000D80A0000}"/>
    <cellStyle name="메모 2 3 2 2 3 3 2" xfId="2538" xr:uid="{00000000-0005-0000-0000-0000D90A0000}"/>
    <cellStyle name="메모 2 3 2 2 3 4" xfId="2539" xr:uid="{00000000-0005-0000-0000-0000DA0A0000}"/>
    <cellStyle name="메모 2 3 2 2 3 4 2" xfId="2540" xr:uid="{00000000-0005-0000-0000-0000DB0A0000}"/>
    <cellStyle name="메모 2 3 2 2 3 5" xfId="2541" xr:uid="{00000000-0005-0000-0000-0000DC0A0000}"/>
    <cellStyle name="메모 2 3 2 2 4" xfId="2542" xr:uid="{00000000-0005-0000-0000-0000DD0A0000}"/>
    <cellStyle name="메모 2 3 2 2 4 2" xfId="2543" xr:uid="{00000000-0005-0000-0000-0000DE0A0000}"/>
    <cellStyle name="메모 2 3 2 2 4 2 2" xfId="2544" xr:uid="{00000000-0005-0000-0000-0000DF0A0000}"/>
    <cellStyle name="메모 2 3 2 2 4 3" xfId="2545" xr:uid="{00000000-0005-0000-0000-0000E00A0000}"/>
    <cellStyle name="메모 2 3 2 2 4 3 2" xfId="2546" xr:uid="{00000000-0005-0000-0000-0000E10A0000}"/>
    <cellStyle name="메모 2 3 2 2 4 4" xfId="2547" xr:uid="{00000000-0005-0000-0000-0000E20A0000}"/>
    <cellStyle name="메모 2 3 2 2 4 4 2" xfId="2548" xr:uid="{00000000-0005-0000-0000-0000E30A0000}"/>
    <cellStyle name="메모 2 3 2 2 4 5" xfId="2549" xr:uid="{00000000-0005-0000-0000-0000E40A0000}"/>
    <cellStyle name="메모 2 3 2 2 5" xfId="2550" xr:uid="{00000000-0005-0000-0000-0000E50A0000}"/>
    <cellStyle name="메모 2 3 2 2 5 2" xfId="2551" xr:uid="{00000000-0005-0000-0000-0000E60A0000}"/>
    <cellStyle name="메모 2 3 2 2 6" xfId="2552" xr:uid="{00000000-0005-0000-0000-0000E70A0000}"/>
    <cellStyle name="메모 2 3 2 2 6 2" xfId="2553" xr:uid="{00000000-0005-0000-0000-0000E80A0000}"/>
    <cellStyle name="메모 2 3 2 2 7" xfId="2554" xr:uid="{00000000-0005-0000-0000-0000E90A0000}"/>
    <cellStyle name="메모 2 3 2 2 8" xfId="2555" xr:uid="{00000000-0005-0000-0000-0000EA0A0000}"/>
    <cellStyle name="메모 2 3 2 3" xfId="2556" xr:uid="{00000000-0005-0000-0000-0000EB0A0000}"/>
    <cellStyle name="메모 2 3 2 3 2" xfId="2557" xr:uid="{00000000-0005-0000-0000-0000EC0A0000}"/>
    <cellStyle name="메모 2 3 2 3 2 2" xfId="2558" xr:uid="{00000000-0005-0000-0000-0000ED0A0000}"/>
    <cellStyle name="메모 2 3 2 3 2 2 2" xfId="2559" xr:uid="{00000000-0005-0000-0000-0000EE0A0000}"/>
    <cellStyle name="메모 2 3 2 3 2 3" xfId="2560" xr:uid="{00000000-0005-0000-0000-0000EF0A0000}"/>
    <cellStyle name="메모 2 3 2 3 2 3 2" xfId="2561" xr:uid="{00000000-0005-0000-0000-0000F00A0000}"/>
    <cellStyle name="메모 2 3 2 3 2 4" xfId="2562" xr:uid="{00000000-0005-0000-0000-0000F10A0000}"/>
    <cellStyle name="메모 2 3 2 3 2 4 2" xfId="2563" xr:uid="{00000000-0005-0000-0000-0000F20A0000}"/>
    <cellStyle name="메모 2 3 2 3 2 5" xfId="2564" xr:uid="{00000000-0005-0000-0000-0000F30A0000}"/>
    <cellStyle name="메모 2 3 2 3 3" xfId="2565" xr:uid="{00000000-0005-0000-0000-0000F40A0000}"/>
    <cellStyle name="메모 2 3 2 3 3 2" xfId="2566" xr:uid="{00000000-0005-0000-0000-0000F50A0000}"/>
    <cellStyle name="메모 2 3 2 3 3 2 2" xfId="2567" xr:uid="{00000000-0005-0000-0000-0000F60A0000}"/>
    <cellStyle name="메모 2 3 2 3 3 3" xfId="2568" xr:uid="{00000000-0005-0000-0000-0000F70A0000}"/>
    <cellStyle name="메모 2 3 2 3 3 3 2" xfId="2569" xr:uid="{00000000-0005-0000-0000-0000F80A0000}"/>
    <cellStyle name="메모 2 3 2 3 3 4" xfId="2570" xr:uid="{00000000-0005-0000-0000-0000F90A0000}"/>
    <cellStyle name="메모 2 3 2 3 3 4 2" xfId="2571" xr:uid="{00000000-0005-0000-0000-0000FA0A0000}"/>
    <cellStyle name="메모 2 3 2 3 3 5" xfId="2572" xr:uid="{00000000-0005-0000-0000-0000FB0A0000}"/>
    <cellStyle name="메모 2 3 2 3 4" xfId="2573" xr:uid="{00000000-0005-0000-0000-0000FC0A0000}"/>
    <cellStyle name="메모 2 3 2 3 4 2" xfId="2574" xr:uid="{00000000-0005-0000-0000-0000FD0A0000}"/>
    <cellStyle name="메모 2 3 2 3 5" xfId="2575" xr:uid="{00000000-0005-0000-0000-0000FE0A0000}"/>
    <cellStyle name="메모 2 3 2 3 5 2" xfId="2576" xr:uid="{00000000-0005-0000-0000-0000FF0A0000}"/>
    <cellStyle name="메모 2 3 2 3 6" xfId="2577" xr:uid="{00000000-0005-0000-0000-0000000B0000}"/>
    <cellStyle name="메모 2 3 2 3 6 2" xfId="2578" xr:uid="{00000000-0005-0000-0000-0000010B0000}"/>
    <cellStyle name="메모 2 3 2 3 7" xfId="2579" xr:uid="{00000000-0005-0000-0000-0000020B0000}"/>
    <cellStyle name="메모 2 3 2 4" xfId="2580" xr:uid="{00000000-0005-0000-0000-0000030B0000}"/>
    <cellStyle name="메모 2 3 2 4 2" xfId="2581" xr:uid="{00000000-0005-0000-0000-0000040B0000}"/>
    <cellStyle name="메모 2 3 2 4 2 2" xfId="2582" xr:uid="{00000000-0005-0000-0000-0000050B0000}"/>
    <cellStyle name="메모 2 3 2 4 3" xfId="2583" xr:uid="{00000000-0005-0000-0000-0000060B0000}"/>
    <cellStyle name="메모 2 3 2 4 3 2" xfId="2584" xr:uid="{00000000-0005-0000-0000-0000070B0000}"/>
    <cellStyle name="메모 2 3 2 4 4" xfId="2585" xr:uid="{00000000-0005-0000-0000-0000080B0000}"/>
    <cellStyle name="메모 2 3 2 4 4 2" xfId="2586" xr:uid="{00000000-0005-0000-0000-0000090B0000}"/>
    <cellStyle name="메모 2 3 2 4 5" xfId="2587" xr:uid="{00000000-0005-0000-0000-00000A0B0000}"/>
    <cellStyle name="메모 2 3 2 5" xfId="2588" xr:uid="{00000000-0005-0000-0000-00000B0B0000}"/>
    <cellStyle name="메모 2 3 2 5 2" xfId="2589" xr:uid="{00000000-0005-0000-0000-00000C0B0000}"/>
    <cellStyle name="메모 2 3 2 5 2 2" xfId="2590" xr:uid="{00000000-0005-0000-0000-00000D0B0000}"/>
    <cellStyle name="메모 2 3 2 5 3" xfId="2591" xr:uid="{00000000-0005-0000-0000-00000E0B0000}"/>
    <cellStyle name="메모 2 3 2 5 3 2" xfId="2592" xr:uid="{00000000-0005-0000-0000-00000F0B0000}"/>
    <cellStyle name="메모 2 3 2 5 4" xfId="2593" xr:uid="{00000000-0005-0000-0000-0000100B0000}"/>
    <cellStyle name="메모 2 3 2 5 4 2" xfId="2594" xr:uid="{00000000-0005-0000-0000-0000110B0000}"/>
    <cellStyle name="메모 2 3 2 5 5" xfId="2595" xr:uid="{00000000-0005-0000-0000-0000120B0000}"/>
    <cellStyle name="메모 2 3 2 6" xfId="2596" xr:uid="{00000000-0005-0000-0000-0000130B0000}"/>
    <cellStyle name="메모 2 3 2 6 2" xfId="2597" xr:uid="{00000000-0005-0000-0000-0000140B0000}"/>
    <cellStyle name="메모 2 3 2 7" xfId="2598" xr:uid="{00000000-0005-0000-0000-0000150B0000}"/>
    <cellStyle name="메모 2 3 2 7 2" xfId="2599" xr:uid="{00000000-0005-0000-0000-0000160B0000}"/>
    <cellStyle name="메모 2 3 2 8" xfId="2600" xr:uid="{00000000-0005-0000-0000-0000170B0000}"/>
    <cellStyle name="메모 2 3 2 9" xfId="2601" xr:uid="{00000000-0005-0000-0000-0000180B0000}"/>
    <cellStyle name="메모 2 3 3" xfId="2602" xr:uid="{00000000-0005-0000-0000-0000190B0000}"/>
    <cellStyle name="메모 2 3 3 2" xfId="2603" xr:uid="{00000000-0005-0000-0000-00001A0B0000}"/>
    <cellStyle name="메모 2 3 3 2 2" xfId="2604" xr:uid="{00000000-0005-0000-0000-00001B0B0000}"/>
    <cellStyle name="메모 2 3 3 2 2 2" xfId="2605" xr:uid="{00000000-0005-0000-0000-00001C0B0000}"/>
    <cellStyle name="메모 2 3 3 2 2 2 2" xfId="2606" xr:uid="{00000000-0005-0000-0000-00001D0B0000}"/>
    <cellStyle name="메모 2 3 3 2 2 3" xfId="2607" xr:uid="{00000000-0005-0000-0000-00001E0B0000}"/>
    <cellStyle name="메모 2 3 3 2 2 3 2" xfId="2608" xr:uid="{00000000-0005-0000-0000-00001F0B0000}"/>
    <cellStyle name="메모 2 3 3 2 2 4" xfId="2609" xr:uid="{00000000-0005-0000-0000-0000200B0000}"/>
    <cellStyle name="메모 2 3 3 2 2 4 2" xfId="2610" xr:uid="{00000000-0005-0000-0000-0000210B0000}"/>
    <cellStyle name="메모 2 3 3 2 2 5" xfId="2611" xr:uid="{00000000-0005-0000-0000-0000220B0000}"/>
    <cellStyle name="메모 2 3 3 2 3" xfId="2612" xr:uid="{00000000-0005-0000-0000-0000230B0000}"/>
    <cellStyle name="메모 2 3 3 2 3 2" xfId="2613" xr:uid="{00000000-0005-0000-0000-0000240B0000}"/>
    <cellStyle name="메모 2 3 3 2 3 2 2" xfId="2614" xr:uid="{00000000-0005-0000-0000-0000250B0000}"/>
    <cellStyle name="메모 2 3 3 2 3 3" xfId="2615" xr:uid="{00000000-0005-0000-0000-0000260B0000}"/>
    <cellStyle name="메모 2 3 3 2 3 3 2" xfId="2616" xr:uid="{00000000-0005-0000-0000-0000270B0000}"/>
    <cellStyle name="메모 2 3 3 2 3 4" xfId="2617" xr:uid="{00000000-0005-0000-0000-0000280B0000}"/>
    <cellStyle name="메모 2 3 3 2 3 4 2" xfId="2618" xr:uid="{00000000-0005-0000-0000-0000290B0000}"/>
    <cellStyle name="메모 2 3 3 2 3 5" xfId="2619" xr:uid="{00000000-0005-0000-0000-00002A0B0000}"/>
    <cellStyle name="메모 2 3 3 2 4" xfId="2620" xr:uid="{00000000-0005-0000-0000-00002B0B0000}"/>
    <cellStyle name="메모 2 3 3 2 4 2" xfId="2621" xr:uid="{00000000-0005-0000-0000-00002C0B0000}"/>
    <cellStyle name="메모 2 3 3 2 5" xfId="2622" xr:uid="{00000000-0005-0000-0000-00002D0B0000}"/>
    <cellStyle name="메모 2 3 3 2 5 2" xfId="2623" xr:uid="{00000000-0005-0000-0000-00002E0B0000}"/>
    <cellStyle name="메모 2 3 3 2 6" xfId="2624" xr:uid="{00000000-0005-0000-0000-00002F0B0000}"/>
    <cellStyle name="메모 2 3 3 2 6 2" xfId="2625" xr:uid="{00000000-0005-0000-0000-0000300B0000}"/>
    <cellStyle name="메모 2 3 3 2 7" xfId="2626" xr:uid="{00000000-0005-0000-0000-0000310B0000}"/>
    <cellStyle name="메모 2 3 3 3" xfId="2627" xr:uid="{00000000-0005-0000-0000-0000320B0000}"/>
    <cellStyle name="메모 2 3 3 3 2" xfId="2628" xr:uid="{00000000-0005-0000-0000-0000330B0000}"/>
    <cellStyle name="메모 2 3 3 3 2 2" xfId="2629" xr:uid="{00000000-0005-0000-0000-0000340B0000}"/>
    <cellStyle name="메모 2 3 3 3 3" xfId="2630" xr:uid="{00000000-0005-0000-0000-0000350B0000}"/>
    <cellStyle name="메모 2 3 3 3 3 2" xfId="2631" xr:uid="{00000000-0005-0000-0000-0000360B0000}"/>
    <cellStyle name="메모 2 3 3 3 4" xfId="2632" xr:uid="{00000000-0005-0000-0000-0000370B0000}"/>
    <cellStyle name="메모 2 3 3 3 4 2" xfId="2633" xr:uid="{00000000-0005-0000-0000-0000380B0000}"/>
    <cellStyle name="메모 2 3 3 3 5" xfId="2634" xr:uid="{00000000-0005-0000-0000-0000390B0000}"/>
    <cellStyle name="메모 2 3 3 4" xfId="2635" xr:uid="{00000000-0005-0000-0000-00003A0B0000}"/>
    <cellStyle name="메모 2 3 3 4 2" xfId="2636" xr:uid="{00000000-0005-0000-0000-00003B0B0000}"/>
    <cellStyle name="메모 2 3 3 4 2 2" xfId="2637" xr:uid="{00000000-0005-0000-0000-00003C0B0000}"/>
    <cellStyle name="메모 2 3 3 4 3" xfId="2638" xr:uid="{00000000-0005-0000-0000-00003D0B0000}"/>
    <cellStyle name="메모 2 3 3 4 3 2" xfId="2639" xr:uid="{00000000-0005-0000-0000-00003E0B0000}"/>
    <cellStyle name="메모 2 3 3 4 4" xfId="2640" xr:uid="{00000000-0005-0000-0000-00003F0B0000}"/>
    <cellStyle name="메모 2 3 3 4 4 2" xfId="2641" xr:uid="{00000000-0005-0000-0000-0000400B0000}"/>
    <cellStyle name="메모 2 3 3 4 5" xfId="2642" xr:uid="{00000000-0005-0000-0000-0000410B0000}"/>
    <cellStyle name="메모 2 3 3 5" xfId="2643" xr:uid="{00000000-0005-0000-0000-0000420B0000}"/>
    <cellStyle name="메모 2 3 3 5 2" xfId="2644" xr:uid="{00000000-0005-0000-0000-0000430B0000}"/>
    <cellStyle name="메모 2 3 3 6" xfId="2645" xr:uid="{00000000-0005-0000-0000-0000440B0000}"/>
    <cellStyle name="메모 2 3 3 6 2" xfId="2646" xr:uid="{00000000-0005-0000-0000-0000450B0000}"/>
    <cellStyle name="메모 2 3 3 7" xfId="2647" xr:uid="{00000000-0005-0000-0000-0000460B0000}"/>
    <cellStyle name="메모 2 3 3 8" xfId="2648" xr:uid="{00000000-0005-0000-0000-0000470B0000}"/>
    <cellStyle name="메모 2 3 4" xfId="2649" xr:uid="{00000000-0005-0000-0000-0000480B0000}"/>
    <cellStyle name="메모 2 3 4 2" xfId="2650" xr:uid="{00000000-0005-0000-0000-0000490B0000}"/>
    <cellStyle name="메모 2 3 4 2 2" xfId="2651" xr:uid="{00000000-0005-0000-0000-00004A0B0000}"/>
    <cellStyle name="메모 2 3 4 2 2 2" xfId="2652" xr:uid="{00000000-0005-0000-0000-00004B0B0000}"/>
    <cellStyle name="메모 2 3 4 2 3" xfId="2653" xr:uid="{00000000-0005-0000-0000-00004C0B0000}"/>
    <cellStyle name="메모 2 3 4 2 3 2" xfId="2654" xr:uid="{00000000-0005-0000-0000-00004D0B0000}"/>
    <cellStyle name="메모 2 3 4 2 4" xfId="2655" xr:uid="{00000000-0005-0000-0000-00004E0B0000}"/>
    <cellStyle name="메모 2 3 4 2 4 2" xfId="2656" xr:uid="{00000000-0005-0000-0000-00004F0B0000}"/>
    <cellStyle name="메모 2 3 4 2 5" xfId="2657" xr:uid="{00000000-0005-0000-0000-0000500B0000}"/>
    <cellStyle name="메모 2 3 4 3" xfId="2658" xr:uid="{00000000-0005-0000-0000-0000510B0000}"/>
    <cellStyle name="메모 2 3 4 3 2" xfId="2659" xr:uid="{00000000-0005-0000-0000-0000520B0000}"/>
    <cellStyle name="메모 2 3 4 3 2 2" xfId="2660" xr:uid="{00000000-0005-0000-0000-0000530B0000}"/>
    <cellStyle name="메모 2 3 4 3 3" xfId="2661" xr:uid="{00000000-0005-0000-0000-0000540B0000}"/>
    <cellStyle name="메모 2 3 4 3 3 2" xfId="2662" xr:uid="{00000000-0005-0000-0000-0000550B0000}"/>
    <cellStyle name="메모 2 3 4 3 4" xfId="2663" xr:uid="{00000000-0005-0000-0000-0000560B0000}"/>
    <cellStyle name="메모 2 3 4 3 4 2" xfId="2664" xr:uid="{00000000-0005-0000-0000-0000570B0000}"/>
    <cellStyle name="메모 2 3 4 3 5" xfId="2665" xr:uid="{00000000-0005-0000-0000-0000580B0000}"/>
    <cellStyle name="메모 2 3 4 4" xfId="2666" xr:uid="{00000000-0005-0000-0000-0000590B0000}"/>
    <cellStyle name="메모 2 3 4 4 2" xfId="2667" xr:uid="{00000000-0005-0000-0000-00005A0B0000}"/>
    <cellStyle name="메모 2 3 4 5" xfId="2668" xr:uid="{00000000-0005-0000-0000-00005B0B0000}"/>
    <cellStyle name="메모 2 3 4 5 2" xfId="2669" xr:uid="{00000000-0005-0000-0000-00005C0B0000}"/>
    <cellStyle name="메모 2 3 4 6" xfId="2670" xr:uid="{00000000-0005-0000-0000-00005D0B0000}"/>
    <cellStyle name="메모 2 3 4 6 2" xfId="2671" xr:uid="{00000000-0005-0000-0000-00005E0B0000}"/>
    <cellStyle name="메모 2 3 4 7" xfId="2672" xr:uid="{00000000-0005-0000-0000-00005F0B0000}"/>
    <cellStyle name="메모 2 3 5" xfId="2673" xr:uid="{00000000-0005-0000-0000-0000600B0000}"/>
    <cellStyle name="메모 2 3 5 2" xfId="2674" xr:uid="{00000000-0005-0000-0000-0000610B0000}"/>
    <cellStyle name="메모 2 3 5 2 2" xfId="2675" xr:uid="{00000000-0005-0000-0000-0000620B0000}"/>
    <cellStyle name="메모 2 3 5 3" xfId="2676" xr:uid="{00000000-0005-0000-0000-0000630B0000}"/>
    <cellStyle name="메모 2 3 5 3 2" xfId="2677" xr:uid="{00000000-0005-0000-0000-0000640B0000}"/>
    <cellStyle name="메모 2 3 5 4" xfId="2678" xr:uid="{00000000-0005-0000-0000-0000650B0000}"/>
    <cellStyle name="메모 2 3 5 4 2" xfId="2679" xr:uid="{00000000-0005-0000-0000-0000660B0000}"/>
    <cellStyle name="메모 2 3 5 5" xfId="2680" xr:uid="{00000000-0005-0000-0000-0000670B0000}"/>
    <cellStyle name="메모 2 3 6" xfId="2681" xr:uid="{00000000-0005-0000-0000-0000680B0000}"/>
    <cellStyle name="메모 2 3 6 2" xfId="2682" xr:uid="{00000000-0005-0000-0000-0000690B0000}"/>
    <cellStyle name="메모 2 3 6 2 2" xfId="2683" xr:uid="{00000000-0005-0000-0000-00006A0B0000}"/>
    <cellStyle name="메모 2 3 6 3" xfId="2684" xr:uid="{00000000-0005-0000-0000-00006B0B0000}"/>
    <cellStyle name="메모 2 3 6 3 2" xfId="2685" xr:uid="{00000000-0005-0000-0000-00006C0B0000}"/>
    <cellStyle name="메모 2 3 6 4" xfId="2686" xr:uid="{00000000-0005-0000-0000-00006D0B0000}"/>
    <cellStyle name="메모 2 3 6 4 2" xfId="2687" xr:uid="{00000000-0005-0000-0000-00006E0B0000}"/>
    <cellStyle name="메모 2 3 6 5" xfId="2688" xr:uid="{00000000-0005-0000-0000-00006F0B0000}"/>
    <cellStyle name="메모 2 3 7" xfId="2689" xr:uid="{00000000-0005-0000-0000-0000700B0000}"/>
    <cellStyle name="메모 2 3 7 2" xfId="2690" xr:uid="{00000000-0005-0000-0000-0000710B0000}"/>
    <cellStyle name="메모 2 3 8" xfId="2691" xr:uid="{00000000-0005-0000-0000-0000720B0000}"/>
    <cellStyle name="메모 2 3 8 2" xfId="2692" xr:uid="{00000000-0005-0000-0000-0000730B0000}"/>
    <cellStyle name="메모 2 3 9" xfId="2693" xr:uid="{00000000-0005-0000-0000-0000740B0000}"/>
    <cellStyle name="메모 2 4" xfId="2694" xr:uid="{00000000-0005-0000-0000-0000750B0000}"/>
    <cellStyle name="메모 2 4 10" xfId="2695" xr:uid="{00000000-0005-0000-0000-0000760B0000}"/>
    <cellStyle name="메모 2 4 11" xfId="2696" xr:uid="{00000000-0005-0000-0000-0000770B0000}"/>
    <cellStyle name="메모 2 4 12" xfId="2697" xr:uid="{00000000-0005-0000-0000-0000780B0000}"/>
    <cellStyle name="메모 2 4 13" xfId="2698" xr:uid="{00000000-0005-0000-0000-0000790B0000}"/>
    <cellStyle name="메모 2 4 14" xfId="2699" xr:uid="{00000000-0005-0000-0000-00007A0B0000}"/>
    <cellStyle name="메모 2 4 15" xfId="2700" xr:uid="{00000000-0005-0000-0000-00007B0B0000}"/>
    <cellStyle name="메모 2 4 16" xfId="2701" xr:uid="{00000000-0005-0000-0000-00007C0B0000}"/>
    <cellStyle name="메모 2 4 17" xfId="2702" xr:uid="{00000000-0005-0000-0000-00007D0B0000}"/>
    <cellStyle name="메모 2 4 2" xfId="2703" xr:uid="{00000000-0005-0000-0000-00007E0B0000}"/>
    <cellStyle name="메모 2 4 2 2" xfId="2704" xr:uid="{00000000-0005-0000-0000-00007F0B0000}"/>
    <cellStyle name="메모 2 4 2 2 2" xfId="2705" xr:uid="{00000000-0005-0000-0000-0000800B0000}"/>
    <cellStyle name="메모 2 4 2 2 2 2" xfId="2706" xr:uid="{00000000-0005-0000-0000-0000810B0000}"/>
    <cellStyle name="메모 2 4 2 2 2 2 2" xfId="2707" xr:uid="{00000000-0005-0000-0000-0000820B0000}"/>
    <cellStyle name="메모 2 4 2 2 2 3" xfId="2708" xr:uid="{00000000-0005-0000-0000-0000830B0000}"/>
    <cellStyle name="메모 2 4 2 2 2 3 2" xfId="2709" xr:uid="{00000000-0005-0000-0000-0000840B0000}"/>
    <cellStyle name="메모 2 4 2 2 2 4" xfId="2710" xr:uid="{00000000-0005-0000-0000-0000850B0000}"/>
    <cellStyle name="메모 2 4 2 2 2 4 2" xfId="2711" xr:uid="{00000000-0005-0000-0000-0000860B0000}"/>
    <cellStyle name="메모 2 4 2 2 2 5" xfId="2712" xr:uid="{00000000-0005-0000-0000-0000870B0000}"/>
    <cellStyle name="메모 2 4 2 2 3" xfId="2713" xr:uid="{00000000-0005-0000-0000-0000880B0000}"/>
    <cellStyle name="메모 2 4 2 2 3 2" xfId="2714" xr:uid="{00000000-0005-0000-0000-0000890B0000}"/>
    <cellStyle name="메모 2 4 2 2 3 2 2" xfId="2715" xr:uid="{00000000-0005-0000-0000-00008A0B0000}"/>
    <cellStyle name="메모 2 4 2 2 3 3" xfId="2716" xr:uid="{00000000-0005-0000-0000-00008B0B0000}"/>
    <cellStyle name="메모 2 4 2 2 3 3 2" xfId="2717" xr:uid="{00000000-0005-0000-0000-00008C0B0000}"/>
    <cellStyle name="메모 2 4 2 2 3 4" xfId="2718" xr:uid="{00000000-0005-0000-0000-00008D0B0000}"/>
    <cellStyle name="메모 2 4 2 2 3 4 2" xfId="2719" xr:uid="{00000000-0005-0000-0000-00008E0B0000}"/>
    <cellStyle name="메모 2 4 2 2 3 5" xfId="2720" xr:uid="{00000000-0005-0000-0000-00008F0B0000}"/>
    <cellStyle name="메모 2 4 2 2 4" xfId="2721" xr:uid="{00000000-0005-0000-0000-0000900B0000}"/>
    <cellStyle name="메모 2 4 2 2 4 2" xfId="2722" xr:uid="{00000000-0005-0000-0000-0000910B0000}"/>
    <cellStyle name="메모 2 4 2 2 5" xfId="2723" xr:uid="{00000000-0005-0000-0000-0000920B0000}"/>
    <cellStyle name="메모 2 4 2 2 5 2" xfId="2724" xr:uid="{00000000-0005-0000-0000-0000930B0000}"/>
    <cellStyle name="메모 2 4 2 2 6" xfId="2725" xr:uid="{00000000-0005-0000-0000-0000940B0000}"/>
    <cellStyle name="메모 2 4 2 2 6 2" xfId="2726" xr:uid="{00000000-0005-0000-0000-0000950B0000}"/>
    <cellStyle name="메모 2 4 2 2 7" xfId="2727" xr:uid="{00000000-0005-0000-0000-0000960B0000}"/>
    <cellStyle name="메모 2 4 2 3" xfId="2728" xr:uid="{00000000-0005-0000-0000-0000970B0000}"/>
    <cellStyle name="메모 2 4 2 3 2" xfId="2729" xr:uid="{00000000-0005-0000-0000-0000980B0000}"/>
    <cellStyle name="메모 2 4 2 3 2 2" xfId="2730" xr:uid="{00000000-0005-0000-0000-0000990B0000}"/>
    <cellStyle name="메모 2 4 2 3 3" xfId="2731" xr:uid="{00000000-0005-0000-0000-00009A0B0000}"/>
    <cellStyle name="메모 2 4 2 3 3 2" xfId="2732" xr:uid="{00000000-0005-0000-0000-00009B0B0000}"/>
    <cellStyle name="메모 2 4 2 3 4" xfId="2733" xr:uid="{00000000-0005-0000-0000-00009C0B0000}"/>
    <cellStyle name="메모 2 4 2 3 4 2" xfId="2734" xr:uid="{00000000-0005-0000-0000-00009D0B0000}"/>
    <cellStyle name="메모 2 4 2 3 5" xfId="2735" xr:uid="{00000000-0005-0000-0000-00009E0B0000}"/>
    <cellStyle name="메모 2 4 2 4" xfId="2736" xr:uid="{00000000-0005-0000-0000-00009F0B0000}"/>
    <cellStyle name="메모 2 4 2 4 2" xfId="2737" xr:uid="{00000000-0005-0000-0000-0000A00B0000}"/>
    <cellStyle name="메모 2 4 2 4 2 2" xfId="2738" xr:uid="{00000000-0005-0000-0000-0000A10B0000}"/>
    <cellStyle name="메모 2 4 2 4 3" xfId="2739" xr:uid="{00000000-0005-0000-0000-0000A20B0000}"/>
    <cellStyle name="메모 2 4 2 4 3 2" xfId="2740" xr:uid="{00000000-0005-0000-0000-0000A30B0000}"/>
    <cellStyle name="메모 2 4 2 4 4" xfId="2741" xr:uid="{00000000-0005-0000-0000-0000A40B0000}"/>
    <cellStyle name="메모 2 4 2 4 4 2" xfId="2742" xr:uid="{00000000-0005-0000-0000-0000A50B0000}"/>
    <cellStyle name="메모 2 4 2 4 5" xfId="2743" xr:uid="{00000000-0005-0000-0000-0000A60B0000}"/>
    <cellStyle name="메모 2 4 2 5" xfId="2744" xr:uid="{00000000-0005-0000-0000-0000A70B0000}"/>
    <cellStyle name="메모 2 4 2 5 2" xfId="2745" xr:uid="{00000000-0005-0000-0000-0000A80B0000}"/>
    <cellStyle name="메모 2 4 2 6" xfId="2746" xr:uid="{00000000-0005-0000-0000-0000A90B0000}"/>
    <cellStyle name="메모 2 4 2 6 2" xfId="2747" xr:uid="{00000000-0005-0000-0000-0000AA0B0000}"/>
    <cellStyle name="메모 2 4 2 7" xfId="2748" xr:uid="{00000000-0005-0000-0000-0000AB0B0000}"/>
    <cellStyle name="메모 2 4 2 8" xfId="2749" xr:uid="{00000000-0005-0000-0000-0000AC0B0000}"/>
    <cellStyle name="메모 2 4 3" xfId="2750" xr:uid="{00000000-0005-0000-0000-0000AD0B0000}"/>
    <cellStyle name="메모 2 4 3 2" xfId="2751" xr:uid="{00000000-0005-0000-0000-0000AE0B0000}"/>
    <cellStyle name="메모 2 4 3 2 2" xfId="2752" xr:uid="{00000000-0005-0000-0000-0000AF0B0000}"/>
    <cellStyle name="메모 2 4 3 2 2 2" xfId="2753" xr:uid="{00000000-0005-0000-0000-0000B00B0000}"/>
    <cellStyle name="메모 2 4 3 2 3" xfId="2754" xr:uid="{00000000-0005-0000-0000-0000B10B0000}"/>
    <cellStyle name="메모 2 4 3 2 3 2" xfId="2755" xr:uid="{00000000-0005-0000-0000-0000B20B0000}"/>
    <cellStyle name="메모 2 4 3 2 4" xfId="2756" xr:uid="{00000000-0005-0000-0000-0000B30B0000}"/>
    <cellStyle name="메모 2 4 3 2 4 2" xfId="2757" xr:uid="{00000000-0005-0000-0000-0000B40B0000}"/>
    <cellStyle name="메모 2 4 3 2 5" xfId="2758" xr:uid="{00000000-0005-0000-0000-0000B50B0000}"/>
    <cellStyle name="메모 2 4 3 3" xfId="2759" xr:uid="{00000000-0005-0000-0000-0000B60B0000}"/>
    <cellStyle name="메모 2 4 3 3 2" xfId="2760" xr:uid="{00000000-0005-0000-0000-0000B70B0000}"/>
    <cellStyle name="메모 2 4 3 3 2 2" xfId="2761" xr:uid="{00000000-0005-0000-0000-0000B80B0000}"/>
    <cellStyle name="메모 2 4 3 3 3" xfId="2762" xr:uid="{00000000-0005-0000-0000-0000B90B0000}"/>
    <cellStyle name="메모 2 4 3 3 3 2" xfId="2763" xr:uid="{00000000-0005-0000-0000-0000BA0B0000}"/>
    <cellStyle name="메모 2 4 3 3 4" xfId="2764" xr:uid="{00000000-0005-0000-0000-0000BB0B0000}"/>
    <cellStyle name="메모 2 4 3 3 4 2" xfId="2765" xr:uid="{00000000-0005-0000-0000-0000BC0B0000}"/>
    <cellStyle name="메모 2 4 3 3 5" xfId="2766" xr:uid="{00000000-0005-0000-0000-0000BD0B0000}"/>
    <cellStyle name="메모 2 4 3 4" xfId="2767" xr:uid="{00000000-0005-0000-0000-0000BE0B0000}"/>
    <cellStyle name="메모 2 4 3 4 2" xfId="2768" xr:uid="{00000000-0005-0000-0000-0000BF0B0000}"/>
    <cellStyle name="메모 2 4 3 5" xfId="2769" xr:uid="{00000000-0005-0000-0000-0000C00B0000}"/>
    <cellStyle name="메모 2 4 3 5 2" xfId="2770" xr:uid="{00000000-0005-0000-0000-0000C10B0000}"/>
    <cellStyle name="메모 2 4 3 6" xfId="2771" xr:uid="{00000000-0005-0000-0000-0000C20B0000}"/>
    <cellStyle name="메모 2 4 3 6 2" xfId="2772" xr:uid="{00000000-0005-0000-0000-0000C30B0000}"/>
    <cellStyle name="메모 2 4 3 7" xfId="2773" xr:uid="{00000000-0005-0000-0000-0000C40B0000}"/>
    <cellStyle name="메모 2 4 4" xfId="2774" xr:uid="{00000000-0005-0000-0000-0000C50B0000}"/>
    <cellStyle name="메모 2 4 4 2" xfId="2775" xr:uid="{00000000-0005-0000-0000-0000C60B0000}"/>
    <cellStyle name="메모 2 4 4 2 2" xfId="2776" xr:uid="{00000000-0005-0000-0000-0000C70B0000}"/>
    <cellStyle name="메모 2 4 4 3" xfId="2777" xr:uid="{00000000-0005-0000-0000-0000C80B0000}"/>
    <cellStyle name="메모 2 4 4 3 2" xfId="2778" xr:uid="{00000000-0005-0000-0000-0000C90B0000}"/>
    <cellStyle name="메모 2 4 4 4" xfId="2779" xr:uid="{00000000-0005-0000-0000-0000CA0B0000}"/>
    <cellStyle name="메모 2 4 4 4 2" xfId="2780" xr:uid="{00000000-0005-0000-0000-0000CB0B0000}"/>
    <cellStyle name="메모 2 4 4 5" xfId="2781" xr:uid="{00000000-0005-0000-0000-0000CC0B0000}"/>
    <cellStyle name="메모 2 4 5" xfId="2782" xr:uid="{00000000-0005-0000-0000-0000CD0B0000}"/>
    <cellStyle name="메모 2 4 5 2" xfId="2783" xr:uid="{00000000-0005-0000-0000-0000CE0B0000}"/>
    <cellStyle name="메모 2 4 5 2 2" xfId="2784" xr:uid="{00000000-0005-0000-0000-0000CF0B0000}"/>
    <cellStyle name="메모 2 4 5 3" xfId="2785" xr:uid="{00000000-0005-0000-0000-0000D00B0000}"/>
    <cellStyle name="메모 2 4 5 3 2" xfId="2786" xr:uid="{00000000-0005-0000-0000-0000D10B0000}"/>
    <cellStyle name="메모 2 4 5 4" xfId="2787" xr:uid="{00000000-0005-0000-0000-0000D20B0000}"/>
    <cellStyle name="메모 2 4 5 4 2" xfId="2788" xr:uid="{00000000-0005-0000-0000-0000D30B0000}"/>
    <cellStyle name="메모 2 4 5 5" xfId="2789" xr:uid="{00000000-0005-0000-0000-0000D40B0000}"/>
    <cellStyle name="메모 2 4 6" xfId="2790" xr:uid="{00000000-0005-0000-0000-0000D50B0000}"/>
    <cellStyle name="메모 2 4 6 2" xfId="2791" xr:uid="{00000000-0005-0000-0000-0000D60B0000}"/>
    <cellStyle name="메모 2 4 7" xfId="2792" xr:uid="{00000000-0005-0000-0000-0000D70B0000}"/>
    <cellStyle name="메모 2 4 7 2" xfId="2793" xr:uid="{00000000-0005-0000-0000-0000D80B0000}"/>
    <cellStyle name="메모 2 4 8" xfId="2794" xr:uid="{00000000-0005-0000-0000-0000D90B0000}"/>
    <cellStyle name="메모 2 4 9" xfId="2795" xr:uid="{00000000-0005-0000-0000-0000DA0B0000}"/>
    <cellStyle name="메모 2 5" xfId="2796" xr:uid="{00000000-0005-0000-0000-0000DB0B0000}"/>
    <cellStyle name="메모 2 5 10" xfId="2797" xr:uid="{00000000-0005-0000-0000-0000DC0B0000}"/>
    <cellStyle name="메모 2 5 11" xfId="2798" xr:uid="{00000000-0005-0000-0000-0000DD0B0000}"/>
    <cellStyle name="메모 2 5 12" xfId="2799" xr:uid="{00000000-0005-0000-0000-0000DE0B0000}"/>
    <cellStyle name="메모 2 5 13" xfId="2800" xr:uid="{00000000-0005-0000-0000-0000DF0B0000}"/>
    <cellStyle name="메모 2 5 14" xfId="2801" xr:uid="{00000000-0005-0000-0000-0000E00B0000}"/>
    <cellStyle name="메모 2 5 15" xfId="2802" xr:uid="{00000000-0005-0000-0000-0000E10B0000}"/>
    <cellStyle name="메모 2 5 16" xfId="2803" xr:uid="{00000000-0005-0000-0000-0000E20B0000}"/>
    <cellStyle name="메모 2 5 17" xfId="2804" xr:uid="{00000000-0005-0000-0000-0000E30B0000}"/>
    <cellStyle name="메모 2 5 2" xfId="2805" xr:uid="{00000000-0005-0000-0000-0000E40B0000}"/>
    <cellStyle name="메모 2 5 2 2" xfId="2806" xr:uid="{00000000-0005-0000-0000-0000E50B0000}"/>
    <cellStyle name="메모 2 5 2 2 2" xfId="2807" xr:uid="{00000000-0005-0000-0000-0000E60B0000}"/>
    <cellStyle name="메모 2 5 2 2 2 2" xfId="2808" xr:uid="{00000000-0005-0000-0000-0000E70B0000}"/>
    <cellStyle name="메모 2 5 2 2 2 2 2" xfId="2809" xr:uid="{00000000-0005-0000-0000-0000E80B0000}"/>
    <cellStyle name="메모 2 5 2 2 2 3" xfId="2810" xr:uid="{00000000-0005-0000-0000-0000E90B0000}"/>
    <cellStyle name="메모 2 5 2 2 2 3 2" xfId="2811" xr:uid="{00000000-0005-0000-0000-0000EA0B0000}"/>
    <cellStyle name="메모 2 5 2 2 2 4" xfId="2812" xr:uid="{00000000-0005-0000-0000-0000EB0B0000}"/>
    <cellStyle name="메모 2 5 2 2 2 4 2" xfId="2813" xr:uid="{00000000-0005-0000-0000-0000EC0B0000}"/>
    <cellStyle name="메모 2 5 2 2 2 5" xfId="2814" xr:uid="{00000000-0005-0000-0000-0000ED0B0000}"/>
    <cellStyle name="메모 2 5 2 2 3" xfId="2815" xr:uid="{00000000-0005-0000-0000-0000EE0B0000}"/>
    <cellStyle name="메모 2 5 2 2 3 2" xfId="2816" xr:uid="{00000000-0005-0000-0000-0000EF0B0000}"/>
    <cellStyle name="메모 2 5 2 2 3 2 2" xfId="2817" xr:uid="{00000000-0005-0000-0000-0000F00B0000}"/>
    <cellStyle name="메모 2 5 2 2 3 3" xfId="2818" xr:uid="{00000000-0005-0000-0000-0000F10B0000}"/>
    <cellStyle name="메모 2 5 2 2 3 3 2" xfId="2819" xr:uid="{00000000-0005-0000-0000-0000F20B0000}"/>
    <cellStyle name="메모 2 5 2 2 3 4" xfId="2820" xr:uid="{00000000-0005-0000-0000-0000F30B0000}"/>
    <cellStyle name="메모 2 5 2 2 3 4 2" xfId="2821" xr:uid="{00000000-0005-0000-0000-0000F40B0000}"/>
    <cellStyle name="메모 2 5 2 2 3 5" xfId="2822" xr:uid="{00000000-0005-0000-0000-0000F50B0000}"/>
    <cellStyle name="메모 2 5 2 2 4" xfId="2823" xr:uid="{00000000-0005-0000-0000-0000F60B0000}"/>
    <cellStyle name="메모 2 5 2 2 4 2" xfId="2824" xr:uid="{00000000-0005-0000-0000-0000F70B0000}"/>
    <cellStyle name="메모 2 5 2 2 5" xfId="2825" xr:uid="{00000000-0005-0000-0000-0000F80B0000}"/>
    <cellStyle name="메모 2 5 2 2 5 2" xfId="2826" xr:uid="{00000000-0005-0000-0000-0000F90B0000}"/>
    <cellStyle name="메모 2 5 2 2 6" xfId="2827" xr:uid="{00000000-0005-0000-0000-0000FA0B0000}"/>
    <cellStyle name="메모 2 5 2 2 6 2" xfId="2828" xr:uid="{00000000-0005-0000-0000-0000FB0B0000}"/>
    <cellStyle name="메모 2 5 2 2 7" xfId="2829" xr:uid="{00000000-0005-0000-0000-0000FC0B0000}"/>
    <cellStyle name="메모 2 5 2 3" xfId="2830" xr:uid="{00000000-0005-0000-0000-0000FD0B0000}"/>
    <cellStyle name="메모 2 5 2 3 2" xfId="2831" xr:uid="{00000000-0005-0000-0000-0000FE0B0000}"/>
    <cellStyle name="메모 2 5 2 3 2 2" xfId="2832" xr:uid="{00000000-0005-0000-0000-0000FF0B0000}"/>
    <cellStyle name="메모 2 5 2 3 3" xfId="2833" xr:uid="{00000000-0005-0000-0000-0000000C0000}"/>
    <cellStyle name="메모 2 5 2 3 3 2" xfId="2834" xr:uid="{00000000-0005-0000-0000-0000010C0000}"/>
    <cellStyle name="메모 2 5 2 3 4" xfId="2835" xr:uid="{00000000-0005-0000-0000-0000020C0000}"/>
    <cellStyle name="메모 2 5 2 3 4 2" xfId="2836" xr:uid="{00000000-0005-0000-0000-0000030C0000}"/>
    <cellStyle name="메모 2 5 2 3 5" xfId="2837" xr:uid="{00000000-0005-0000-0000-0000040C0000}"/>
    <cellStyle name="메모 2 5 2 4" xfId="2838" xr:uid="{00000000-0005-0000-0000-0000050C0000}"/>
    <cellStyle name="메모 2 5 2 4 2" xfId="2839" xr:uid="{00000000-0005-0000-0000-0000060C0000}"/>
    <cellStyle name="메모 2 5 2 4 2 2" xfId="2840" xr:uid="{00000000-0005-0000-0000-0000070C0000}"/>
    <cellStyle name="메모 2 5 2 4 3" xfId="2841" xr:uid="{00000000-0005-0000-0000-0000080C0000}"/>
    <cellStyle name="메모 2 5 2 4 3 2" xfId="2842" xr:uid="{00000000-0005-0000-0000-0000090C0000}"/>
    <cellStyle name="메모 2 5 2 4 4" xfId="2843" xr:uid="{00000000-0005-0000-0000-00000A0C0000}"/>
    <cellStyle name="메모 2 5 2 4 4 2" xfId="2844" xr:uid="{00000000-0005-0000-0000-00000B0C0000}"/>
    <cellStyle name="메모 2 5 2 4 5" xfId="2845" xr:uid="{00000000-0005-0000-0000-00000C0C0000}"/>
    <cellStyle name="메모 2 5 2 5" xfId="2846" xr:uid="{00000000-0005-0000-0000-00000D0C0000}"/>
    <cellStyle name="메모 2 5 2 5 2" xfId="2847" xr:uid="{00000000-0005-0000-0000-00000E0C0000}"/>
    <cellStyle name="메모 2 5 2 6" xfId="2848" xr:uid="{00000000-0005-0000-0000-00000F0C0000}"/>
    <cellStyle name="메모 2 5 2 6 2" xfId="2849" xr:uid="{00000000-0005-0000-0000-0000100C0000}"/>
    <cellStyle name="메모 2 5 2 7" xfId="2850" xr:uid="{00000000-0005-0000-0000-0000110C0000}"/>
    <cellStyle name="메모 2 5 2 8" xfId="2851" xr:uid="{00000000-0005-0000-0000-0000120C0000}"/>
    <cellStyle name="메모 2 5 3" xfId="2852" xr:uid="{00000000-0005-0000-0000-0000130C0000}"/>
    <cellStyle name="메모 2 5 3 2" xfId="2853" xr:uid="{00000000-0005-0000-0000-0000140C0000}"/>
    <cellStyle name="메모 2 5 3 2 2" xfId="2854" xr:uid="{00000000-0005-0000-0000-0000150C0000}"/>
    <cellStyle name="메모 2 5 3 2 2 2" xfId="2855" xr:uid="{00000000-0005-0000-0000-0000160C0000}"/>
    <cellStyle name="메모 2 5 3 2 3" xfId="2856" xr:uid="{00000000-0005-0000-0000-0000170C0000}"/>
    <cellStyle name="메모 2 5 3 2 3 2" xfId="2857" xr:uid="{00000000-0005-0000-0000-0000180C0000}"/>
    <cellStyle name="메모 2 5 3 2 4" xfId="2858" xr:uid="{00000000-0005-0000-0000-0000190C0000}"/>
    <cellStyle name="메모 2 5 3 2 4 2" xfId="2859" xr:uid="{00000000-0005-0000-0000-00001A0C0000}"/>
    <cellStyle name="메모 2 5 3 2 5" xfId="2860" xr:uid="{00000000-0005-0000-0000-00001B0C0000}"/>
    <cellStyle name="메모 2 5 3 3" xfId="2861" xr:uid="{00000000-0005-0000-0000-00001C0C0000}"/>
    <cellStyle name="메모 2 5 3 3 2" xfId="2862" xr:uid="{00000000-0005-0000-0000-00001D0C0000}"/>
    <cellStyle name="메모 2 5 3 3 2 2" xfId="2863" xr:uid="{00000000-0005-0000-0000-00001E0C0000}"/>
    <cellStyle name="메모 2 5 3 3 3" xfId="2864" xr:uid="{00000000-0005-0000-0000-00001F0C0000}"/>
    <cellStyle name="메모 2 5 3 3 3 2" xfId="2865" xr:uid="{00000000-0005-0000-0000-0000200C0000}"/>
    <cellStyle name="메모 2 5 3 3 4" xfId="2866" xr:uid="{00000000-0005-0000-0000-0000210C0000}"/>
    <cellStyle name="메모 2 5 3 3 4 2" xfId="2867" xr:uid="{00000000-0005-0000-0000-0000220C0000}"/>
    <cellStyle name="메모 2 5 3 3 5" xfId="2868" xr:uid="{00000000-0005-0000-0000-0000230C0000}"/>
    <cellStyle name="메모 2 5 3 4" xfId="2869" xr:uid="{00000000-0005-0000-0000-0000240C0000}"/>
    <cellStyle name="메모 2 5 3 4 2" xfId="2870" xr:uid="{00000000-0005-0000-0000-0000250C0000}"/>
    <cellStyle name="메모 2 5 3 5" xfId="2871" xr:uid="{00000000-0005-0000-0000-0000260C0000}"/>
    <cellStyle name="메모 2 5 3 5 2" xfId="2872" xr:uid="{00000000-0005-0000-0000-0000270C0000}"/>
    <cellStyle name="메모 2 5 3 6" xfId="2873" xr:uid="{00000000-0005-0000-0000-0000280C0000}"/>
    <cellStyle name="메모 2 5 3 6 2" xfId="2874" xr:uid="{00000000-0005-0000-0000-0000290C0000}"/>
    <cellStyle name="메모 2 5 3 7" xfId="2875" xr:uid="{00000000-0005-0000-0000-00002A0C0000}"/>
    <cellStyle name="메모 2 5 4" xfId="2876" xr:uid="{00000000-0005-0000-0000-00002B0C0000}"/>
    <cellStyle name="메모 2 5 4 2" xfId="2877" xr:uid="{00000000-0005-0000-0000-00002C0C0000}"/>
    <cellStyle name="메모 2 5 4 2 2" xfId="2878" xr:uid="{00000000-0005-0000-0000-00002D0C0000}"/>
    <cellStyle name="메모 2 5 4 3" xfId="2879" xr:uid="{00000000-0005-0000-0000-00002E0C0000}"/>
    <cellStyle name="메모 2 5 4 3 2" xfId="2880" xr:uid="{00000000-0005-0000-0000-00002F0C0000}"/>
    <cellStyle name="메모 2 5 4 4" xfId="2881" xr:uid="{00000000-0005-0000-0000-0000300C0000}"/>
    <cellStyle name="메모 2 5 4 4 2" xfId="2882" xr:uid="{00000000-0005-0000-0000-0000310C0000}"/>
    <cellStyle name="메모 2 5 4 5" xfId="2883" xr:uid="{00000000-0005-0000-0000-0000320C0000}"/>
    <cellStyle name="메모 2 5 5" xfId="2884" xr:uid="{00000000-0005-0000-0000-0000330C0000}"/>
    <cellStyle name="메모 2 5 5 2" xfId="2885" xr:uid="{00000000-0005-0000-0000-0000340C0000}"/>
    <cellStyle name="메모 2 5 5 2 2" xfId="2886" xr:uid="{00000000-0005-0000-0000-0000350C0000}"/>
    <cellStyle name="메모 2 5 5 3" xfId="2887" xr:uid="{00000000-0005-0000-0000-0000360C0000}"/>
    <cellStyle name="메모 2 5 5 3 2" xfId="2888" xr:uid="{00000000-0005-0000-0000-0000370C0000}"/>
    <cellStyle name="메모 2 5 5 4" xfId="2889" xr:uid="{00000000-0005-0000-0000-0000380C0000}"/>
    <cellStyle name="메모 2 5 5 4 2" xfId="2890" xr:uid="{00000000-0005-0000-0000-0000390C0000}"/>
    <cellStyle name="메모 2 5 5 5" xfId="2891" xr:uid="{00000000-0005-0000-0000-00003A0C0000}"/>
    <cellStyle name="메모 2 5 6" xfId="2892" xr:uid="{00000000-0005-0000-0000-00003B0C0000}"/>
    <cellStyle name="메모 2 5 6 2" xfId="2893" xr:uid="{00000000-0005-0000-0000-00003C0C0000}"/>
    <cellStyle name="메모 2 5 7" xfId="2894" xr:uid="{00000000-0005-0000-0000-00003D0C0000}"/>
    <cellStyle name="메모 2 5 7 2" xfId="2895" xr:uid="{00000000-0005-0000-0000-00003E0C0000}"/>
    <cellStyle name="메모 2 5 8" xfId="2896" xr:uid="{00000000-0005-0000-0000-00003F0C0000}"/>
    <cellStyle name="메모 2 5 9" xfId="2897" xr:uid="{00000000-0005-0000-0000-0000400C0000}"/>
    <cellStyle name="메모 2 6" xfId="2898" xr:uid="{00000000-0005-0000-0000-0000410C0000}"/>
    <cellStyle name="메모 2 6 2" xfId="2899" xr:uid="{00000000-0005-0000-0000-0000420C0000}"/>
    <cellStyle name="메모 2 6 2 2" xfId="2900" xr:uid="{00000000-0005-0000-0000-0000430C0000}"/>
    <cellStyle name="메모 2 6 2 2 2" xfId="2901" xr:uid="{00000000-0005-0000-0000-0000440C0000}"/>
    <cellStyle name="메모 2 6 2 2 2 2" xfId="2902" xr:uid="{00000000-0005-0000-0000-0000450C0000}"/>
    <cellStyle name="메모 2 6 2 2 3" xfId="2903" xr:uid="{00000000-0005-0000-0000-0000460C0000}"/>
    <cellStyle name="메모 2 6 2 2 3 2" xfId="2904" xr:uid="{00000000-0005-0000-0000-0000470C0000}"/>
    <cellStyle name="메모 2 6 2 2 4" xfId="2905" xr:uid="{00000000-0005-0000-0000-0000480C0000}"/>
    <cellStyle name="메모 2 6 2 2 4 2" xfId="2906" xr:uid="{00000000-0005-0000-0000-0000490C0000}"/>
    <cellStyle name="메모 2 6 2 2 5" xfId="2907" xr:uid="{00000000-0005-0000-0000-00004A0C0000}"/>
    <cellStyle name="메모 2 6 2 3" xfId="2908" xr:uid="{00000000-0005-0000-0000-00004B0C0000}"/>
    <cellStyle name="메모 2 6 2 3 2" xfId="2909" xr:uid="{00000000-0005-0000-0000-00004C0C0000}"/>
    <cellStyle name="메모 2 6 2 3 2 2" xfId="2910" xr:uid="{00000000-0005-0000-0000-00004D0C0000}"/>
    <cellStyle name="메모 2 6 2 3 3" xfId="2911" xr:uid="{00000000-0005-0000-0000-00004E0C0000}"/>
    <cellStyle name="메모 2 6 2 3 3 2" xfId="2912" xr:uid="{00000000-0005-0000-0000-00004F0C0000}"/>
    <cellStyle name="메모 2 6 2 3 4" xfId="2913" xr:uid="{00000000-0005-0000-0000-0000500C0000}"/>
    <cellStyle name="메모 2 6 2 3 4 2" xfId="2914" xr:uid="{00000000-0005-0000-0000-0000510C0000}"/>
    <cellStyle name="메모 2 6 2 3 5" xfId="2915" xr:uid="{00000000-0005-0000-0000-0000520C0000}"/>
    <cellStyle name="메모 2 6 2 4" xfId="2916" xr:uid="{00000000-0005-0000-0000-0000530C0000}"/>
    <cellStyle name="메모 2 6 2 4 2" xfId="2917" xr:uid="{00000000-0005-0000-0000-0000540C0000}"/>
    <cellStyle name="메모 2 6 2 5" xfId="2918" xr:uid="{00000000-0005-0000-0000-0000550C0000}"/>
    <cellStyle name="메모 2 6 2 5 2" xfId="2919" xr:uid="{00000000-0005-0000-0000-0000560C0000}"/>
    <cellStyle name="메모 2 6 2 6" xfId="2920" xr:uid="{00000000-0005-0000-0000-0000570C0000}"/>
    <cellStyle name="메모 2 6 2 6 2" xfId="2921" xr:uid="{00000000-0005-0000-0000-0000580C0000}"/>
    <cellStyle name="메모 2 6 2 7" xfId="2922" xr:uid="{00000000-0005-0000-0000-0000590C0000}"/>
    <cellStyle name="메모 2 6 3" xfId="2923" xr:uid="{00000000-0005-0000-0000-00005A0C0000}"/>
    <cellStyle name="메모 2 6 3 2" xfId="2924" xr:uid="{00000000-0005-0000-0000-00005B0C0000}"/>
    <cellStyle name="메모 2 6 3 2 2" xfId="2925" xr:uid="{00000000-0005-0000-0000-00005C0C0000}"/>
    <cellStyle name="메모 2 6 3 3" xfId="2926" xr:uid="{00000000-0005-0000-0000-00005D0C0000}"/>
    <cellStyle name="메모 2 6 3 3 2" xfId="2927" xr:uid="{00000000-0005-0000-0000-00005E0C0000}"/>
    <cellStyle name="메모 2 6 3 4" xfId="2928" xr:uid="{00000000-0005-0000-0000-00005F0C0000}"/>
    <cellStyle name="메모 2 6 3 4 2" xfId="2929" xr:uid="{00000000-0005-0000-0000-0000600C0000}"/>
    <cellStyle name="메모 2 6 3 5" xfId="2930" xr:uid="{00000000-0005-0000-0000-0000610C0000}"/>
    <cellStyle name="메모 2 6 4" xfId="2931" xr:uid="{00000000-0005-0000-0000-0000620C0000}"/>
    <cellStyle name="메모 2 6 4 2" xfId="2932" xr:uid="{00000000-0005-0000-0000-0000630C0000}"/>
    <cellStyle name="메모 2 6 4 2 2" xfId="2933" xr:uid="{00000000-0005-0000-0000-0000640C0000}"/>
    <cellStyle name="메모 2 6 4 3" xfId="2934" xr:uid="{00000000-0005-0000-0000-0000650C0000}"/>
    <cellStyle name="메모 2 6 4 3 2" xfId="2935" xr:uid="{00000000-0005-0000-0000-0000660C0000}"/>
    <cellStyle name="메모 2 6 4 4" xfId="2936" xr:uid="{00000000-0005-0000-0000-0000670C0000}"/>
    <cellStyle name="메모 2 6 4 4 2" xfId="2937" xr:uid="{00000000-0005-0000-0000-0000680C0000}"/>
    <cellStyle name="메모 2 6 4 5" xfId="2938" xr:uid="{00000000-0005-0000-0000-0000690C0000}"/>
    <cellStyle name="메모 2 6 5" xfId="2939" xr:uid="{00000000-0005-0000-0000-00006A0C0000}"/>
    <cellStyle name="메모 2 6 5 2" xfId="2940" xr:uid="{00000000-0005-0000-0000-00006B0C0000}"/>
    <cellStyle name="메모 2 6 6" xfId="2941" xr:uid="{00000000-0005-0000-0000-00006C0C0000}"/>
    <cellStyle name="메모 2 6 6 2" xfId="2942" xr:uid="{00000000-0005-0000-0000-00006D0C0000}"/>
    <cellStyle name="메모 2 6 7" xfId="2943" xr:uid="{00000000-0005-0000-0000-00006E0C0000}"/>
    <cellStyle name="메모 2 6 8" xfId="2944" xr:uid="{00000000-0005-0000-0000-00006F0C0000}"/>
    <cellStyle name="메모 2 7" xfId="2945" xr:uid="{00000000-0005-0000-0000-0000700C0000}"/>
    <cellStyle name="메모 2 7 2" xfId="2946" xr:uid="{00000000-0005-0000-0000-0000710C0000}"/>
    <cellStyle name="메모 2 7 2 2" xfId="2947" xr:uid="{00000000-0005-0000-0000-0000720C0000}"/>
    <cellStyle name="메모 2 7 2 2 2" xfId="2948" xr:uid="{00000000-0005-0000-0000-0000730C0000}"/>
    <cellStyle name="메모 2 7 2 3" xfId="2949" xr:uid="{00000000-0005-0000-0000-0000740C0000}"/>
    <cellStyle name="메모 2 7 2 3 2" xfId="2950" xr:uid="{00000000-0005-0000-0000-0000750C0000}"/>
    <cellStyle name="메모 2 7 2 4" xfId="2951" xr:uid="{00000000-0005-0000-0000-0000760C0000}"/>
    <cellStyle name="메모 2 7 2 4 2" xfId="2952" xr:uid="{00000000-0005-0000-0000-0000770C0000}"/>
    <cellStyle name="메모 2 7 2 5" xfId="2953" xr:uid="{00000000-0005-0000-0000-0000780C0000}"/>
    <cellStyle name="메모 2 7 3" xfId="2954" xr:uid="{00000000-0005-0000-0000-0000790C0000}"/>
    <cellStyle name="메모 2 7 3 2" xfId="2955" xr:uid="{00000000-0005-0000-0000-00007A0C0000}"/>
    <cellStyle name="메모 2 7 3 2 2" xfId="2956" xr:uid="{00000000-0005-0000-0000-00007B0C0000}"/>
    <cellStyle name="메모 2 7 3 3" xfId="2957" xr:uid="{00000000-0005-0000-0000-00007C0C0000}"/>
    <cellStyle name="메모 2 7 3 3 2" xfId="2958" xr:uid="{00000000-0005-0000-0000-00007D0C0000}"/>
    <cellStyle name="메모 2 7 3 4" xfId="2959" xr:uid="{00000000-0005-0000-0000-00007E0C0000}"/>
    <cellStyle name="메모 2 7 3 4 2" xfId="2960" xr:uid="{00000000-0005-0000-0000-00007F0C0000}"/>
    <cellStyle name="메모 2 7 3 5" xfId="2961" xr:uid="{00000000-0005-0000-0000-0000800C0000}"/>
    <cellStyle name="메모 2 7 4" xfId="2962" xr:uid="{00000000-0005-0000-0000-0000810C0000}"/>
    <cellStyle name="메모 2 7 4 2" xfId="2963" xr:uid="{00000000-0005-0000-0000-0000820C0000}"/>
    <cellStyle name="메모 2 7 5" xfId="2964" xr:uid="{00000000-0005-0000-0000-0000830C0000}"/>
    <cellStyle name="메모 2 7 5 2" xfId="2965" xr:uid="{00000000-0005-0000-0000-0000840C0000}"/>
    <cellStyle name="메모 2 7 6" xfId="2966" xr:uid="{00000000-0005-0000-0000-0000850C0000}"/>
    <cellStyle name="메모 2 7 6 2" xfId="2967" xr:uid="{00000000-0005-0000-0000-0000860C0000}"/>
    <cellStyle name="메모 2 7 7" xfId="2968" xr:uid="{00000000-0005-0000-0000-0000870C0000}"/>
    <cellStyle name="메모 2 8" xfId="2969" xr:uid="{00000000-0005-0000-0000-0000880C0000}"/>
    <cellStyle name="메모 2 8 2" xfId="2970" xr:uid="{00000000-0005-0000-0000-0000890C0000}"/>
    <cellStyle name="메모 2 8 2 2" xfId="2971" xr:uid="{00000000-0005-0000-0000-00008A0C0000}"/>
    <cellStyle name="메모 2 8 3" xfId="2972" xr:uid="{00000000-0005-0000-0000-00008B0C0000}"/>
    <cellStyle name="메모 2 8 3 2" xfId="2973" xr:uid="{00000000-0005-0000-0000-00008C0C0000}"/>
    <cellStyle name="메모 2 8 4" xfId="2974" xr:uid="{00000000-0005-0000-0000-00008D0C0000}"/>
    <cellStyle name="메모 2 8 4 2" xfId="2975" xr:uid="{00000000-0005-0000-0000-00008E0C0000}"/>
    <cellStyle name="메모 2 8 5" xfId="2976" xr:uid="{00000000-0005-0000-0000-00008F0C0000}"/>
    <cellStyle name="메모 2 9" xfId="2977" xr:uid="{00000000-0005-0000-0000-0000900C0000}"/>
    <cellStyle name="메모 2 9 2" xfId="2978" xr:uid="{00000000-0005-0000-0000-0000910C0000}"/>
    <cellStyle name="메모 2 9 2 2" xfId="2979" xr:uid="{00000000-0005-0000-0000-0000920C0000}"/>
    <cellStyle name="메모 2 9 3" xfId="2980" xr:uid="{00000000-0005-0000-0000-0000930C0000}"/>
    <cellStyle name="메모 2 9 3 2" xfId="2981" xr:uid="{00000000-0005-0000-0000-0000940C0000}"/>
    <cellStyle name="메모 2 9 4" xfId="2982" xr:uid="{00000000-0005-0000-0000-0000950C0000}"/>
    <cellStyle name="메모 2 9 4 2" xfId="2983" xr:uid="{00000000-0005-0000-0000-0000960C0000}"/>
    <cellStyle name="메모 2 9 5" xfId="2984" xr:uid="{00000000-0005-0000-0000-0000970C0000}"/>
    <cellStyle name="메모 3" xfId="2985" xr:uid="{00000000-0005-0000-0000-0000980C0000}"/>
    <cellStyle name="메모 3 2" xfId="2986" xr:uid="{00000000-0005-0000-0000-0000990C0000}"/>
    <cellStyle name="메모 3 3" xfId="2987" xr:uid="{00000000-0005-0000-0000-00009A0C0000}"/>
    <cellStyle name="메모 3 4" xfId="2988" xr:uid="{00000000-0005-0000-0000-00009B0C0000}"/>
    <cellStyle name="메모 3 5" xfId="6926" xr:uid="{00000000-0005-0000-0000-00009C0C0000}"/>
    <cellStyle name="메모 3 5 2" xfId="9423" xr:uid="{00000000-0005-0000-0000-00009D0C0000}"/>
    <cellStyle name="메모 3 6" xfId="7741" xr:uid="{00000000-0005-0000-0000-00009E0C0000}"/>
    <cellStyle name="메모 3 7" xfId="8609" xr:uid="{00000000-0005-0000-0000-00009F0C0000}"/>
    <cellStyle name="메모 3 8" xfId="6051" xr:uid="{00000000-0005-0000-0000-0000A00C0000}"/>
    <cellStyle name="메모 4" xfId="2989" xr:uid="{00000000-0005-0000-0000-0000A10C0000}"/>
    <cellStyle name="메모 4 2" xfId="2990" xr:uid="{00000000-0005-0000-0000-0000A20C0000}"/>
    <cellStyle name="메모 4 3" xfId="6927" xr:uid="{00000000-0005-0000-0000-0000A30C0000}"/>
    <cellStyle name="메모 4 3 2" xfId="9436" xr:uid="{00000000-0005-0000-0000-0000A40C0000}"/>
    <cellStyle name="메모 4 4" xfId="7754" xr:uid="{00000000-0005-0000-0000-0000A50C0000}"/>
    <cellStyle name="메모 4 5" xfId="8610" xr:uid="{00000000-0005-0000-0000-0000A60C0000}"/>
    <cellStyle name="메모 4 6" xfId="6064" xr:uid="{00000000-0005-0000-0000-0000A70C0000}"/>
    <cellStyle name="메모 5" xfId="2991" xr:uid="{00000000-0005-0000-0000-0000A80C0000}"/>
    <cellStyle name="메모 6" xfId="2992" xr:uid="{00000000-0005-0000-0000-0000A90C0000}"/>
    <cellStyle name="메모 7" xfId="2993" xr:uid="{00000000-0005-0000-0000-0000AA0C0000}"/>
    <cellStyle name="메모 8" xfId="2994" xr:uid="{00000000-0005-0000-0000-0000AB0C0000}"/>
    <cellStyle name="메모 9" xfId="2995" xr:uid="{00000000-0005-0000-0000-0000AC0C0000}"/>
    <cellStyle name="믅됞 [0.00]_PRODUCT DETAIL Q1" xfId="2996" xr:uid="{00000000-0005-0000-0000-0000AD0C0000}"/>
    <cellStyle name="믅됞_PRODUCT DETAIL Q1" xfId="2997" xr:uid="{00000000-0005-0000-0000-0000AE0C0000}"/>
    <cellStyle name="백분율 2" xfId="2998" xr:uid="{00000000-0005-0000-0000-0000AF0C0000}"/>
    <cellStyle name="백분율 2 2" xfId="2999" xr:uid="{00000000-0005-0000-0000-0000B00C0000}"/>
    <cellStyle name="백분율 2 3" xfId="3000" xr:uid="{00000000-0005-0000-0000-0000B10C0000}"/>
    <cellStyle name="백분율 3" xfId="3001" xr:uid="{00000000-0005-0000-0000-0000B20C0000}"/>
    <cellStyle name="백분율 4" xfId="3002" xr:uid="{00000000-0005-0000-0000-0000B30C0000}"/>
    <cellStyle name="보통" xfId="8" builtinId="28" customBuiltin="1"/>
    <cellStyle name="보통 10" xfId="3003" xr:uid="{00000000-0005-0000-0000-0000B50C0000}"/>
    <cellStyle name="보통 11" xfId="3004" xr:uid="{00000000-0005-0000-0000-0000B60C0000}"/>
    <cellStyle name="보통 12" xfId="3005" xr:uid="{00000000-0005-0000-0000-0000B70C0000}"/>
    <cellStyle name="보통 13" xfId="3006" xr:uid="{00000000-0005-0000-0000-0000B80C0000}"/>
    <cellStyle name="보통 14" xfId="3007" xr:uid="{00000000-0005-0000-0000-0000B90C0000}"/>
    <cellStyle name="보통 2" xfId="3008" xr:uid="{00000000-0005-0000-0000-0000BA0C0000}"/>
    <cellStyle name="보통 2 2" xfId="3009" xr:uid="{00000000-0005-0000-0000-0000BB0C0000}"/>
    <cellStyle name="보통 2 2 2" xfId="3010" xr:uid="{00000000-0005-0000-0000-0000BC0C0000}"/>
    <cellStyle name="보통 2 3" xfId="3011" xr:uid="{00000000-0005-0000-0000-0000BD0C0000}"/>
    <cellStyle name="보통 3" xfId="3012" xr:uid="{00000000-0005-0000-0000-0000BE0C0000}"/>
    <cellStyle name="보통 4" xfId="3013" xr:uid="{00000000-0005-0000-0000-0000BF0C0000}"/>
    <cellStyle name="보통 5" xfId="3014" xr:uid="{00000000-0005-0000-0000-0000C00C0000}"/>
    <cellStyle name="보통 6" xfId="3015" xr:uid="{00000000-0005-0000-0000-0000C10C0000}"/>
    <cellStyle name="보통 7" xfId="3016" xr:uid="{00000000-0005-0000-0000-0000C20C0000}"/>
    <cellStyle name="보통 8" xfId="3017" xr:uid="{00000000-0005-0000-0000-0000C30C0000}"/>
    <cellStyle name="보통 9" xfId="3018" xr:uid="{00000000-0005-0000-0000-0000C40C0000}"/>
    <cellStyle name="뷭?_BOOKSHIP" xfId="3019" xr:uid="{00000000-0005-0000-0000-0000C50C0000}"/>
    <cellStyle name="常规 2" xfId="3020" xr:uid="{00000000-0005-0000-0000-0000C60C0000}"/>
    <cellStyle name="常规_Sheet1" xfId="3021" xr:uid="{00000000-0005-0000-0000-0000C70C0000}"/>
    <cellStyle name="설명 텍스트" xfId="16" builtinId="53" customBuiltin="1"/>
    <cellStyle name="설명 텍스트 10" xfId="3022" xr:uid="{00000000-0005-0000-0000-0000C90C0000}"/>
    <cellStyle name="설명 텍스트 11" xfId="3023" xr:uid="{00000000-0005-0000-0000-0000CA0C0000}"/>
    <cellStyle name="설명 텍스트 12" xfId="3024" xr:uid="{00000000-0005-0000-0000-0000CB0C0000}"/>
    <cellStyle name="설명 텍스트 13" xfId="3025" xr:uid="{00000000-0005-0000-0000-0000CC0C0000}"/>
    <cellStyle name="설명 텍스트 14" xfId="3026" xr:uid="{00000000-0005-0000-0000-0000CD0C0000}"/>
    <cellStyle name="설명 텍스트 2" xfId="3027" xr:uid="{00000000-0005-0000-0000-0000CE0C0000}"/>
    <cellStyle name="설명 텍스트 2 2" xfId="3028" xr:uid="{00000000-0005-0000-0000-0000CF0C0000}"/>
    <cellStyle name="설명 텍스트 2 2 2" xfId="3029" xr:uid="{00000000-0005-0000-0000-0000D00C0000}"/>
    <cellStyle name="설명 텍스트 2 3" xfId="3030" xr:uid="{00000000-0005-0000-0000-0000D10C0000}"/>
    <cellStyle name="설명 텍스트 3" xfId="3031" xr:uid="{00000000-0005-0000-0000-0000D20C0000}"/>
    <cellStyle name="설명 텍스트 4" xfId="3032" xr:uid="{00000000-0005-0000-0000-0000D30C0000}"/>
    <cellStyle name="설명 텍스트 5" xfId="3033" xr:uid="{00000000-0005-0000-0000-0000D40C0000}"/>
    <cellStyle name="설명 텍스트 6" xfId="3034" xr:uid="{00000000-0005-0000-0000-0000D50C0000}"/>
    <cellStyle name="설명 텍스트 7" xfId="3035" xr:uid="{00000000-0005-0000-0000-0000D60C0000}"/>
    <cellStyle name="설명 텍스트 8" xfId="3036" xr:uid="{00000000-0005-0000-0000-0000D70C0000}"/>
    <cellStyle name="설명 텍스트 9" xfId="3037" xr:uid="{00000000-0005-0000-0000-0000D80C0000}"/>
    <cellStyle name="셀 확인" xfId="13" builtinId="23" customBuiltin="1"/>
    <cellStyle name="셀 확인 10" xfId="3038" xr:uid="{00000000-0005-0000-0000-0000DA0C0000}"/>
    <cellStyle name="셀 확인 11" xfId="3039" xr:uid="{00000000-0005-0000-0000-0000DB0C0000}"/>
    <cellStyle name="셀 확인 12" xfId="3040" xr:uid="{00000000-0005-0000-0000-0000DC0C0000}"/>
    <cellStyle name="셀 확인 13" xfId="3041" xr:uid="{00000000-0005-0000-0000-0000DD0C0000}"/>
    <cellStyle name="셀 확인 14" xfId="3042" xr:uid="{00000000-0005-0000-0000-0000DE0C0000}"/>
    <cellStyle name="셀 확인 2" xfId="3043" xr:uid="{00000000-0005-0000-0000-0000DF0C0000}"/>
    <cellStyle name="셀 확인 2 2" xfId="3044" xr:uid="{00000000-0005-0000-0000-0000E00C0000}"/>
    <cellStyle name="셀 확인 2 2 2" xfId="3045" xr:uid="{00000000-0005-0000-0000-0000E10C0000}"/>
    <cellStyle name="셀 확인 2 3" xfId="3046" xr:uid="{00000000-0005-0000-0000-0000E20C0000}"/>
    <cellStyle name="셀 확인 2 4" xfId="3047" xr:uid="{00000000-0005-0000-0000-0000E30C0000}"/>
    <cellStyle name="셀 확인 3" xfId="3048" xr:uid="{00000000-0005-0000-0000-0000E40C0000}"/>
    <cellStyle name="셀 확인 4" xfId="3049" xr:uid="{00000000-0005-0000-0000-0000E50C0000}"/>
    <cellStyle name="셀 확인 5" xfId="3050" xr:uid="{00000000-0005-0000-0000-0000E60C0000}"/>
    <cellStyle name="셀 확인 6" xfId="3051" xr:uid="{00000000-0005-0000-0000-0000E70C0000}"/>
    <cellStyle name="셀 확인 7" xfId="3052" xr:uid="{00000000-0005-0000-0000-0000E80C0000}"/>
    <cellStyle name="셀 확인 8" xfId="3053" xr:uid="{00000000-0005-0000-0000-0000E90C0000}"/>
    <cellStyle name="셀 확인 9" xfId="3054" xr:uid="{00000000-0005-0000-0000-0000EA0C0000}"/>
    <cellStyle name="숫자(R)" xfId="3055" xr:uid="{00000000-0005-0000-0000-0000EB0C0000}"/>
    <cellStyle name="쉼표 [0] 14" xfId="3056" xr:uid="{00000000-0005-0000-0000-0000EC0C0000}"/>
    <cellStyle name="쉼표 [0] 2" xfId="3057" xr:uid="{00000000-0005-0000-0000-0000ED0C0000}"/>
    <cellStyle name="쉼표 [0] 2 2" xfId="3058" xr:uid="{00000000-0005-0000-0000-0000EE0C0000}"/>
    <cellStyle name="쉼표 [0] 2 2 10" xfId="3059" xr:uid="{00000000-0005-0000-0000-0000EF0C0000}"/>
    <cellStyle name="쉼표 [0] 2 2 11" xfId="3060" xr:uid="{00000000-0005-0000-0000-0000F00C0000}"/>
    <cellStyle name="쉼표 [0] 2 2 12" xfId="3061" xr:uid="{00000000-0005-0000-0000-0000F10C0000}"/>
    <cellStyle name="쉼표 [0] 2 2 13" xfId="3062" xr:uid="{00000000-0005-0000-0000-0000F20C0000}"/>
    <cellStyle name="쉼표 [0] 2 2 14" xfId="3063" xr:uid="{00000000-0005-0000-0000-0000F30C0000}"/>
    <cellStyle name="쉼표 [0] 2 2 15" xfId="3064" xr:uid="{00000000-0005-0000-0000-0000F40C0000}"/>
    <cellStyle name="쉼표 [0] 2 2 16" xfId="3065" xr:uid="{00000000-0005-0000-0000-0000F50C0000}"/>
    <cellStyle name="쉼표 [0] 2 2 17" xfId="3066" xr:uid="{00000000-0005-0000-0000-0000F60C0000}"/>
    <cellStyle name="쉼표 [0] 2 2 18" xfId="3067" xr:uid="{00000000-0005-0000-0000-0000F70C0000}"/>
    <cellStyle name="쉼표 [0] 2 2 19" xfId="3068" xr:uid="{00000000-0005-0000-0000-0000F80C0000}"/>
    <cellStyle name="쉼표 [0] 2 2 2" xfId="3069" xr:uid="{00000000-0005-0000-0000-0000F90C0000}"/>
    <cellStyle name="쉼표 [0] 2 2 2 10" xfId="3070" xr:uid="{00000000-0005-0000-0000-0000FA0C0000}"/>
    <cellStyle name="쉼표 [0] 2 2 2 11" xfId="3071" xr:uid="{00000000-0005-0000-0000-0000FB0C0000}"/>
    <cellStyle name="쉼표 [0] 2 2 2 12" xfId="3072" xr:uid="{00000000-0005-0000-0000-0000FC0C0000}"/>
    <cellStyle name="쉼표 [0] 2 2 2 13" xfId="3073" xr:uid="{00000000-0005-0000-0000-0000FD0C0000}"/>
    <cellStyle name="쉼표 [0] 2 2 2 14" xfId="3074" xr:uid="{00000000-0005-0000-0000-0000FE0C0000}"/>
    <cellStyle name="쉼표 [0] 2 2 2 15" xfId="3075" xr:uid="{00000000-0005-0000-0000-0000FF0C0000}"/>
    <cellStyle name="쉼표 [0] 2 2 2 16" xfId="3076" xr:uid="{00000000-0005-0000-0000-0000000D0000}"/>
    <cellStyle name="쉼표 [0] 2 2 2 17" xfId="3077" xr:uid="{00000000-0005-0000-0000-0000010D0000}"/>
    <cellStyle name="쉼표 [0] 2 2 2 2" xfId="3078" xr:uid="{00000000-0005-0000-0000-0000020D0000}"/>
    <cellStyle name="쉼표 [0] 2 2 2 2 2" xfId="3079" xr:uid="{00000000-0005-0000-0000-0000030D0000}"/>
    <cellStyle name="쉼표 [0] 2 2 2 3" xfId="3080" xr:uid="{00000000-0005-0000-0000-0000040D0000}"/>
    <cellStyle name="쉼표 [0] 2 2 2 4" xfId="3081" xr:uid="{00000000-0005-0000-0000-0000050D0000}"/>
    <cellStyle name="쉼표 [0] 2 2 2 5" xfId="3082" xr:uid="{00000000-0005-0000-0000-0000060D0000}"/>
    <cellStyle name="쉼표 [0] 2 2 2 6" xfId="3083" xr:uid="{00000000-0005-0000-0000-0000070D0000}"/>
    <cellStyle name="쉼표 [0] 2 2 2 7" xfId="3084" xr:uid="{00000000-0005-0000-0000-0000080D0000}"/>
    <cellStyle name="쉼표 [0] 2 2 2 8" xfId="3085" xr:uid="{00000000-0005-0000-0000-0000090D0000}"/>
    <cellStyle name="쉼표 [0] 2 2 2 9" xfId="3086" xr:uid="{00000000-0005-0000-0000-00000A0D0000}"/>
    <cellStyle name="쉼표 [0] 2 2 20" xfId="3087" xr:uid="{00000000-0005-0000-0000-00000B0D0000}"/>
    <cellStyle name="쉼표 [0] 2 2 3" xfId="3088" xr:uid="{00000000-0005-0000-0000-00000C0D0000}"/>
    <cellStyle name="쉼표 [0] 2 2 3 2" xfId="3089" xr:uid="{00000000-0005-0000-0000-00000D0D0000}"/>
    <cellStyle name="쉼표 [0] 2 2 4" xfId="3090" xr:uid="{00000000-0005-0000-0000-00000E0D0000}"/>
    <cellStyle name="쉼표 [0] 2 2 5" xfId="3091" xr:uid="{00000000-0005-0000-0000-00000F0D0000}"/>
    <cellStyle name="쉼표 [0] 2 2 6" xfId="3092" xr:uid="{00000000-0005-0000-0000-0000100D0000}"/>
    <cellStyle name="쉼표 [0] 2 2 7" xfId="3093" xr:uid="{00000000-0005-0000-0000-0000110D0000}"/>
    <cellStyle name="쉼표 [0] 2 2 8" xfId="3094" xr:uid="{00000000-0005-0000-0000-0000120D0000}"/>
    <cellStyle name="쉼표 [0] 2 2 9" xfId="3095" xr:uid="{00000000-0005-0000-0000-0000130D0000}"/>
    <cellStyle name="쉼표 [0] 2 3" xfId="3096" xr:uid="{00000000-0005-0000-0000-0000140D0000}"/>
    <cellStyle name="쉼표 [0] 2 3 10" xfId="3097" xr:uid="{00000000-0005-0000-0000-0000150D0000}"/>
    <cellStyle name="쉼표 [0] 2 3 11" xfId="3098" xr:uid="{00000000-0005-0000-0000-0000160D0000}"/>
    <cellStyle name="쉼표 [0] 2 3 12" xfId="3099" xr:uid="{00000000-0005-0000-0000-0000170D0000}"/>
    <cellStyle name="쉼표 [0] 2 3 13" xfId="3100" xr:uid="{00000000-0005-0000-0000-0000180D0000}"/>
    <cellStyle name="쉼표 [0] 2 3 14" xfId="3101" xr:uid="{00000000-0005-0000-0000-0000190D0000}"/>
    <cellStyle name="쉼표 [0] 2 3 15" xfId="3102" xr:uid="{00000000-0005-0000-0000-00001A0D0000}"/>
    <cellStyle name="쉼표 [0] 2 3 16" xfId="3103" xr:uid="{00000000-0005-0000-0000-00001B0D0000}"/>
    <cellStyle name="쉼표 [0] 2 3 17" xfId="3104" xr:uid="{00000000-0005-0000-0000-00001C0D0000}"/>
    <cellStyle name="쉼표 [0] 2 3 18" xfId="3105" xr:uid="{00000000-0005-0000-0000-00001D0D0000}"/>
    <cellStyle name="쉼표 [0] 2 3 2" xfId="3106" xr:uid="{00000000-0005-0000-0000-00001E0D0000}"/>
    <cellStyle name="쉼표 [0] 2 3 2 10" xfId="3107" xr:uid="{00000000-0005-0000-0000-00001F0D0000}"/>
    <cellStyle name="쉼표 [0] 2 3 2 11" xfId="3108" xr:uid="{00000000-0005-0000-0000-0000200D0000}"/>
    <cellStyle name="쉼표 [0] 2 3 2 12" xfId="3109" xr:uid="{00000000-0005-0000-0000-0000210D0000}"/>
    <cellStyle name="쉼표 [0] 2 3 2 13" xfId="3110" xr:uid="{00000000-0005-0000-0000-0000220D0000}"/>
    <cellStyle name="쉼표 [0] 2 3 2 14" xfId="3111" xr:uid="{00000000-0005-0000-0000-0000230D0000}"/>
    <cellStyle name="쉼표 [0] 2 3 2 15" xfId="3112" xr:uid="{00000000-0005-0000-0000-0000240D0000}"/>
    <cellStyle name="쉼표 [0] 2 3 2 16" xfId="3113" xr:uid="{00000000-0005-0000-0000-0000250D0000}"/>
    <cellStyle name="쉼표 [0] 2 3 2 17" xfId="3114" xr:uid="{00000000-0005-0000-0000-0000260D0000}"/>
    <cellStyle name="쉼표 [0] 2 3 2 2" xfId="3115" xr:uid="{00000000-0005-0000-0000-0000270D0000}"/>
    <cellStyle name="쉼표 [0] 2 3 2 2 2" xfId="3116" xr:uid="{00000000-0005-0000-0000-0000280D0000}"/>
    <cellStyle name="쉼표 [0] 2 3 2 3" xfId="3117" xr:uid="{00000000-0005-0000-0000-0000290D0000}"/>
    <cellStyle name="쉼표 [0] 2 3 2 4" xfId="3118" xr:uid="{00000000-0005-0000-0000-00002A0D0000}"/>
    <cellStyle name="쉼표 [0] 2 3 2 5" xfId="3119" xr:uid="{00000000-0005-0000-0000-00002B0D0000}"/>
    <cellStyle name="쉼표 [0] 2 3 2 6" xfId="3120" xr:uid="{00000000-0005-0000-0000-00002C0D0000}"/>
    <cellStyle name="쉼표 [0] 2 3 2 7" xfId="3121" xr:uid="{00000000-0005-0000-0000-00002D0D0000}"/>
    <cellStyle name="쉼표 [0] 2 3 2 8" xfId="3122" xr:uid="{00000000-0005-0000-0000-00002E0D0000}"/>
    <cellStyle name="쉼표 [0] 2 3 2 9" xfId="3123" xr:uid="{00000000-0005-0000-0000-00002F0D0000}"/>
    <cellStyle name="쉼표 [0] 2 3 3" xfId="3124" xr:uid="{00000000-0005-0000-0000-0000300D0000}"/>
    <cellStyle name="쉼표 [0] 2 3 3 2" xfId="3125" xr:uid="{00000000-0005-0000-0000-0000310D0000}"/>
    <cellStyle name="쉼표 [0] 2 3 4" xfId="3126" xr:uid="{00000000-0005-0000-0000-0000320D0000}"/>
    <cellStyle name="쉼표 [0] 2 3 5" xfId="3127" xr:uid="{00000000-0005-0000-0000-0000330D0000}"/>
    <cellStyle name="쉼표 [0] 2 3 6" xfId="3128" xr:uid="{00000000-0005-0000-0000-0000340D0000}"/>
    <cellStyle name="쉼표 [0] 2 3 7" xfId="3129" xr:uid="{00000000-0005-0000-0000-0000350D0000}"/>
    <cellStyle name="쉼표 [0] 2 3 8" xfId="3130" xr:uid="{00000000-0005-0000-0000-0000360D0000}"/>
    <cellStyle name="쉼표 [0] 2 3 9" xfId="3131" xr:uid="{00000000-0005-0000-0000-0000370D0000}"/>
    <cellStyle name="쉼표 [0] 2 4" xfId="3132" xr:uid="{00000000-0005-0000-0000-0000380D0000}"/>
    <cellStyle name="쉼표 [0] 2 5" xfId="3133" xr:uid="{00000000-0005-0000-0000-0000390D0000}"/>
    <cellStyle name="쉼표 [0] 2 6" xfId="3134" xr:uid="{00000000-0005-0000-0000-00003A0D0000}"/>
    <cellStyle name="쉼표 [0] 2 7" xfId="3135" xr:uid="{00000000-0005-0000-0000-00003B0D0000}"/>
    <cellStyle name="쉼표 [0] 3" xfId="3136" xr:uid="{00000000-0005-0000-0000-00003C0D0000}"/>
    <cellStyle name="쉼표 [0] 3 10" xfId="3137" xr:uid="{00000000-0005-0000-0000-00003D0D0000}"/>
    <cellStyle name="쉼표 [0] 3 11" xfId="3138" xr:uid="{00000000-0005-0000-0000-00003E0D0000}"/>
    <cellStyle name="쉼표 [0] 3 12" xfId="3139" xr:uid="{00000000-0005-0000-0000-00003F0D0000}"/>
    <cellStyle name="쉼표 [0] 3 13" xfId="3140" xr:uid="{00000000-0005-0000-0000-0000400D0000}"/>
    <cellStyle name="쉼표 [0] 3 14" xfId="3141" xr:uid="{00000000-0005-0000-0000-0000410D0000}"/>
    <cellStyle name="쉼표 [0] 3 15" xfId="3142" xr:uid="{00000000-0005-0000-0000-0000420D0000}"/>
    <cellStyle name="쉼표 [0] 3 16" xfId="3143" xr:uid="{00000000-0005-0000-0000-0000430D0000}"/>
    <cellStyle name="쉼표 [0] 3 17" xfId="3144" xr:uid="{00000000-0005-0000-0000-0000440D0000}"/>
    <cellStyle name="쉼표 [0] 3 18" xfId="3145" xr:uid="{00000000-0005-0000-0000-0000450D0000}"/>
    <cellStyle name="쉼표 [0] 3 19" xfId="3146" xr:uid="{00000000-0005-0000-0000-0000460D0000}"/>
    <cellStyle name="쉼표 [0] 3 2" xfId="3147" xr:uid="{00000000-0005-0000-0000-0000470D0000}"/>
    <cellStyle name="쉼표 [0] 3 2 10" xfId="3148" xr:uid="{00000000-0005-0000-0000-0000480D0000}"/>
    <cellStyle name="쉼표 [0] 3 2 11" xfId="3149" xr:uid="{00000000-0005-0000-0000-0000490D0000}"/>
    <cellStyle name="쉼표 [0] 3 2 12" xfId="3150" xr:uid="{00000000-0005-0000-0000-00004A0D0000}"/>
    <cellStyle name="쉼표 [0] 3 2 13" xfId="3151" xr:uid="{00000000-0005-0000-0000-00004B0D0000}"/>
    <cellStyle name="쉼표 [0] 3 2 14" xfId="3152" xr:uid="{00000000-0005-0000-0000-00004C0D0000}"/>
    <cellStyle name="쉼표 [0] 3 2 15" xfId="3153" xr:uid="{00000000-0005-0000-0000-00004D0D0000}"/>
    <cellStyle name="쉼표 [0] 3 2 16" xfId="3154" xr:uid="{00000000-0005-0000-0000-00004E0D0000}"/>
    <cellStyle name="쉼표 [0] 3 2 17" xfId="3155" xr:uid="{00000000-0005-0000-0000-00004F0D0000}"/>
    <cellStyle name="쉼표 [0] 3 2 18" xfId="3156" xr:uid="{00000000-0005-0000-0000-0000500D0000}"/>
    <cellStyle name="쉼표 [0] 3 2 18 2" xfId="6928" xr:uid="{00000000-0005-0000-0000-0000510D0000}"/>
    <cellStyle name="쉼표 [0] 3 2 18 2 2" xfId="9450" xr:uid="{00000000-0005-0000-0000-0000520D0000}"/>
    <cellStyle name="쉼표 [0] 3 2 18 3" xfId="7768" xr:uid="{00000000-0005-0000-0000-0000530D0000}"/>
    <cellStyle name="쉼표 [0] 3 2 18 4" xfId="8611" xr:uid="{00000000-0005-0000-0000-0000540D0000}"/>
    <cellStyle name="쉼표 [0] 3 2 18 5" xfId="6080" xr:uid="{00000000-0005-0000-0000-0000550D0000}"/>
    <cellStyle name="쉼표 [0] 3 2 19" xfId="3157" xr:uid="{00000000-0005-0000-0000-0000560D0000}"/>
    <cellStyle name="쉼표 [0] 3 2 2" xfId="3158" xr:uid="{00000000-0005-0000-0000-0000570D0000}"/>
    <cellStyle name="쉼표 [0] 3 2 2 2" xfId="3159" xr:uid="{00000000-0005-0000-0000-0000580D0000}"/>
    <cellStyle name="쉼표 [0] 3 2 3" xfId="3160" xr:uid="{00000000-0005-0000-0000-0000590D0000}"/>
    <cellStyle name="쉼표 [0] 3 2 4" xfId="3161" xr:uid="{00000000-0005-0000-0000-00005A0D0000}"/>
    <cellStyle name="쉼표 [0] 3 2 5" xfId="3162" xr:uid="{00000000-0005-0000-0000-00005B0D0000}"/>
    <cellStyle name="쉼표 [0] 3 2 6" xfId="3163" xr:uid="{00000000-0005-0000-0000-00005C0D0000}"/>
    <cellStyle name="쉼표 [0] 3 2 7" xfId="3164" xr:uid="{00000000-0005-0000-0000-00005D0D0000}"/>
    <cellStyle name="쉼표 [0] 3 2 8" xfId="3165" xr:uid="{00000000-0005-0000-0000-00005E0D0000}"/>
    <cellStyle name="쉼표 [0] 3 2 9" xfId="3166" xr:uid="{00000000-0005-0000-0000-00005F0D0000}"/>
    <cellStyle name="쉼표 [0] 3 20" xfId="3167" xr:uid="{00000000-0005-0000-0000-0000600D0000}"/>
    <cellStyle name="쉼표 [0] 3 21" xfId="3168" xr:uid="{00000000-0005-0000-0000-0000610D0000}"/>
    <cellStyle name="쉼표 [0] 3 3" xfId="3169" xr:uid="{00000000-0005-0000-0000-0000620D0000}"/>
    <cellStyle name="쉼표 [0] 3 3 2" xfId="3170" xr:uid="{00000000-0005-0000-0000-0000630D0000}"/>
    <cellStyle name="쉼표 [0] 3 4" xfId="3171" xr:uid="{00000000-0005-0000-0000-0000640D0000}"/>
    <cellStyle name="쉼표 [0] 3 5" xfId="3172" xr:uid="{00000000-0005-0000-0000-0000650D0000}"/>
    <cellStyle name="쉼표 [0] 3 6" xfId="3173" xr:uid="{00000000-0005-0000-0000-0000660D0000}"/>
    <cellStyle name="쉼표 [0] 3 7" xfId="3174" xr:uid="{00000000-0005-0000-0000-0000670D0000}"/>
    <cellStyle name="쉼표 [0] 3 8" xfId="3175" xr:uid="{00000000-0005-0000-0000-0000680D0000}"/>
    <cellStyle name="쉼표 [0] 3 9" xfId="3176" xr:uid="{00000000-0005-0000-0000-0000690D0000}"/>
    <cellStyle name="쉼표 [0] 4" xfId="3177" xr:uid="{00000000-0005-0000-0000-00006A0D0000}"/>
    <cellStyle name="쉼표 [0] 4 2" xfId="3178" xr:uid="{00000000-0005-0000-0000-00006B0D0000}"/>
    <cellStyle name="쉼표 [0] 4 2 2" xfId="6929" xr:uid="{00000000-0005-0000-0000-00006C0D0000}"/>
    <cellStyle name="쉼표 [0] 4 2 2 2" xfId="9451" xr:uid="{00000000-0005-0000-0000-00006D0D0000}"/>
    <cellStyle name="쉼표 [0] 4 2 3" xfId="7769" xr:uid="{00000000-0005-0000-0000-00006E0D0000}"/>
    <cellStyle name="쉼표 [0] 4 2 4" xfId="8612" xr:uid="{00000000-0005-0000-0000-00006F0D0000}"/>
    <cellStyle name="쉼표 [0] 4 2 5" xfId="6081" xr:uid="{00000000-0005-0000-0000-0000700D0000}"/>
    <cellStyle name="쉼표 [0] 5" xfId="3179" xr:uid="{00000000-0005-0000-0000-0000710D0000}"/>
    <cellStyle name="쉼표 [0] 6" xfId="3180" xr:uid="{00000000-0005-0000-0000-0000720D0000}"/>
    <cellStyle name="쉼표 [0] 6 2" xfId="6930" xr:uid="{00000000-0005-0000-0000-0000730D0000}"/>
    <cellStyle name="쉼표 [0] 6 2 2" xfId="9452" xr:uid="{00000000-0005-0000-0000-0000740D0000}"/>
    <cellStyle name="쉼표 [0] 6 3" xfId="7770" xr:uid="{00000000-0005-0000-0000-0000750D0000}"/>
    <cellStyle name="쉼표 [0] 6 4" xfId="8613" xr:uid="{00000000-0005-0000-0000-0000760D0000}"/>
    <cellStyle name="쉼표 [0] 6 5" xfId="6082" xr:uid="{00000000-0005-0000-0000-0000770D0000}"/>
    <cellStyle name="스타일 1" xfId="3181" xr:uid="{00000000-0005-0000-0000-0000780D0000}"/>
    <cellStyle name="스타일 2" xfId="3182" xr:uid="{00000000-0005-0000-0000-0000790D0000}"/>
    <cellStyle name="스타일 3" xfId="3183" xr:uid="{00000000-0005-0000-0000-00007A0D0000}"/>
    <cellStyle name="스타일 4" xfId="3184" xr:uid="{00000000-0005-0000-0000-00007B0D0000}"/>
    <cellStyle name="스타일 5" xfId="3185" xr:uid="{00000000-0005-0000-0000-00007C0D0000}"/>
    <cellStyle name="스타일 6" xfId="3186" xr:uid="{00000000-0005-0000-0000-00007D0D0000}"/>
    <cellStyle name="스타일 7" xfId="3187" xr:uid="{00000000-0005-0000-0000-00007E0D0000}"/>
    <cellStyle name="스타일 8" xfId="3188" xr:uid="{00000000-0005-0000-0000-00007F0D0000}"/>
    <cellStyle name="스타일 9" xfId="3189" xr:uid="{00000000-0005-0000-0000-0000800D0000}"/>
    <cellStyle name="신규채택" xfId="3190" xr:uid="{00000000-0005-0000-0000-0000810D0000}"/>
    <cellStyle name="신규채택(2012)" xfId="3191" xr:uid="{00000000-0005-0000-0000-0000820D0000}"/>
    <cellStyle name="신규채택(신)" xfId="3192" xr:uid="{00000000-0005-0000-0000-0000830D0000}"/>
    <cellStyle name="엔화" xfId="3193" xr:uid="{00000000-0005-0000-0000-0000840D0000}"/>
    <cellStyle name="연결된 셀" xfId="12" builtinId="24" customBuiltin="1"/>
    <cellStyle name="연결된 셀 10" xfId="3194" xr:uid="{00000000-0005-0000-0000-0000860D0000}"/>
    <cellStyle name="연결된 셀 11" xfId="3195" xr:uid="{00000000-0005-0000-0000-0000870D0000}"/>
    <cellStyle name="연결된 셀 12" xfId="3196" xr:uid="{00000000-0005-0000-0000-0000880D0000}"/>
    <cellStyle name="연결된 셀 13" xfId="3197" xr:uid="{00000000-0005-0000-0000-0000890D0000}"/>
    <cellStyle name="연결된 셀 14" xfId="3198" xr:uid="{00000000-0005-0000-0000-00008A0D0000}"/>
    <cellStyle name="연결된 셀 2" xfId="3199" xr:uid="{00000000-0005-0000-0000-00008B0D0000}"/>
    <cellStyle name="연결된 셀 2 2" xfId="3200" xr:uid="{00000000-0005-0000-0000-00008C0D0000}"/>
    <cellStyle name="연결된 셀 2 2 2" xfId="3201" xr:uid="{00000000-0005-0000-0000-00008D0D0000}"/>
    <cellStyle name="연결된 셀 2 3" xfId="3202" xr:uid="{00000000-0005-0000-0000-00008E0D0000}"/>
    <cellStyle name="연결된 셀 2 4" xfId="3203" xr:uid="{00000000-0005-0000-0000-00008F0D0000}"/>
    <cellStyle name="연결된 셀 3" xfId="3204" xr:uid="{00000000-0005-0000-0000-0000900D0000}"/>
    <cellStyle name="연결된 셀 4" xfId="3205" xr:uid="{00000000-0005-0000-0000-0000910D0000}"/>
    <cellStyle name="연결된 셀 5" xfId="3206" xr:uid="{00000000-0005-0000-0000-0000920D0000}"/>
    <cellStyle name="연결된 셀 6" xfId="3207" xr:uid="{00000000-0005-0000-0000-0000930D0000}"/>
    <cellStyle name="연결된 셀 7" xfId="3208" xr:uid="{00000000-0005-0000-0000-0000940D0000}"/>
    <cellStyle name="연결된 셀 8" xfId="3209" xr:uid="{00000000-0005-0000-0000-0000950D0000}"/>
    <cellStyle name="연결된 셀 9" xfId="3210" xr:uid="{00000000-0005-0000-0000-0000960D0000}"/>
    <cellStyle name="오늘직납&amp;인수" xfId="3211" xr:uid="{00000000-0005-0000-0000-0000970D0000}"/>
    <cellStyle name="오늘직납&amp;인수 2" xfId="3212" xr:uid="{00000000-0005-0000-0000-0000980D0000}"/>
    <cellStyle name="오늘직납&amp;인수 3" xfId="3213" xr:uid="{00000000-0005-0000-0000-0000990D0000}"/>
    <cellStyle name="오늘직납&amp;인수 8" xfId="3214" xr:uid="{00000000-0005-0000-0000-00009A0D0000}"/>
    <cellStyle name="오늘출고" xfId="3215" xr:uid="{00000000-0005-0000-0000-00009B0D0000}"/>
    <cellStyle name="오늘출고 2" xfId="3216" xr:uid="{00000000-0005-0000-0000-00009C0D0000}"/>
    <cellStyle name="요약" xfId="17" builtinId="25" customBuiltin="1"/>
    <cellStyle name="요약 10" xfId="3217" xr:uid="{00000000-0005-0000-0000-00009E0D0000}"/>
    <cellStyle name="요약 11" xfId="3218" xr:uid="{00000000-0005-0000-0000-00009F0D0000}"/>
    <cellStyle name="요약 12" xfId="3219" xr:uid="{00000000-0005-0000-0000-0000A00D0000}"/>
    <cellStyle name="요약 13" xfId="3220" xr:uid="{00000000-0005-0000-0000-0000A10D0000}"/>
    <cellStyle name="요약 14" xfId="3221" xr:uid="{00000000-0005-0000-0000-0000A20D0000}"/>
    <cellStyle name="요약 2" xfId="3222" xr:uid="{00000000-0005-0000-0000-0000A30D0000}"/>
    <cellStyle name="요약 2 10" xfId="3223" xr:uid="{00000000-0005-0000-0000-0000A40D0000}"/>
    <cellStyle name="요약 2 10 2" xfId="3224" xr:uid="{00000000-0005-0000-0000-0000A50D0000}"/>
    <cellStyle name="요약 2 11" xfId="3225" xr:uid="{00000000-0005-0000-0000-0000A60D0000}"/>
    <cellStyle name="요약 2 2" xfId="3226" xr:uid="{00000000-0005-0000-0000-0000A70D0000}"/>
    <cellStyle name="요약 2 2 10" xfId="3227" xr:uid="{00000000-0005-0000-0000-0000A80D0000}"/>
    <cellStyle name="요약 2 2 2" xfId="3228" xr:uid="{00000000-0005-0000-0000-0000A90D0000}"/>
    <cellStyle name="요약 2 2 2 2" xfId="3229" xr:uid="{00000000-0005-0000-0000-0000AA0D0000}"/>
    <cellStyle name="요약 2 2 2 2 2" xfId="3230" xr:uid="{00000000-0005-0000-0000-0000AB0D0000}"/>
    <cellStyle name="요약 2 2 2 2 2 2" xfId="3231" xr:uid="{00000000-0005-0000-0000-0000AC0D0000}"/>
    <cellStyle name="요약 2 2 2 2 2 2 2" xfId="3232" xr:uid="{00000000-0005-0000-0000-0000AD0D0000}"/>
    <cellStyle name="요약 2 2 2 2 2 2 2 2" xfId="3233" xr:uid="{00000000-0005-0000-0000-0000AE0D0000}"/>
    <cellStyle name="요약 2 2 2 2 2 2 3" xfId="3234" xr:uid="{00000000-0005-0000-0000-0000AF0D0000}"/>
    <cellStyle name="요약 2 2 2 2 2 2 3 2" xfId="3235" xr:uid="{00000000-0005-0000-0000-0000B00D0000}"/>
    <cellStyle name="요약 2 2 2 2 2 2 4" xfId="3236" xr:uid="{00000000-0005-0000-0000-0000B10D0000}"/>
    <cellStyle name="요약 2 2 2 2 2 3" xfId="3237" xr:uid="{00000000-0005-0000-0000-0000B20D0000}"/>
    <cellStyle name="요약 2 2 2 2 2 3 2" xfId="3238" xr:uid="{00000000-0005-0000-0000-0000B30D0000}"/>
    <cellStyle name="요약 2 2 2 2 2 3 2 2" xfId="3239" xr:uid="{00000000-0005-0000-0000-0000B40D0000}"/>
    <cellStyle name="요약 2 2 2 2 2 3 3" xfId="3240" xr:uid="{00000000-0005-0000-0000-0000B50D0000}"/>
    <cellStyle name="요약 2 2 2 2 2 3 3 2" xfId="3241" xr:uid="{00000000-0005-0000-0000-0000B60D0000}"/>
    <cellStyle name="요약 2 2 2 2 2 3 4" xfId="3242" xr:uid="{00000000-0005-0000-0000-0000B70D0000}"/>
    <cellStyle name="요약 2 2 2 2 2 4" xfId="3243" xr:uid="{00000000-0005-0000-0000-0000B80D0000}"/>
    <cellStyle name="요약 2 2 2 2 2 4 2" xfId="3244" xr:uid="{00000000-0005-0000-0000-0000B90D0000}"/>
    <cellStyle name="요약 2 2 2 2 2 5" xfId="3245" xr:uid="{00000000-0005-0000-0000-0000BA0D0000}"/>
    <cellStyle name="요약 2 2 2 2 2 5 2" xfId="3246" xr:uid="{00000000-0005-0000-0000-0000BB0D0000}"/>
    <cellStyle name="요약 2 2 2 2 2 6" xfId="3247" xr:uid="{00000000-0005-0000-0000-0000BC0D0000}"/>
    <cellStyle name="요약 2 2 2 2 3" xfId="3248" xr:uid="{00000000-0005-0000-0000-0000BD0D0000}"/>
    <cellStyle name="요약 2 2 2 2 3 2" xfId="3249" xr:uid="{00000000-0005-0000-0000-0000BE0D0000}"/>
    <cellStyle name="요약 2 2 2 2 3 2 2" xfId="3250" xr:uid="{00000000-0005-0000-0000-0000BF0D0000}"/>
    <cellStyle name="요약 2 2 2 2 3 3" xfId="3251" xr:uid="{00000000-0005-0000-0000-0000C00D0000}"/>
    <cellStyle name="요약 2 2 2 2 3 3 2" xfId="3252" xr:uid="{00000000-0005-0000-0000-0000C10D0000}"/>
    <cellStyle name="요약 2 2 2 2 3 4" xfId="3253" xr:uid="{00000000-0005-0000-0000-0000C20D0000}"/>
    <cellStyle name="요약 2 2 2 2 4" xfId="3254" xr:uid="{00000000-0005-0000-0000-0000C30D0000}"/>
    <cellStyle name="요약 2 2 2 2 4 2" xfId="3255" xr:uid="{00000000-0005-0000-0000-0000C40D0000}"/>
    <cellStyle name="요약 2 2 2 2 4 2 2" xfId="3256" xr:uid="{00000000-0005-0000-0000-0000C50D0000}"/>
    <cellStyle name="요약 2 2 2 2 4 3" xfId="3257" xr:uid="{00000000-0005-0000-0000-0000C60D0000}"/>
    <cellStyle name="요약 2 2 2 2 4 3 2" xfId="3258" xr:uid="{00000000-0005-0000-0000-0000C70D0000}"/>
    <cellStyle name="요약 2 2 2 2 4 4" xfId="3259" xr:uid="{00000000-0005-0000-0000-0000C80D0000}"/>
    <cellStyle name="요약 2 2 2 2 5" xfId="3260" xr:uid="{00000000-0005-0000-0000-0000C90D0000}"/>
    <cellStyle name="요약 2 2 2 2 5 2" xfId="3261" xr:uid="{00000000-0005-0000-0000-0000CA0D0000}"/>
    <cellStyle name="요약 2 2 2 2 6" xfId="3262" xr:uid="{00000000-0005-0000-0000-0000CB0D0000}"/>
    <cellStyle name="요약 2 2 2 2 6 2" xfId="3263" xr:uid="{00000000-0005-0000-0000-0000CC0D0000}"/>
    <cellStyle name="요약 2 2 2 2 7" xfId="3264" xr:uid="{00000000-0005-0000-0000-0000CD0D0000}"/>
    <cellStyle name="요약 2 2 2 3" xfId="3265" xr:uid="{00000000-0005-0000-0000-0000CE0D0000}"/>
    <cellStyle name="요약 2 2 2 3 2" xfId="3266" xr:uid="{00000000-0005-0000-0000-0000CF0D0000}"/>
    <cellStyle name="요약 2 2 2 3 2 2" xfId="3267" xr:uid="{00000000-0005-0000-0000-0000D00D0000}"/>
    <cellStyle name="요약 2 2 2 3 2 2 2" xfId="3268" xr:uid="{00000000-0005-0000-0000-0000D10D0000}"/>
    <cellStyle name="요약 2 2 2 3 2 3" xfId="3269" xr:uid="{00000000-0005-0000-0000-0000D20D0000}"/>
    <cellStyle name="요약 2 2 2 3 2 3 2" xfId="3270" xr:uid="{00000000-0005-0000-0000-0000D30D0000}"/>
    <cellStyle name="요약 2 2 2 3 2 4" xfId="3271" xr:uid="{00000000-0005-0000-0000-0000D40D0000}"/>
    <cellStyle name="요약 2 2 2 3 3" xfId="3272" xr:uid="{00000000-0005-0000-0000-0000D50D0000}"/>
    <cellStyle name="요약 2 2 2 3 3 2" xfId="3273" xr:uid="{00000000-0005-0000-0000-0000D60D0000}"/>
    <cellStyle name="요약 2 2 2 3 3 2 2" xfId="3274" xr:uid="{00000000-0005-0000-0000-0000D70D0000}"/>
    <cellStyle name="요약 2 2 2 3 3 3" xfId="3275" xr:uid="{00000000-0005-0000-0000-0000D80D0000}"/>
    <cellStyle name="요약 2 2 2 3 3 3 2" xfId="3276" xr:uid="{00000000-0005-0000-0000-0000D90D0000}"/>
    <cellStyle name="요약 2 2 2 3 3 4" xfId="3277" xr:uid="{00000000-0005-0000-0000-0000DA0D0000}"/>
    <cellStyle name="요약 2 2 2 3 4" xfId="3278" xr:uid="{00000000-0005-0000-0000-0000DB0D0000}"/>
    <cellStyle name="요약 2 2 2 3 4 2" xfId="3279" xr:uid="{00000000-0005-0000-0000-0000DC0D0000}"/>
    <cellStyle name="요약 2 2 2 3 5" xfId="3280" xr:uid="{00000000-0005-0000-0000-0000DD0D0000}"/>
    <cellStyle name="요약 2 2 2 3 5 2" xfId="3281" xr:uid="{00000000-0005-0000-0000-0000DE0D0000}"/>
    <cellStyle name="요약 2 2 2 3 6" xfId="3282" xr:uid="{00000000-0005-0000-0000-0000DF0D0000}"/>
    <cellStyle name="요약 2 2 2 4" xfId="3283" xr:uid="{00000000-0005-0000-0000-0000E00D0000}"/>
    <cellStyle name="요약 2 2 2 4 2" xfId="3284" xr:uid="{00000000-0005-0000-0000-0000E10D0000}"/>
    <cellStyle name="요약 2 2 2 4 2 2" xfId="3285" xr:uid="{00000000-0005-0000-0000-0000E20D0000}"/>
    <cellStyle name="요약 2 2 2 4 3" xfId="3286" xr:uid="{00000000-0005-0000-0000-0000E30D0000}"/>
    <cellStyle name="요약 2 2 2 4 3 2" xfId="3287" xr:uid="{00000000-0005-0000-0000-0000E40D0000}"/>
    <cellStyle name="요약 2 2 2 4 4" xfId="3288" xr:uid="{00000000-0005-0000-0000-0000E50D0000}"/>
    <cellStyle name="요약 2 2 2 5" xfId="3289" xr:uid="{00000000-0005-0000-0000-0000E60D0000}"/>
    <cellStyle name="요약 2 2 2 5 2" xfId="3290" xr:uid="{00000000-0005-0000-0000-0000E70D0000}"/>
    <cellStyle name="요약 2 2 2 5 2 2" xfId="3291" xr:uid="{00000000-0005-0000-0000-0000E80D0000}"/>
    <cellStyle name="요약 2 2 2 5 3" xfId="3292" xr:uid="{00000000-0005-0000-0000-0000E90D0000}"/>
    <cellStyle name="요약 2 2 2 5 3 2" xfId="3293" xr:uid="{00000000-0005-0000-0000-0000EA0D0000}"/>
    <cellStyle name="요약 2 2 2 5 4" xfId="3294" xr:uid="{00000000-0005-0000-0000-0000EB0D0000}"/>
    <cellStyle name="요약 2 2 2 6" xfId="3295" xr:uid="{00000000-0005-0000-0000-0000EC0D0000}"/>
    <cellStyle name="요약 2 2 2 6 2" xfId="3296" xr:uid="{00000000-0005-0000-0000-0000ED0D0000}"/>
    <cellStyle name="요약 2 2 2 7" xfId="3297" xr:uid="{00000000-0005-0000-0000-0000EE0D0000}"/>
    <cellStyle name="요약 2 2 2 7 2" xfId="3298" xr:uid="{00000000-0005-0000-0000-0000EF0D0000}"/>
    <cellStyle name="요약 2 2 2 8" xfId="3299" xr:uid="{00000000-0005-0000-0000-0000F00D0000}"/>
    <cellStyle name="요약 2 2 3" xfId="3300" xr:uid="{00000000-0005-0000-0000-0000F10D0000}"/>
    <cellStyle name="요약 2 2 3 2" xfId="3301" xr:uid="{00000000-0005-0000-0000-0000F20D0000}"/>
    <cellStyle name="요약 2 2 3 2 2" xfId="3302" xr:uid="{00000000-0005-0000-0000-0000F30D0000}"/>
    <cellStyle name="요약 2 2 3 2 2 2" xfId="3303" xr:uid="{00000000-0005-0000-0000-0000F40D0000}"/>
    <cellStyle name="요약 2 2 3 2 2 2 2" xfId="3304" xr:uid="{00000000-0005-0000-0000-0000F50D0000}"/>
    <cellStyle name="요약 2 2 3 2 2 3" xfId="3305" xr:uid="{00000000-0005-0000-0000-0000F60D0000}"/>
    <cellStyle name="요약 2 2 3 2 2 3 2" xfId="3306" xr:uid="{00000000-0005-0000-0000-0000F70D0000}"/>
    <cellStyle name="요약 2 2 3 2 2 4" xfId="3307" xr:uid="{00000000-0005-0000-0000-0000F80D0000}"/>
    <cellStyle name="요약 2 2 3 2 3" xfId="3308" xr:uid="{00000000-0005-0000-0000-0000F90D0000}"/>
    <cellStyle name="요약 2 2 3 2 3 2" xfId="3309" xr:uid="{00000000-0005-0000-0000-0000FA0D0000}"/>
    <cellStyle name="요약 2 2 3 2 3 2 2" xfId="3310" xr:uid="{00000000-0005-0000-0000-0000FB0D0000}"/>
    <cellStyle name="요약 2 2 3 2 3 3" xfId="3311" xr:uid="{00000000-0005-0000-0000-0000FC0D0000}"/>
    <cellStyle name="요약 2 2 3 2 3 3 2" xfId="3312" xr:uid="{00000000-0005-0000-0000-0000FD0D0000}"/>
    <cellStyle name="요약 2 2 3 2 3 4" xfId="3313" xr:uid="{00000000-0005-0000-0000-0000FE0D0000}"/>
    <cellStyle name="요약 2 2 3 2 4" xfId="3314" xr:uid="{00000000-0005-0000-0000-0000FF0D0000}"/>
    <cellStyle name="요약 2 2 3 2 4 2" xfId="3315" xr:uid="{00000000-0005-0000-0000-0000000E0000}"/>
    <cellStyle name="요약 2 2 3 2 5" xfId="3316" xr:uid="{00000000-0005-0000-0000-0000010E0000}"/>
    <cellStyle name="요약 2 2 3 2 5 2" xfId="3317" xr:uid="{00000000-0005-0000-0000-0000020E0000}"/>
    <cellStyle name="요약 2 2 3 2 6" xfId="3318" xr:uid="{00000000-0005-0000-0000-0000030E0000}"/>
    <cellStyle name="요약 2 2 3 3" xfId="3319" xr:uid="{00000000-0005-0000-0000-0000040E0000}"/>
    <cellStyle name="요약 2 2 3 3 2" xfId="3320" xr:uid="{00000000-0005-0000-0000-0000050E0000}"/>
    <cellStyle name="요약 2 2 3 3 2 2" xfId="3321" xr:uid="{00000000-0005-0000-0000-0000060E0000}"/>
    <cellStyle name="요약 2 2 3 3 3" xfId="3322" xr:uid="{00000000-0005-0000-0000-0000070E0000}"/>
    <cellStyle name="요약 2 2 3 3 3 2" xfId="3323" xr:uid="{00000000-0005-0000-0000-0000080E0000}"/>
    <cellStyle name="요약 2 2 3 3 4" xfId="3324" xr:uid="{00000000-0005-0000-0000-0000090E0000}"/>
    <cellStyle name="요약 2 2 3 4" xfId="3325" xr:uid="{00000000-0005-0000-0000-00000A0E0000}"/>
    <cellStyle name="요약 2 2 3 4 2" xfId="3326" xr:uid="{00000000-0005-0000-0000-00000B0E0000}"/>
    <cellStyle name="요약 2 2 3 4 2 2" xfId="3327" xr:uid="{00000000-0005-0000-0000-00000C0E0000}"/>
    <cellStyle name="요약 2 2 3 4 3" xfId="3328" xr:uid="{00000000-0005-0000-0000-00000D0E0000}"/>
    <cellStyle name="요약 2 2 3 4 3 2" xfId="3329" xr:uid="{00000000-0005-0000-0000-00000E0E0000}"/>
    <cellStyle name="요약 2 2 3 4 4" xfId="3330" xr:uid="{00000000-0005-0000-0000-00000F0E0000}"/>
    <cellStyle name="요약 2 2 3 5" xfId="3331" xr:uid="{00000000-0005-0000-0000-0000100E0000}"/>
    <cellStyle name="요약 2 2 3 5 2" xfId="3332" xr:uid="{00000000-0005-0000-0000-0000110E0000}"/>
    <cellStyle name="요약 2 2 3 6" xfId="3333" xr:uid="{00000000-0005-0000-0000-0000120E0000}"/>
    <cellStyle name="요약 2 2 3 6 2" xfId="3334" xr:uid="{00000000-0005-0000-0000-0000130E0000}"/>
    <cellStyle name="요약 2 2 3 7" xfId="3335" xr:uid="{00000000-0005-0000-0000-0000140E0000}"/>
    <cellStyle name="요약 2 2 4" xfId="3336" xr:uid="{00000000-0005-0000-0000-0000150E0000}"/>
    <cellStyle name="요약 2 2 4 2" xfId="3337" xr:uid="{00000000-0005-0000-0000-0000160E0000}"/>
    <cellStyle name="요약 2 2 4 2 2" xfId="3338" xr:uid="{00000000-0005-0000-0000-0000170E0000}"/>
    <cellStyle name="요약 2 2 4 2 2 2" xfId="3339" xr:uid="{00000000-0005-0000-0000-0000180E0000}"/>
    <cellStyle name="요약 2 2 4 2 2 2 2" xfId="3340" xr:uid="{00000000-0005-0000-0000-0000190E0000}"/>
    <cellStyle name="요약 2 2 4 2 2 3" xfId="3341" xr:uid="{00000000-0005-0000-0000-00001A0E0000}"/>
    <cellStyle name="요약 2 2 4 2 2 3 2" xfId="3342" xr:uid="{00000000-0005-0000-0000-00001B0E0000}"/>
    <cellStyle name="요약 2 2 4 2 2 4" xfId="3343" xr:uid="{00000000-0005-0000-0000-00001C0E0000}"/>
    <cellStyle name="요약 2 2 4 2 3" xfId="3344" xr:uid="{00000000-0005-0000-0000-00001D0E0000}"/>
    <cellStyle name="요약 2 2 4 2 3 2" xfId="3345" xr:uid="{00000000-0005-0000-0000-00001E0E0000}"/>
    <cellStyle name="요약 2 2 4 2 3 2 2" xfId="3346" xr:uid="{00000000-0005-0000-0000-00001F0E0000}"/>
    <cellStyle name="요약 2 2 4 2 3 3" xfId="3347" xr:uid="{00000000-0005-0000-0000-0000200E0000}"/>
    <cellStyle name="요약 2 2 4 2 3 3 2" xfId="3348" xr:uid="{00000000-0005-0000-0000-0000210E0000}"/>
    <cellStyle name="요약 2 2 4 2 3 4" xfId="3349" xr:uid="{00000000-0005-0000-0000-0000220E0000}"/>
    <cellStyle name="요약 2 2 4 2 4" xfId="3350" xr:uid="{00000000-0005-0000-0000-0000230E0000}"/>
    <cellStyle name="요약 2 2 4 2 4 2" xfId="3351" xr:uid="{00000000-0005-0000-0000-0000240E0000}"/>
    <cellStyle name="요약 2 2 4 2 5" xfId="3352" xr:uid="{00000000-0005-0000-0000-0000250E0000}"/>
    <cellStyle name="요약 2 2 4 2 5 2" xfId="3353" xr:uid="{00000000-0005-0000-0000-0000260E0000}"/>
    <cellStyle name="요약 2 2 4 2 6" xfId="3354" xr:uid="{00000000-0005-0000-0000-0000270E0000}"/>
    <cellStyle name="요약 2 2 4 3" xfId="3355" xr:uid="{00000000-0005-0000-0000-0000280E0000}"/>
    <cellStyle name="요약 2 2 4 3 2" xfId="3356" xr:uid="{00000000-0005-0000-0000-0000290E0000}"/>
    <cellStyle name="요약 2 2 4 3 2 2" xfId="3357" xr:uid="{00000000-0005-0000-0000-00002A0E0000}"/>
    <cellStyle name="요약 2 2 4 3 3" xfId="3358" xr:uid="{00000000-0005-0000-0000-00002B0E0000}"/>
    <cellStyle name="요약 2 2 4 3 3 2" xfId="3359" xr:uid="{00000000-0005-0000-0000-00002C0E0000}"/>
    <cellStyle name="요약 2 2 4 3 4" xfId="3360" xr:uid="{00000000-0005-0000-0000-00002D0E0000}"/>
    <cellStyle name="요약 2 2 4 4" xfId="3361" xr:uid="{00000000-0005-0000-0000-00002E0E0000}"/>
    <cellStyle name="요약 2 2 4 4 2" xfId="3362" xr:uid="{00000000-0005-0000-0000-00002F0E0000}"/>
    <cellStyle name="요약 2 2 4 4 2 2" xfId="3363" xr:uid="{00000000-0005-0000-0000-0000300E0000}"/>
    <cellStyle name="요약 2 2 4 4 3" xfId="3364" xr:uid="{00000000-0005-0000-0000-0000310E0000}"/>
    <cellStyle name="요약 2 2 4 4 3 2" xfId="3365" xr:uid="{00000000-0005-0000-0000-0000320E0000}"/>
    <cellStyle name="요약 2 2 4 4 4" xfId="3366" xr:uid="{00000000-0005-0000-0000-0000330E0000}"/>
    <cellStyle name="요약 2 2 4 5" xfId="3367" xr:uid="{00000000-0005-0000-0000-0000340E0000}"/>
    <cellStyle name="요약 2 2 4 5 2" xfId="3368" xr:uid="{00000000-0005-0000-0000-0000350E0000}"/>
    <cellStyle name="요약 2 2 4 6" xfId="3369" xr:uid="{00000000-0005-0000-0000-0000360E0000}"/>
    <cellStyle name="요약 2 2 4 6 2" xfId="3370" xr:uid="{00000000-0005-0000-0000-0000370E0000}"/>
    <cellStyle name="요약 2 2 4 7" xfId="3371" xr:uid="{00000000-0005-0000-0000-0000380E0000}"/>
    <cellStyle name="요약 2 2 5" xfId="3372" xr:uid="{00000000-0005-0000-0000-0000390E0000}"/>
    <cellStyle name="요약 2 2 5 2" xfId="3373" xr:uid="{00000000-0005-0000-0000-00003A0E0000}"/>
    <cellStyle name="요약 2 2 5 2 2" xfId="3374" xr:uid="{00000000-0005-0000-0000-00003B0E0000}"/>
    <cellStyle name="요약 2 2 5 2 2 2" xfId="3375" xr:uid="{00000000-0005-0000-0000-00003C0E0000}"/>
    <cellStyle name="요약 2 2 5 2 3" xfId="3376" xr:uid="{00000000-0005-0000-0000-00003D0E0000}"/>
    <cellStyle name="요약 2 2 5 2 3 2" xfId="3377" xr:uid="{00000000-0005-0000-0000-00003E0E0000}"/>
    <cellStyle name="요약 2 2 5 2 4" xfId="3378" xr:uid="{00000000-0005-0000-0000-00003F0E0000}"/>
    <cellStyle name="요약 2 2 5 3" xfId="3379" xr:uid="{00000000-0005-0000-0000-0000400E0000}"/>
    <cellStyle name="요약 2 2 5 3 2" xfId="3380" xr:uid="{00000000-0005-0000-0000-0000410E0000}"/>
    <cellStyle name="요약 2 2 5 3 2 2" xfId="3381" xr:uid="{00000000-0005-0000-0000-0000420E0000}"/>
    <cellStyle name="요약 2 2 5 3 3" xfId="3382" xr:uid="{00000000-0005-0000-0000-0000430E0000}"/>
    <cellStyle name="요약 2 2 5 3 3 2" xfId="3383" xr:uid="{00000000-0005-0000-0000-0000440E0000}"/>
    <cellStyle name="요약 2 2 5 3 4" xfId="3384" xr:uid="{00000000-0005-0000-0000-0000450E0000}"/>
    <cellStyle name="요약 2 2 5 4" xfId="3385" xr:uid="{00000000-0005-0000-0000-0000460E0000}"/>
    <cellStyle name="요약 2 2 5 4 2" xfId="3386" xr:uid="{00000000-0005-0000-0000-0000470E0000}"/>
    <cellStyle name="요약 2 2 5 5" xfId="3387" xr:uid="{00000000-0005-0000-0000-0000480E0000}"/>
    <cellStyle name="요약 2 2 5 5 2" xfId="3388" xr:uid="{00000000-0005-0000-0000-0000490E0000}"/>
    <cellStyle name="요약 2 2 5 6" xfId="3389" xr:uid="{00000000-0005-0000-0000-00004A0E0000}"/>
    <cellStyle name="요약 2 2 6" xfId="3390" xr:uid="{00000000-0005-0000-0000-00004B0E0000}"/>
    <cellStyle name="요약 2 2 6 2" xfId="3391" xr:uid="{00000000-0005-0000-0000-00004C0E0000}"/>
    <cellStyle name="요약 2 2 6 2 2" xfId="3392" xr:uid="{00000000-0005-0000-0000-00004D0E0000}"/>
    <cellStyle name="요약 2 2 6 3" xfId="3393" xr:uid="{00000000-0005-0000-0000-00004E0E0000}"/>
    <cellStyle name="요약 2 2 6 3 2" xfId="3394" xr:uid="{00000000-0005-0000-0000-00004F0E0000}"/>
    <cellStyle name="요약 2 2 6 4" xfId="3395" xr:uid="{00000000-0005-0000-0000-0000500E0000}"/>
    <cellStyle name="요약 2 2 7" xfId="3396" xr:uid="{00000000-0005-0000-0000-0000510E0000}"/>
    <cellStyle name="요약 2 2 7 2" xfId="3397" xr:uid="{00000000-0005-0000-0000-0000520E0000}"/>
    <cellStyle name="요약 2 2 7 2 2" xfId="3398" xr:uid="{00000000-0005-0000-0000-0000530E0000}"/>
    <cellStyle name="요약 2 2 7 3" xfId="3399" xr:uid="{00000000-0005-0000-0000-0000540E0000}"/>
    <cellStyle name="요약 2 2 7 3 2" xfId="3400" xr:uid="{00000000-0005-0000-0000-0000550E0000}"/>
    <cellStyle name="요약 2 2 7 4" xfId="3401" xr:uid="{00000000-0005-0000-0000-0000560E0000}"/>
    <cellStyle name="요약 2 2 8" xfId="3402" xr:uid="{00000000-0005-0000-0000-0000570E0000}"/>
    <cellStyle name="요약 2 2 8 2" xfId="3403" xr:uid="{00000000-0005-0000-0000-0000580E0000}"/>
    <cellStyle name="요약 2 2 9" xfId="3404" xr:uid="{00000000-0005-0000-0000-0000590E0000}"/>
    <cellStyle name="요약 2 2 9 2" xfId="3405" xr:uid="{00000000-0005-0000-0000-00005A0E0000}"/>
    <cellStyle name="요약 2 3" xfId="3406" xr:uid="{00000000-0005-0000-0000-00005B0E0000}"/>
    <cellStyle name="요약 2 3 2" xfId="3407" xr:uid="{00000000-0005-0000-0000-00005C0E0000}"/>
    <cellStyle name="요약 2 3 2 2" xfId="3408" xr:uid="{00000000-0005-0000-0000-00005D0E0000}"/>
    <cellStyle name="요약 2 3 2 2 2" xfId="3409" xr:uid="{00000000-0005-0000-0000-00005E0E0000}"/>
    <cellStyle name="요약 2 3 2 2 2 2" xfId="3410" xr:uid="{00000000-0005-0000-0000-00005F0E0000}"/>
    <cellStyle name="요약 2 3 2 2 2 2 2" xfId="3411" xr:uid="{00000000-0005-0000-0000-0000600E0000}"/>
    <cellStyle name="요약 2 3 2 2 2 3" xfId="3412" xr:uid="{00000000-0005-0000-0000-0000610E0000}"/>
    <cellStyle name="요약 2 3 2 2 2 3 2" xfId="3413" xr:uid="{00000000-0005-0000-0000-0000620E0000}"/>
    <cellStyle name="요약 2 3 2 2 2 4" xfId="3414" xr:uid="{00000000-0005-0000-0000-0000630E0000}"/>
    <cellStyle name="요약 2 3 2 2 3" xfId="3415" xr:uid="{00000000-0005-0000-0000-0000640E0000}"/>
    <cellStyle name="요약 2 3 2 2 3 2" xfId="3416" xr:uid="{00000000-0005-0000-0000-0000650E0000}"/>
    <cellStyle name="요약 2 3 2 2 3 2 2" xfId="3417" xr:uid="{00000000-0005-0000-0000-0000660E0000}"/>
    <cellStyle name="요약 2 3 2 2 3 3" xfId="3418" xr:uid="{00000000-0005-0000-0000-0000670E0000}"/>
    <cellStyle name="요약 2 3 2 2 3 3 2" xfId="3419" xr:uid="{00000000-0005-0000-0000-0000680E0000}"/>
    <cellStyle name="요약 2 3 2 2 3 4" xfId="3420" xr:uid="{00000000-0005-0000-0000-0000690E0000}"/>
    <cellStyle name="요약 2 3 2 2 4" xfId="3421" xr:uid="{00000000-0005-0000-0000-00006A0E0000}"/>
    <cellStyle name="요약 2 3 2 2 4 2" xfId="3422" xr:uid="{00000000-0005-0000-0000-00006B0E0000}"/>
    <cellStyle name="요약 2 3 2 2 5" xfId="3423" xr:uid="{00000000-0005-0000-0000-00006C0E0000}"/>
    <cellStyle name="요약 2 3 2 2 5 2" xfId="3424" xr:uid="{00000000-0005-0000-0000-00006D0E0000}"/>
    <cellStyle name="요약 2 3 2 2 6" xfId="3425" xr:uid="{00000000-0005-0000-0000-00006E0E0000}"/>
    <cellStyle name="요약 2 3 2 3" xfId="3426" xr:uid="{00000000-0005-0000-0000-00006F0E0000}"/>
    <cellStyle name="요약 2 3 2 3 2" xfId="3427" xr:uid="{00000000-0005-0000-0000-0000700E0000}"/>
    <cellStyle name="요약 2 3 2 3 2 2" xfId="3428" xr:uid="{00000000-0005-0000-0000-0000710E0000}"/>
    <cellStyle name="요약 2 3 2 3 3" xfId="3429" xr:uid="{00000000-0005-0000-0000-0000720E0000}"/>
    <cellStyle name="요약 2 3 2 3 3 2" xfId="3430" xr:uid="{00000000-0005-0000-0000-0000730E0000}"/>
    <cellStyle name="요약 2 3 2 3 4" xfId="3431" xr:uid="{00000000-0005-0000-0000-0000740E0000}"/>
    <cellStyle name="요약 2 3 2 4" xfId="3432" xr:uid="{00000000-0005-0000-0000-0000750E0000}"/>
    <cellStyle name="요약 2 3 2 4 2" xfId="3433" xr:uid="{00000000-0005-0000-0000-0000760E0000}"/>
    <cellStyle name="요약 2 3 2 4 2 2" xfId="3434" xr:uid="{00000000-0005-0000-0000-0000770E0000}"/>
    <cellStyle name="요약 2 3 2 4 3" xfId="3435" xr:uid="{00000000-0005-0000-0000-0000780E0000}"/>
    <cellStyle name="요약 2 3 2 4 3 2" xfId="3436" xr:uid="{00000000-0005-0000-0000-0000790E0000}"/>
    <cellStyle name="요약 2 3 2 4 4" xfId="3437" xr:uid="{00000000-0005-0000-0000-00007A0E0000}"/>
    <cellStyle name="요약 2 3 2 5" xfId="3438" xr:uid="{00000000-0005-0000-0000-00007B0E0000}"/>
    <cellStyle name="요약 2 3 2 5 2" xfId="3439" xr:uid="{00000000-0005-0000-0000-00007C0E0000}"/>
    <cellStyle name="요약 2 3 2 6" xfId="3440" xr:uid="{00000000-0005-0000-0000-00007D0E0000}"/>
    <cellStyle name="요약 2 3 2 6 2" xfId="3441" xr:uid="{00000000-0005-0000-0000-00007E0E0000}"/>
    <cellStyle name="요약 2 3 2 7" xfId="3442" xr:uid="{00000000-0005-0000-0000-00007F0E0000}"/>
    <cellStyle name="요약 2 3 3" xfId="3443" xr:uid="{00000000-0005-0000-0000-0000800E0000}"/>
    <cellStyle name="요약 2 3 3 2" xfId="3444" xr:uid="{00000000-0005-0000-0000-0000810E0000}"/>
    <cellStyle name="요약 2 3 3 2 2" xfId="3445" xr:uid="{00000000-0005-0000-0000-0000820E0000}"/>
    <cellStyle name="요약 2 3 3 2 2 2" xfId="3446" xr:uid="{00000000-0005-0000-0000-0000830E0000}"/>
    <cellStyle name="요약 2 3 3 2 3" xfId="3447" xr:uid="{00000000-0005-0000-0000-0000840E0000}"/>
    <cellStyle name="요약 2 3 3 2 3 2" xfId="3448" xr:uid="{00000000-0005-0000-0000-0000850E0000}"/>
    <cellStyle name="요약 2 3 3 2 4" xfId="3449" xr:uid="{00000000-0005-0000-0000-0000860E0000}"/>
    <cellStyle name="요약 2 3 3 3" xfId="3450" xr:uid="{00000000-0005-0000-0000-0000870E0000}"/>
    <cellStyle name="요약 2 3 3 3 2" xfId="3451" xr:uid="{00000000-0005-0000-0000-0000880E0000}"/>
    <cellStyle name="요약 2 3 3 3 2 2" xfId="3452" xr:uid="{00000000-0005-0000-0000-0000890E0000}"/>
    <cellStyle name="요약 2 3 3 3 3" xfId="3453" xr:uid="{00000000-0005-0000-0000-00008A0E0000}"/>
    <cellStyle name="요약 2 3 3 3 3 2" xfId="3454" xr:uid="{00000000-0005-0000-0000-00008B0E0000}"/>
    <cellStyle name="요약 2 3 3 3 4" xfId="3455" xr:uid="{00000000-0005-0000-0000-00008C0E0000}"/>
    <cellStyle name="요약 2 3 3 4" xfId="3456" xr:uid="{00000000-0005-0000-0000-00008D0E0000}"/>
    <cellStyle name="요약 2 3 3 4 2" xfId="3457" xr:uid="{00000000-0005-0000-0000-00008E0E0000}"/>
    <cellStyle name="요약 2 3 3 5" xfId="3458" xr:uid="{00000000-0005-0000-0000-00008F0E0000}"/>
    <cellStyle name="요약 2 3 3 5 2" xfId="3459" xr:uid="{00000000-0005-0000-0000-0000900E0000}"/>
    <cellStyle name="요약 2 3 3 6" xfId="3460" xr:uid="{00000000-0005-0000-0000-0000910E0000}"/>
    <cellStyle name="요약 2 3 4" xfId="3461" xr:uid="{00000000-0005-0000-0000-0000920E0000}"/>
    <cellStyle name="요약 2 3 4 2" xfId="3462" xr:uid="{00000000-0005-0000-0000-0000930E0000}"/>
    <cellStyle name="요약 2 3 4 2 2" xfId="3463" xr:uid="{00000000-0005-0000-0000-0000940E0000}"/>
    <cellStyle name="요약 2 3 4 3" xfId="3464" xr:uid="{00000000-0005-0000-0000-0000950E0000}"/>
    <cellStyle name="요약 2 3 4 3 2" xfId="3465" xr:uid="{00000000-0005-0000-0000-0000960E0000}"/>
    <cellStyle name="요약 2 3 4 4" xfId="3466" xr:uid="{00000000-0005-0000-0000-0000970E0000}"/>
    <cellStyle name="요약 2 3 5" xfId="3467" xr:uid="{00000000-0005-0000-0000-0000980E0000}"/>
    <cellStyle name="요약 2 3 5 2" xfId="3468" xr:uid="{00000000-0005-0000-0000-0000990E0000}"/>
    <cellStyle name="요약 2 3 5 2 2" xfId="3469" xr:uid="{00000000-0005-0000-0000-00009A0E0000}"/>
    <cellStyle name="요약 2 3 5 3" xfId="3470" xr:uid="{00000000-0005-0000-0000-00009B0E0000}"/>
    <cellStyle name="요약 2 3 5 3 2" xfId="3471" xr:uid="{00000000-0005-0000-0000-00009C0E0000}"/>
    <cellStyle name="요약 2 3 5 4" xfId="3472" xr:uid="{00000000-0005-0000-0000-00009D0E0000}"/>
    <cellStyle name="요약 2 3 6" xfId="3473" xr:uid="{00000000-0005-0000-0000-00009E0E0000}"/>
    <cellStyle name="요약 2 3 6 2" xfId="3474" xr:uid="{00000000-0005-0000-0000-00009F0E0000}"/>
    <cellStyle name="요약 2 3 7" xfId="3475" xr:uid="{00000000-0005-0000-0000-0000A00E0000}"/>
    <cellStyle name="요약 2 3 7 2" xfId="3476" xr:uid="{00000000-0005-0000-0000-0000A10E0000}"/>
    <cellStyle name="요약 2 3 8" xfId="3477" xr:uid="{00000000-0005-0000-0000-0000A20E0000}"/>
    <cellStyle name="요약 2 4" xfId="3478" xr:uid="{00000000-0005-0000-0000-0000A30E0000}"/>
    <cellStyle name="요약 2 4 2" xfId="3479" xr:uid="{00000000-0005-0000-0000-0000A40E0000}"/>
    <cellStyle name="요약 2 4 2 2" xfId="3480" xr:uid="{00000000-0005-0000-0000-0000A50E0000}"/>
    <cellStyle name="요약 2 4 2 2 2" xfId="3481" xr:uid="{00000000-0005-0000-0000-0000A60E0000}"/>
    <cellStyle name="요약 2 4 2 2 2 2" xfId="3482" xr:uid="{00000000-0005-0000-0000-0000A70E0000}"/>
    <cellStyle name="요약 2 4 2 2 3" xfId="3483" xr:uid="{00000000-0005-0000-0000-0000A80E0000}"/>
    <cellStyle name="요약 2 4 2 2 3 2" xfId="3484" xr:uid="{00000000-0005-0000-0000-0000A90E0000}"/>
    <cellStyle name="요약 2 4 2 2 4" xfId="3485" xr:uid="{00000000-0005-0000-0000-0000AA0E0000}"/>
    <cellStyle name="요약 2 4 2 3" xfId="3486" xr:uid="{00000000-0005-0000-0000-0000AB0E0000}"/>
    <cellStyle name="요약 2 4 2 3 2" xfId="3487" xr:uid="{00000000-0005-0000-0000-0000AC0E0000}"/>
    <cellStyle name="요약 2 4 2 3 2 2" xfId="3488" xr:uid="{00000000-0005-0000-0000-0000AD0E0000}"/>
    <cellStyle name="요약 2 4 2 3 3" xfId="3489" xr:uid="{00000000-0005-0000-0000-0000AE0E0000}"/>
    <cellStyle name="요약 2 4 2 3 3 2" xfId="3490" xr:uid="{00000000-0005-0000-0000-0000AF0E0000}"/>
    <cellStyle name="요약 2 4 2 3 4" xfId="3491" xr:uid="{00000000-0005-0000-0000-0000B00E0000}"/>
    <cellStyle name="요약 2 4 2 4" xfId="3492" xr:uid="{00000000-0005-0000-0000-0000B10E0000}"/>
    <cellStyle name="요약 2 4 2 4 2" xfId="3493" xr:uid="{00000000-0005-0000-0000-0000B20E0000}"/>
    <cellStyle name="요약 2 4 2 5" xfId="3494" xr:uid="{00000000-0005-0000-0000-0000B30E0000}"/>
    <cellStyle name="요약 2 4 2 5 2" xfId="3495" xr:uid="{00000000-0005-0000-0000-0000B40E0000}"/>
    <cellStyle name="요약 2 4 2 6" xfId="3496" xr:uid="{00000000-0005-0000-0000-0000B50E0000}"/>
    <cellStyle name="요약 2 4 3" xfId="3497" xr:uid="{00000000-0005-0000-0000-0000B60E0000}"/>
    <cellStyle name="요약 2 4 3 2" xfId="3498" xr:uid="{00000000-0005-0000-0000-0000B70E0000}"/>
    <cellStyle name="요약 2 4 3 2 2" xfId="3499" xr:uid="{00000000-0005-0000-0000-0000B80E0000}"/>
    <cellStyle name="요약 2 4 3 3" xfId="3500" xr:uid="{00000000-0005-0000-0000-0000B90E0000}"/>
    <cellStyle name="요약 2 4 3 3 2" xfId="3501" xr:uid="{00000000-0005-0000-0000-0000BA0E0000}"/>
    <cellStyle name="요약 2 4 3 4" xfId="3502" xr:uid="{00000000-0005-0000-0000-0000BB0E0000}"/>
    <cellStyle name="요약 2 4 4" xfId="3503" xr:uid="{00000000-0005-0000-0000-0000BC0E0000}"/>
    <cellStyle name="요약 2 4 4 2" xfId="3504" xr:uid="{00000000-0005-0000-0000-0000BD0E0000}"/>
    <cellStyle name="요약 2 4 4 2 2" xfId="3505" xr:uid="{00000000-0005-0000-0000-0000BE0E0000}"/>
    <cellStyle name="요약 2 4 4 3" xfId="3506" xr:uid="{00000000-0005-0000-0000-0000BF0E0000}"/>
    <cellStyle name="요약 2 4 4 3 2" xfId="3507" xr:uid="{00000000-0005-0000-0000-0000C00E0000}"/>
    <cellStyle name="요약 2 4 4 4" xfId="3508" xr:uid="{00000000-0005-0000-0000-0000C10E0000}"/>
    <cellStyle name="요약 2 4 5" xfId="3509" xr:uid="{00000000-0005-0000-0000-0000C20E0000}"/>
    <cellStyle name="요약 2 4 5 2" xfId="3510" xr:uid="{00000000-0005-0000-0000-0000C30E0000}"/>
    <cellStyle name="요약 2 4 6" xfId="3511" xr:uid="{00000000-0005-0000-0000-0000C40E0000}"/>
    <cellStyle name="요약 2 4 6 2" xfId="3512" xr:uid="{00000000-0005-0000-0000-0000C50E0000}"/>
    <cellStyle name="요약 2 4 7" xfId="3513" xr:uid="{00000000-0005-0000-0000-0000C60E0000}"/>
    <cellStyle name="요약 2 5" xfId="3514" xr:uid="{00000000-0005-0000-0000-0000C70E0000}"/>
    <cellStyle name="요약 2 5 2" xfId="3515" xr:uid="{00000000-0005-0000-0000-0000C80E0000}"/>
    <cellStyle name="요약 2 5 2 2" xfId="3516" xr:uid="{00000000-0005-0000-0000-0000C90E0000}"/>
    <cellStyle name="요약 2 5 2 2 2" xfId="3517" xr:uid="{00000000-0005-0000-0000-0000CA0E0000}"/>
    <cellStyle name="요약 2 5 2 2 2 2" xfId="3518" xr:uid="{00000000-0005-0000-0000-0000CB0E0000}"/>
    <cellStyle name="요약 2 5 2 2 3" xfId="3519" xr:uid="{00000000-0005-0000-0000-0000CC0E0000}"/>
    <cellStyle name="요약 2 5 2 2 3 2" xfId="3520" xr:uid="{00000000-0005-0000-0000-0000CD0E0000}"/>
    <cellStyle name="요약 2 5 2 2 4" xfId="3521" xr:uid="{00000000-0005-0000-0000-0000CE0E0000}"/>
    <cellStyle name="요약 2 5 2 3" xfId="3522" xr:uid="{00000000-0005-0000-0000-0000CF0E0000}"/>
    <cellStyle name="요약 2 5 2 3 2" xfId="3523" xr:uid="{00000000-0005-0000-0000-0000D00E0000}"/>
    <cellStyle name="요약 2 5 2 3 2 2" xfId="3524" xr:uid="{00000000-0005-0000-0000-0000D10E0000}"/>
    <cellStyle name="요약 2 5 2 3 3" xfId="3525" xr:uid="{00000000-0005-0000-0000-0000D20E0000}"/>
    <cellStyle name="요약 2 5 2 3 3 2" xfId="3526" xr:uid="{00000000-0005-0000-0000-0000D30E0000}"/>
    <cellStyle name="요약 2 5 2 3 4" xfId="3527" xr:uid="{00000000-0005-0000-0000-0000D40E0000}"/>
    <cellStyle name="요약 2 5 2 4" xfId="3528" xr:uid="{00000000-0005-0000-0000-0000D50E0000}"/>
    <cellStyle name="요약 2 5 2 4 2" xfId="3529" xr:uid="{00000000-0005-0000-0000-0000D60E0000}"/>
    <cellStyle name="요약 2 5 2 5" xfId="3530" xr:uid="{00000000-0005-0000-0000-0000D70E0000}"/>
    <cellStyle name="요약 2 5 2 5 2" xfId="3531" xr:uid="{00000000-0005-0000-0000-0000D80E0000}"/>
    <cellStyle name="요약 2 5 2 6" xfId="3532" xr:uid="{00000000-0005-0000-0000-0000D90E0000}"/>
    <cellStyle name="요약 2 5 3" xfId="3533" xr:uid="{00000000-0005-0000-0000-0000DA0E0000}"/>
    <cellStyle name="요약 2 5 3 2" xfId="3534" xr:uid="{00000000-0005-0000-0000-0000DB0E0000}"/>
    <cellStyle name="요약 2 5 3 2 2" xfId="3535" xr:uid="{00000000-0005-0000-0000-0000DC0E0000}"/>
    <cellStyle name="요약 2 5 3 3" xfId="3536" xr:uid="{00000000-0005-0000-0000-0000DD0E0000}"/>
    <cellStyle name="요약 2 5 3 3 2" xfId="3537" xr:uid="{00000000-0005-0000-0000-0000DE0E0000}"/>
    <cellStyle name="요약 2 5 3 4" xfId="3538" xr:uid="{00000000-0005-0000-0000-0000DF0E0000}"/>
    <cellStyle name="요약 2 5 4" xfId="3539" xr:uid="{00000000-0005-0000-0000-0000E00E0000}"/>
    <cellStyle name="요약 2 5 4 2" xfId="3540" xr:uid="{00000000-0005-0000-0000-0000E10E0000}"/>
    <cellStyle name="요약 2 5 4 2 2" xfId="3541" xr:uid="{00000000-0005-0000-0000-0000E20E0000}"/>
    <cellStyle name="요약 2 5 4 3" xfId="3542" xr:uid="{00000000-0005-0000-0000-0000E30E0000}"/>
    <cellStyle name="요약 2 5 4 3 2" xfId="3543" xr:uid="{00000000-0005-0000-0000-0000E40E0000}"/>
    <cellStyle name="요약 2 5 4 4" xfId="3544" xr:uid="{00000000-0005-0000-0000-0000E50E0000}"/>
    <cellStyle name="요약 2 5 5" xfId="3545" xr:uid="{00000000-0005-0000-0000-0000E60E0000}"/>
    <cellStyle name="요약 2 5 5 2" xfId="3546" xr:uid="{00000000-0005-0000-0000-0000E70E0000}"/>
    <cellStyle name="요약 2 5 6" xfId="3547" xr:uid="{00000000-0005-0000-0000-0000E80E0000}"/>
    <cellStyle name="요약 2 5 6 2" xfId="3548" xr:uid="{00000000-0005-0000-0000-0000E90E0000}"/>
    <cellStyle name="요약 2 5 7" xfId="3549" xr:uid="{00000000-0005-0000-0000-0000EA0E0000}"/>
    <cellStyle name="요약 2 6" xfId="3550" xr:uid="{00000000-0005-0000-0000-0000EB0E0000}"/>
    <cellStyle name="요약 2 6 2" xfId="3551" xr:uid="{00000000-0005-0000-0000-0000EC0E0000}"/>
    <cellStyle name="요약 2 6 2 2" xfId="3552" xr:uid="{00000000-0005-0000-0000-0000ED0E0000}"/>
    <cellStyle name="요약 2 6 2 2 2" xfId="3553" xr:uid="{00000000-0005-0000-0000-0000EE0E0000}"/>
    <cellStyle name="요약 2 6 2 3" xfId="3554" xr:uid="{00000000-0005-0000-0000-0000EF0E0000}"/>
    <cellStyle name="요약 2 6 2 3 2" xfId="3555" xr:uid="{00000000-0005-0000-0000-0000F00E0000}"/>
    <cellStyle name="요약 2 6 2 4" xfId="3556" xr:uid="{00000000-0005-0000-0000-0000F10E0000}"/>
    <cellStyle name="요약 2 6 3" xfId="3557" xr:uid="{00000000-0005-0000-0000-0000F20E0000}"/>
    <cellStyle name="요약 2 6 3 2" xfId="3558" xr:uid="{00000000-0005-0000-0000-0000F30E0000}"/>
    <cellStyle name="요약 2 6 3 2 2" xfId="3559" xr:uid="{00000000-0005-0000-0000-0000F40E0000}"/>
    <cellStyle name="요약 2 6 3 3" xfId="3560" xr:uid="{00000000-0005-0000-0000-0000F50E0000}"/>
    <cellStyle name="요약 2 6 3 3 2" xfId="3561" xr:uid="{00000000-0005-0000-0000-0000F60E0000}"/>
    <cellStyle name="요약 2 6 3 4" xfId="3562" xr:uid="{00000000-0005-0000-0000-0000F70E0000}"/>
    <cellStyle name="요약 2 6 4" xfId="3563" xr:uid="{00000000-0005-0000-0000-0000F80E0000}"/>
    <cellStyle name="요약 2 6 4 2" xfId="3564" xr:uid="{00000000-0005-0000-0000-0000F90E0000}"/>
    <cellStyle name="요약 2 6 5" xfId="3565" xr:uid="{00000000-0005-0000-0000-0000FA0E0000}"/>
    <cellStyle name="요약 2 6 5 2" xfId="3566" xr:uid="{00000000-0005-0000-0000-0000FB0E0000}"/>
    <cellStyle name="요약 2 6 6" xfId="3567" xr:uid="{00000000-0005-0000-0000-0000FC0E0000}"/>
    <cellStyle name="요약 2 7" xfId="3568" xr:uid="{00000000-0005-0000-0000-0000FD0E0000}"/>
    <cellStyle name="요약 2 7 2" xfId="3569" xr:uid="{00000000-0005-0000-0000-0000FE0E0000}"/>
    <cellStyle name="요약 2 7 2 2" xfId="3570" xr:uid="{00000000-0005-0000-0000-0000FF0E0000}"/>
    <cellStyle name="요약 2 7 3" xfId="3571" xr:uid="{00000000-0005-0000-0000-0000000F0000}"/>
    <cellStyle name="요약 2 7 3 2" xfId="3572" xr:uid="{00000000-0005-0000-0000-0000010F0000}"/>
    <cellStyle name="요약 2 7 4" xfId="3573" xr:uid="{00000000-0005-0000-0000-0000020F0000}"/>
    <cellStyle name="요약 2 8" xfId="3574" xr:uid="{00000000-0005-0000-0000-0000030F0000}"/>
    <cellStyle name="요약 2 8 2" xfId="3575" xr:uid="{00000000-0005-0000-0000-0000040F0000}"/>
    <cellStyle name="요약 2 8 2 2" xfId="3576" xr:uid="{00000000-0005-0000-0000-0000050F0000}"/>
    <cellStyle name="요약 2 8 3" xfId="3577" xr:uid="{00000000-0005-0000-0000-0000060F0000}"/>
    <cellStyle name="요약 2 8 3 2" xfId="3578" xr:uid="{00000000-0005-0000-0000-0000070F0000}"/>
    <cellStyle name="요약 2 8 4" xfId="3579" xr:uid="{00000000-0005-0000-0000-0000080F0000}"/>
    <cellStyle name="요약 2 9" xfId="3580" xr:uid="{00000000-0005-0000-0000-0000090F0000}"/>
    <cellStyle name="요약 2 9 2" xfId="3581" xr:uid="{00000000-0005-0000-0000-00000A0F0000}"/>
    <cellStyle name="요약 3" xfId="3582" xr:uid="{00000000-0005-0000-0000-00000B0F0000}"/>
    <cellStyle name="요약 4" xfId="3583" xr:uid="{00000000-0005-0000-0000-00000C0F0000}"/>
    <cellStyle name="요약 5" xfId="3584" xr:uid="{00000000-0005-0000-0000-00000D0F0000}"/>
    <cellStyle name="요약 6" xfId="3585" xr:uid="{00000000-0005-0000-0000-00000E0F0000}"/>
    <cellStyle name="요약 7" xfId="3586" xr:uid="{00000000-0005-0000-0000-00000F0F0000}"/>
    <cellStyle name="요약 8" xfId="3587" xr:uid="{00000000-0005-0000-0000-0000100F0000}"/>
    <cellStyle name="요약 9" xfId="3588" xr:uid="{00000000-0005-0000-0000-0000110F0000}"/>
    <cellStyle name="원" xfId="3589" xr:uid="{00000000-0005-0000-0000-0000120F0000}"/>
    <cellStyle name="원_■ 단가산출내역(06년)" xfId="3590" xr:uid="{00000000-0005-0000-0000-0000130F0000}"/>
    <cellStyle name="원_01년 자재팀원가절감계획" xfId="3591" xr:uid="{00000000-0005-0000-0000-0000140F0000}"/>
    <cellStyle name="원_02TCR020117용" xfId="3592" xr:uid="{00000000-0005-0000-0000-0000150F0000}"/>
    <cellStyle name="원_02구매실적" xfId="3593" xr:uid="{00000000-0005-0000-0000-0000160F0000}"/>
    <cellStyle name="원_02년 자재팀원가절감계획" xfId="3594" xr:uid="{00000000-0005-0000-0000-0000170F0000}"/>
    <cellStyle name="원_03년 HG KPI(1차)" xfId="3595" xr:uid="{00000000-0005-0000-0000-0000180F0000}"/>
    <cellStyle name="원_03년 개인별 계획" xfId="3596" xr:uid="{00000000-0005-0000-0000-0000190F0000}"/>
    <cellStyle name="원_03년 계획리뷰 및 추가안 030430" xfId="3597" xr:uid="{00000000-0005-0000-0000-00001A0F0000}"/>
    <cellStyle name="원_03년 자재수불(1차마감정리)" xfId="3598" xr:uid="{00000000-0005-0000-0000-00001B0F0000}"/>
    <cellStyle name="원_03년원가절감계획" xfId="3599" xr:uid="{00000000-0005-0000-0000-00001C0F0000}"/>
    <cellStyle name="원_0401단가인하조치" xfId="3600" xr:uid="{00000000-0005-0000-0000-00001D0F0000}"/>
    <cellStyle name="원_0404단가품의" xfId="3601" xr:uid="{00000000-0005-0000-0000-00001E0F0000}"/>
    <cellStyle name="원_0407단가품의" xfId="3602" xr:uid="{00000000-0005-0000-0000-00001F0F0000}"/>
    <cellStyle name="원_04샴푸린스바디클렌져절감실적" xfId="3603" xr:uid="{00000000-0005-0000-0000-0000200F0000}"/>
    <cellStyle name="원_04주방주거섬유유연제단가현황-연구소통지" xfId="3604" xr:uid="{00000000-0005-0000-0000-0000210F0000}"/>
    <cellStyle name="원_04화장비누원가절감계획" xfId="3605" xr:uid="{00000000-0005-0000-0000-0000220F0000}"/>
    <cellStyle name="원_04화장비누절감실적" xfId="3606" xr:uid="{00000000-0005-0000-0000-0000230F0000}"/>
    <cellStyle name="원_05.10월총괄" xfId="3607" xr:uid="{00000000-0005-0000-0000-0000240F0000}"/>
    <cellStyle name="원_0501수불부" xfId="3608" xr:uid="{00000000-0005-0000-0000-0000250F0000}"/>
    <cellStyle name="원_0503_샴푸린스바디워시 원가절감실적" xfId="3609" xr:uid="{00000000-0005-0000-0000-0000260F0000}"/>
    <cellStyle name="원_0503HG원재료자재3개월" xfId="3610" xr:uid="{00000000-0005-0000-0000-0000270F0000}"/>
    <cellStyle name="원_0509애경정밀" xfId="3611" xr:uid="{00000000-0005-0000-0000-0000280F0000}"/>
    <cellStyle name="원_05년 주거세제섬유유연제 절감계획" xfId="3612" xr:uid="{00000000-0005-0000-0000-0000290F0000}"/>
    <cellStyle name="원_05년 주방세제 절감계획" xfId="3613" xr:uid="{00000000-0005-0000-0000-00002A0F0000}"/>
    <cellStyle name="원_06년6월 세제구매계획" xfId="3614" xr:uid="{00000000-0005-0000-0000-00002B0F0000}"/>
    <cellStyle name="원_2002COST전략(송)1" xfId="3615" xr:uid="{00000000-0005-0000-0000-00002C0F0000}"/>
    <cellStyle name="원_2002구매실적" xfId="3616" xr:uid="{00000000-0005-0000-0000-00002D0F0000}"/>
    <cellStyle name="원_2002샴푸사업단가" xfId="3617" xr:uid="{00000000-0005-0000-0000-00002E0F0000}"/>
    <cellStyle name="원_2002주거목단" xfId="3618" xr:uid="{00000000-0005-0000-0000-00002F0F0000}"/>
    <cellStyle name="원_2004사업단가-비누" xfId="3619" xr:uid="{00000000-0005-0000-0000-0000300F0000}"/>
    <cellStyle name="원_2004사업단가-샴푸린스바디클렌져" xfId="3620" xr:uid="{00000000-0005-0000-0000-0000310F0000}"/>
    <cellStyle name="원_2004원가절감실적(1월)" xfId="3621" xr:uid="{00000000-0005-0000-0000-0000320F0000}"/>
    <cellStyle name="원_2004품의서" xfId="3622" xr:uid="{00000000-0005-0000-0000-0000330F0000}"/>
    <cellStyle name="원_2006 01" xfId="3623" xr:uid="{00000000-0005-0000-0000-0000340F0000}"/>
    <cellStyle name="원_7월원재료원가절감" xfId="3624" xr:uid="{00000000-0005-0000-0000-0000350F0000}"/>
    <cellStyle name="원_Bidding실적9월수정" xfId="3625" xr:uid="{00000000-0005-0000-0000-0000360F0000}"/>
    <cellStyle name="원_EPR" xfId="3626" xr:uid="{00000000-0005-0000-0000-0000370F0000}"/>
    <cellStyle name="원_ITEM등록보고서시공(02.08~)" xfId="3627" xr:uid="{00000000-0005-0000-0000-0000380F0000}"/>
    <cellStyle name="원_로션" xfId="3628" xr:uid="{00000000-0005-0000-0000-0000390F0000}"/>
    <cellStyle name="원_복사본 ☆2006 치약구매계획" xfId="3629" xr:uid="{00000000-0005-0000-0000-00003A0F0000}"/>
    <cellStyle name="원_비욘드4개월 선행 물량 예측(8-30)" xfId="3630" xr:uid="{00000000-0005-0000-0000-00003B0F0000}"/>
    <cellStyle name="원_사업단가" xfId="3631" xr:uid="{00000000-0005-0000-0000-00003C0F0000}"/>
    <cellStyle name="원_샴푸린스구매계획-03" xfId="3632" xr:uid="{00000000-0005-0000-0000-00003D0F0000}"/>
    <cellStyle name="원_샴푸린스바디워시 구매계획-인수인계(050323수정)" xfId="3633" xr:uid="{00000000-0005-0000-0000-00003E0F0000}"/>
    <cellStyle name="원_스킨" xfId="3634" xr:uid="{00000000-0005-0000-0000-00003F0F0000}"/>
    <cellStyle name="원_신규코드 LIST" xfId="3635" xr:uid="{00000000-0005-0000-0000-0000400F0000}"/>
    <cellStyle name="원_신제품" xfId="3636" xr:uid="{00000000-0005-0000-0000-0000410F0000}"/>
    <cellStyle name="원_애경정밀단가RAW0409" xfId="3637" xr:uid="{00000000-0005-0000-0000-0000420F0000}"/>
    <cellStyle name="원_업체별 구매실적(12월)" xfId="3638" xr:uid="{00000000-0005-0000-0000-0000430F0000}"/>
    <cellStyle name="원_업체별 구매실적(200404)" xfId="3639" xr:uid="{00000000-0005-0000-0000-0000440F0000}"/>
    <cellStyle name="원_원단위생성" xfId="3640" xr:uid="{00000000-0005-0000-0000-0000450F0000}"/>
    <cellStyle name="원_원부자재 마스터 Upload V1" xfId="3641" xr:uid="{00000000-0005-0000-0000-0000460F0000}"/>
    <cellStyle name="원_원부자재 표준" xfId="3642" xr:uid="{00000000-0005-0000-0000-0000470F0000}"/>
    <cellStyle name="원_원재료가변동" xfId="3643" xr:uid="{00000000-0005-0000-0000-0000480F0000}"/>
    <cellStyle name="원_원재료별원가세분화(COST04년)" xfId="3644" xr:uid="{00000000-0005-0000-0000-0000490F0000}"/>
    <cellStyle name="원_이자녹스남성용증정품40ml" xfId="3645" xr:uid="{00000000-0005-0000-0000-00004A0F0000}"/>
    <cellStyle name="원_인수인계(최선영)" xfId="3646" xr:uid="{00000000-0005-0000-0000-00004B0F0000}"/>
    <cellStyle name="원_캡,펌프" xfId="3647" xr:uid="{00000000-0005-0000-0000-00004C0F0000}"/>
    <cellStyle name="월당월 (2)" xfId="3648" xr:uid="{00000000-0005-0000-0000-00004D0F0000}"/>
    <cellStyle name="입력" xfId="9" builtinId="20" customBuiltin="1"/>
    <cellStyle name="입력 10" xfId="3649" xr:uid="{00000000-0005-0000-0000-00004F0F0000}"/>
    <cellStyle name="입력 11" xfId="3650" xr:uid="{00000000-0005-0000-0000-0000500F0000}"/>
    <cellStyle name="입력 12" xfId="3651" xr:uid="{00000000-0005-0000-0000-0000510F0000}"/>
    <cellStyle name="입력 13" xfId="3652" xr:uid="{00000000-0005-0000-0000-0000520F0000}"/>
    <cellStyle name="입력 14" xfId="3653" xr:uid="{00000000-0005-0000-0000-0000530F0000}"/>
    <cellStyle name="입력 2" xfId="3654" xr:uid="{00000000-0005-0000-0000-0000540F0000}"/>
    <cellStyle name="입력 2 10" xfId="3655" xr:uid="{00000000-0005-0000-0000-0000550F0000}"/>
    <cellStyle name="입력 2 10 2" xfId="3656" xr:uid="{00000000-0005-0000-0000-0000560F0000}"/>
    <cellStyle name="입력 2 11" xfId="3657" xr:uid="{00000000-0005-0000-0000-0000570F0000}"/>
    <cellStyle name="입력 2 2" xfId="3658" xr:uid="{00000000-0005-0000-0000-0000580F0000}"/>
    <cellStyle name="입력 2 2 10" xfId="3659" xr:uid="{00000000-0005-0000-0000-0000590F0000}"/>
    <cellStyle name="입력 2 2 2" xfId="3660" xr:uid="{00000000-0005-0000-0000-00005A0F0000}"/>
    <cellStyle name="입력 2 2 2 2" xfId="3661" xr:uid="{00000000-0005-0000-0000-00005B0F0000}"/>
    <cellStyle name="입력 2 2 2 2 2" xfId="3662" xr:uid="{00000000-0005-0000-0000-00005C0F0000}"/>
    <cellStyle name="입력 2 2 2 2 2 2" xfId="3663" xr:uid="{00000000-0005-0000-0000-00005D0F0000}"/>
    <cellStyle name="입력 2 2 2 2 2 2 2" xfId="3664" xr:uid="{00000000-0005-0000-0000-00005E0F0000}"/>
    <cellStyle name="입력 2 2 2 2 2 2 2 2" xfId="3665" xr:uid="{00000000-0005-0000-0000-00005F0F0000}"/>
    <cellStyle name="입력 2 2 2 2 2 2 3" xfId="3666" xr:uid="{00000000-0005-0000-0000-0000600F0000}"/>
    <cellStyle name="입력 2 2 2 2 2 2 3 2" xfId="3667" xr:uid="{00000000-0005-0000-0000-0000610F0000}"/>
    <cellStyle name="입력 2 2 2 2 2 2 4" xfId="3668" xr:uid="{00000000-0005-0000-0000-0000620F0000}"/>
    <cellStyle name="입력 2 2 2 2 2 2 4 2" xfId="3669" xr:uid="{00000000-0005-0000-0000-0000630F0000}"/>
    <cellStyle name="입력 2 2 2 2 2 2 5" xfId="3670" xr:uid="{00000000-0005-0000-0000-0000640F0000}"/>
    <cellStyle name="입력 2 2 2 2 2 3" xfId="3671" xr:uid="{00000000-0005-0000-0000-0000650F0000}"/>
    <cellStyle name="입력 2 2 2 2 2 3 2" xfId="3672" xr:uid="{00000000-0005-0000-0000-0000660F0000}"/>
    <cellStyle name="입력 2 2 2 2 2 3 2 2" xfId="3673" xr:uid="{00000000-0005-0000-0000-0000670F0000}"/>
    <cellStyle name="입력 2 2 2 2 2 3 3" xfId="3674" xr:uid="{00000000-0005-0000-0000-0000680F0000}"/>
    <cellStyle name="입력 2 2 2 2 2 3 3 2" xfId="3675" xr:uid="{00000000-0005-0000-0000-0000690F0000}"/>
    <cellStyle name="입력 2 2 2 2 2 3 4" xfId="3676" xr:uid="{00000000-0005-0000-0000-00006A0F0000}"/>
    <cellStyle name="입력 2 2 2 2 2 3 4 2" xfId="3677" xr:uid="{00000000-0005-0000-0000-00006B0F0000}"/>
    <cellStyle name="입력 2 2 2 2 2 3 5" xfId="3678" xr:uid="{00000000-0005-0000-0000-00006C0F0000}"/>
    <cellStyle name="입력 2 2 2 2 2 4" xfId="3679" xr:uid="{00000000-0005-0000-0000-00006D0F0000}"/>
    <cellStyle name="입력 2 2 2 2 2 4 2" xfId="3680" xr:uid="{00000000-0005-0000-0000-00006E0F0000}"/>
    <cellStyle name="입력 2 2 2 2 2 5" xfId="3681" xr:uid="{00000000-0005-0000-0000-00006F0F0000}"/>
    <cellStyle name="입력 2 2 2 2 2 5 2" xfId="3682" xr:uid="{00000000-0005-0000-0000-0000700F0000}"/>
    <cellStyle name="입력 2 2 2 2 2 6" xfId="3683" xr:uid="{00000000-0005-0000-0000-0000710F0000}"/>
    <cellStyle name="입력 2 2 2 2 2 6 2" xfId="3684" xr:uid="{00000000-0005-0000-0000-0000720F0000}"/>
    <cellStyle name="입력 2 2 2 2 2 7" xfId="3685" xr:uid="{00000000-0005-0000-0000-0000730F0000}"/>
    <cellStyle name="입력 2 2 2 2 3" xfId="3686" xr:uid="{00000000-0005-0000-0000-0000740F0000}"/>
    <cellStyle name="입력 2 2 2 2 3 2" xfId="3687" xr:uid="{00000000-0005-0000-0000-0000750F0000}"/>
    <cellStyle name="입력 2 2 2 2 3 2 2" xfId="3688" xr:uid="{00000000-0005-0000-0000-0000760F0000}"/>
    <cellStyle name="입력 2 2 2 2 3 3" xfId="3689" xr:uid="{00000000-0005-0000-0000-0000770F0000}"/>
    <cellStyle name="입력 2 2 2 2 3 3 2" xfId="3690" xr:uid="{00000000-0005-0000-0000-0000780F0000}"/>
    <cellStyle name="입력 2 2 2 2 3 4" xfId="3691" xr:uid="{00000000-0005-0000-0000-0000790F0000}"/>
    <cellStyle name="입력 2 2 2 2 3 4 2" xfId="3692" xr:uid="{00000000-0005-0000-0000-00007A0F0000}"/>
    <cellStyle name="입력 2 2 2 2 3 5" xfId="3693" xr:uid="{00000000-0005-0000-0000-00007B0F0000}"/>
    <cellStyle name="입력 2 2 2 2 4" xfId="3694" xr:uid="{00000000-0005-0000-0000-00007C0F0000}"/>
    <cellStyle name="입력 2 2 2 2 4 2" xfId="3695" xr:uid="{00000000-0005-0000-0000-00007D0F0000}"/>
    <cellStyle name="입력 2 2 2 2 4 2 2" xfId="3696" xr:uid="{00000000-0005-0000-0000-00007E0F0000}"/>
    <cellStyle name="입력 2 2 2 2 4 3" xfId="3697" xr:uid="{00000000-0005-0000-0000-00007F0F0000}"/>
    <cellStyle name="입력 2 2 2 2 4 3 2" xfId="3698" xr:uid="{00000000-0005-0000-0000-0000800F0000}"/>
    <cellStyle name="입력 2 2 2 2 4 4" xfId="3699" xr:uid="{00000000-0005-0000-0000-0000810F0000}"/>
    <cellStyle name="입력 2 2 2 2 4 4 2" xfId="3700" xr:uid="{00000000-0005-0000-0000-0000820F0000}"/>
    <cellStyle name="입력 2 2 2 2 4 5" xfId="3701" xr:uid="{00000000-0005-0000-0000-0000830F0000}"/>
    <cellStyle name="입력 2 2 2 2 5" xfId="3702" xr:uid="{00000000-0005-0000-0000-0000840F0000}"/>
    <cellStyle name="입력 2 2 2 2 5 2" xfId="3703" xr:uid="{00000000-0005-0000-0000-0000850F0000}"/>
    <cellStyle name="입력 2 2 2 2 6" xfId="3704" xr:uid="{00000000-0005-0000-0000-0000860F0000}"/>
    <cellStyle name="입력 2 2 2 2 6 2" xfId="3705" xr:uid="{00000000-0005-0000-0000-0000870F0000}"/>
    <cellStyle name="입력 2 2 2 2 7" xfId="3706" xr:uid="{00000000-0005-0000-0000-0000880F0000}"/>
    <cellStyle name="입력 2 2 2 3" xfId="3707" xr:uid="{00000000-0005-0000-0000-0000890F0000}"/>
    <cellStyle name="입력 2 2 2 3 2" xfId="3708" xr:uid="{00000000-0005-0000-0000-00008A0F0000}"/>
    <cellStyle name="입력 2 2 2 3 2 2" xfId="3709" xr:uid="{00000000-0005-0000-0000-00008B0F0000}"/>
    <cellStyle name="입력 2 2 2 3 2 2 2" xfId="3710" xr:uid="{00000000-0005-0000-0000-00008C0F0000}"/>
    <cellStyle name="입력 2 2 2 3 2 3" xfId="3711" xr:uid="{00000000-0005-0000-0000-00008D0F0000}"/>
    <cellStyle name="입력 2 2 2 3 2 3 2" xfId="3712" xr:uid="{00000000-0005-0000-0000-00008E0F0000}"/>
    <cellStyle name="입력 2 2 2 3 2 4" xfId="3713" xr:uid="{00000000-0005-0000-0000-00008F0F0000}"/>
    <cellStyle name="입력 2 2 2 3 2 4 2" xfId="3714" xr:uid="{00000000-0005-0000-0000-0000900F0000}"/>
    <cellStyle name="입력 2 2 2 3 2 5" xfId="3715" xr:uid="{00000000-0005-0000-0000-0000910F0000}"/>
    <cellStyle name="입력 2 2 2 3 3" xfId="3716" xr:uid="{00000000-0005-0000-0000-0000920F0000}"/>
    <cellStyle name="입력 2 2 2 3 3 2" xfId="3717" xr:uid="{00000000-0005-0000-0000-0000930F0000}"/>
    <cellStyle name="입력 2 2 2 3 3 2 2" xfId="3718" xr:uid="{00000000-0005-0000-0000-0000940F0000}"/>
    <cellStyle name="입력 2 2 2 3 3 3" xfId="3719" xr:uid="{00000000-0005-0000-0000-0000950F0000}"/>
    <cellStyle name="입력 2 2 2 3 3 3 2" xfId="3720" xr:uid="{00000000-0005-0000-0000-0000960F0000}"/>
    <cellStyle name="입력 2 2 2 3 3 4" xfId="3721" xr:uid="{00000000-0005-0000-0000-0000970F0000}"/>
    <cellStyle name="입력 2 2 2 3 3 4 2" xfId="3722" xr:uid="{00000000-0005-0000-0000-0000980F0000}"/>
    <cellStyle name="입력 2 2 2 3 3 5" xfId="3723" xr:uid="{00000000-0005-0000-0000-0000990F0000}"/>
    <cellStyle name="입력 2 2 2 3 4" xfId="3724" xr:uid="{00000000-0005-0000-0000-00009A0F0000}"/>
    <cellStyle name="입력 2 2 2 3 4 2" xfId="3725" xr:uid="{00000000-0005-0000-0000-00009B0F0000}"/>
    <cellStyle name="입력 2 2 2 3 5" xfId="3726" xr:uid="{00000000-0005-0000-0000-00009C0F0000}"/>
    <cellStyle name="입력 2 2 2 3 5 2" xfId="3727" xr:uid="{00000000-0005-0000-0000-00009D0F0000}"/>
    <cellStyle name="입력 2 2 2 3 6" xfId="3728" xr:uid="{00000000-0005-0000-0000-00009E0F0000}"/>
    <cellStyle name="입력 2 2 2 3 6 2" xfId="3729" xr:uid="{00000000-0005-0000-0000-00009F0F0000}"/>
    <cellStyle name="입력 2 2 2 3 7" xfId="3730" xr:uid="{00000000-0005-0000-0000-0000A00F0000}"/>
    <cellStyle name="입력 2 2 2 4" xfId="3731" xr:uid="{00000000-0005-0000-0000-0000A10F0000}"/>
    <cellStyle name="입력 2 2 2 4 2" xfId="3732" xr:uid="{00000000-0005-0000-0000-0000A20F0000}"/>
    <cellStyle name="입력 2 2 2 4 2 2" xfId="3733" xr:uid="{00000000-0005-0000-0000-0000A30F0000}"/>
    <cellStyle name="입력 2 2 2 4 3" xfId="3734" xr:uid="{00000000-0005-0000-0000-0000A40F0000}"/>
    <cellStyle name="입력 2 2 2 4 3 2" xfId="3735" xr:uid="{00000000-0005-0000-0000-0000A50F0000}"/>
    <cellStyle name="입력 2 2 2 4 4" xfId="3736" xr:uid="{00000000-0005-0000-0000-0000A60F0000}"/>
    <cellStyle name="입력 2 2 2 4 4 2" xfId="3737" xr:uid="{00000000-0005-0000-0000-0000A70F0000}"/>
    <cellStyle name="입력 2 2 2 4 5" xfId="3738" xr:uid="{00000000-0005-0000-0000-0000A80F0000}"/>
    <cellStyle name="입력 2 2 2 5" xfId="3739" xr:uid="{00000000-0005-0000-0000-0000A90F0000}"/>
    <cellStyle name="입력 2 2 2 5 2" xfId="3740" xr:uid="{00000000-0005-0000-0000-0000AA0F0000}"/>
    <cellStyle name="입력 2 2 2 5 2 2" xfId="3741" xr:uid="{00000000-0005-0000-0000-0000AB0F0000}"/>
    <cellStyle name="입력 2 2 2 5 3" xfId="3742" xr:uid="{00000000-0005-0000-0000-0000AC0F0000}"/>
    <cellStyle name="입력 2 2 2 5 3 2" xfId="3743" xr:uid="{00000000-0005-0000-0000-0000AD0F0000}"/>
    <cellStyle name="입력 2 2 2 5 4" xfId="3744" xr:uid="{00000000-0005-0000-0000-0000AE0F0000}"/>
    <cellStyle name="입력 2 2 2 5 4 2" xfId="3745" xr:uid="{00000000-0005-0000-0000-0000AF0F0000}"/>
    <cellStyle name="입력 2 2 2 5 5" xfId="3746" xr:uid="{00000000-0005-0000-0000-0000B00F0000}"/>
    <cellStyle name="입력 2 2 2 6" xfId="3747" xr:uid="{00000000-0005-0000-0000-0000B10F0000}"/>
    <cellStyle name="입력 2 2 2 6 2" xfId="3748" xr:uid="{00000000-0005-0000-0000-0000B20F0000}"/>
    <cellStyle name="입력 2 2 2 7" xfId="3749" xr:uid="{00000000-0005-0000-0000-0000B30F0000}"/>
    <cellStyle name="입력 2 2 2 7 2" xfId="3750" xr:uid="{00000000-0005-0000-0000-0000B40F0000}"/>
    <cellStyle name="입력 2 2 2 8" xfId="3751" xr:uid="{00000000-0005-0000-0000-0000B50F0000}"/>
    <cellStyle name="입력 2 2 3" xfId="3752" xr:uid="{00000000-0005-0000-0000-0000B60F0000}"/>
    <cellStyle name="입력 2 2 3 2" xfId="3753" xr:uid="{00000000-0005-0000-0000-0000B70F0000}"/>
    <cellStyle name="입력 2 2 3 2 2" xfId="3754" xr:uid="{00000000-0005-0000-0000-0000B80F0000}"/>
    <cellStyle name="입력 2 2 3 2 2 2" xfId="3755" xr:uid="{00000000-0005-0000-0000-0000B90F0000}"/>
    <cellStyle name="입력 2 2 3 2 2 2 2" xfId="3756" xr:uid="{00000000-0005-0000-0000-0000BA0F0000}"/>
    <cellStyle name="입력 2 2 3 2 2 3" xfId="3757" xr:uid="{00000000-0005-0000-0000-0000BB0F0000}"/>
    <cellStyle name="입력 2 2 3 2 2 3 2" xfId="3758" xr:uid="{00000000-0005-0000-0000-0000BC0F0000}"/>
    <cellStyle name="입력 2 2 3 2 2 4" xfId="3759" xr:uid="{00000000-0005-0000-0000-0000BD0F0000}"/>
    <cellStyle name="입력 2 2 3 2 2 4 2" xfId="3760" xr:uid="{00000000-0005-0000-0000-0000BE0F0000}"/>
    <cellStyle name="입력 2 2 3 2 2 5" xfId="3761" xr:uid="{00000000-0005-0000-0000-0000BF0F0000}"/>
    <cellStyle name="입력 2 2 3 2 3" xfId="3762" xr:uid="{00000000-0005-0000-0000-0000C00F0000}"/>
    <cellStyle name="입력 2 2 3 2 3 2" xfId="3763" xr:uid="{00000000-0005-0000-0000-0000C10F0000}"/>
    <cellStyle name="입력 2 2 3 2 3 2 2" xfId="3764" xr:uid="{00000000-0005-0000-0000-0000C20F0000}"/>
    <cellStyle name="입력 2 2 3 2 3 3" xfId="3765" xr:uid="{00000000-0005-0000-0000-0000C30F0000}"/>
    <cellStyle name="입력 2 2 3 2 3 3 2" xfId="3766" xr:uid="{00000000-0005-0000-0000-0000C40F0000}"/>
    <cellStyle name="입력 2 2 3 2 3 4" xfId="3767" xr:uid="{00000000-0005-0000-0000-0000C50F0000}"/>
    <cellStyle name="입력 2 2 3 2 3 4 2" xfId="3768" xr:uid="{00000000-0005-0000-0000-0000C60F0000}"/>
    <cellStyle name="입력 2 2 3 2 3 5" xfId="3769" xr:uid="{00000000-0005-0000-0000-0000C70F0000}"/>
    <cellStyle name="입력 2 2 3 2 4" xfId="3770" xr:uid="{00000000-0005-0000-0000-0000C80F0000}"/>
    <cellStyle name="입력 2 2 3 2 4 2" xfId="3771" xr:uid="{00000000-0005-0000-0000-0000C90F0000}"/>
    <cellStyle name="입력 2 2 3 2 5" xfId="3772" xr:uid="{00000000-0005-0000-0000-0000CA0F0000}"/>
    <cellStyle name="입력 2 2 3 2 5 2" xfId="3773" xr:uid="{00000000-0005-0000-0000-0000CB0F0000}"/>
    <cellStyle name="입력 2 2 3 2 6" xfId="3774" xr:uid="{00000000-0005-0000-0000-0000CC0F0000}"/>
    <cellStyle name="입력 2 2 3 2 6 2" xfId="3775" xr:uid="{00000000-0005-0000-0000-0000CD0F0000}"/>
    <cellStyle name="입력 2 2 3 2 7" xfId="3776" xr:uid="{00000000-0005-0000-0000-0000CE0F0000}"/>
    <cellStyle name="입력 2 2 3 3" xfId="3777" xr:uid="{00000000-0005-0000-0000-0000CF0F0000}"/>
    <cellStyle name="입력 2 2 3 3 2" xfId="3778" xr:uid="{00000000-0005-0000-0000-0000D00F0000}"/>
    <cellStyle name="입력 2 2 3 3 2 2" xfId="3779" xr:uid="{00000000-0005-0000-0000-0000D10F0000}"/>
    <cellStyle name="입력 2 2 3 3 3" xfId="3780" xr:uid="{00000000-0005-0000-0000-0000D20F0000}"/>
    <cellStyle name="입력 2 2 3 3 3 2" xfId="3781" xr:uid="{00000000-0005-0000-0000-0000D30F0000}"/>
    <cellStyle name="입력 2 2 3 3 4" xfId="3782" xr:uid="{00000000-0005-0000-0000-0000D40F0000}"/>
    <cellStyle name="입력 2 2 3 3 4 2" xfId="3783" xr:uid="{00000000-0005-0000-0000-0000D50F0000}"/>
    <cellStyle name="입력 2 2 3 3 5" xfId="3784" xr:uid="{00000000-0005-0000-0000-0000D60F0000}"/>
    <cellStyle name="입력 2 2 3 4" xfId="3785" xr:uid="{00000000-0005-0000-0000-0000D70F0000}"/>
    <cellStyle name="입력 2 2 3 4 2" xfId="3786" xr:uid="{00000000-0005-0000-0000-0000D80F0000}"/>
    <cellStyle name="입력 2 2 3 4 2 2" xfId="3787" xr:uid="{00000000-0005-0000-0000-0000D90F0000}"/>
    <cellStyle name="입력 2 2 3 4 3" xfId="3788" xr:uid="{00000000-0005-0000-0000-0000DA0F0000}"/>
    <cellStyle name="입력 2 2 3 4 3 2" xfId="3789" xr:uid="{00000000-0005-0000-0000-0000DB0F0000}"/>
    <cellStyle name="입력 2 2 3 4 4" xfId="3790" xr:uid="{00000000-0005-0000-0000-0000DC0F0000}"/>
    <cellStyle name="입력 2 2 3 4 4 2" xfId="3791" xr:uid="{00000000-0005-0000-0000-0000DD0F0000}"/>
    <cellStyle name="입력 2 2 3 4 5" xfId="3792" xr:uid="{00000000-0005-0000-0000-0000DE0F0000}"/>
    <cellStyle name="입력 2 2 3 5" xfId="3793" xr:uid="{00000000-0005-0000-0000-0000DF0F0000}"/>
    <cellStyle name="입력 2 2 3 5 2" xfId="3794" xr:uid="{00000000-0005-0000-0000-0000E00F0000}"/>
    <cellStyle name="입력 2 2 3 6" xfId="3795" xr:uid="{00000000-0005-0000-0000-0000E10F0000}"/>
    <cellStyle name="입력 2 2 3 6 2" xfId="3796" xr:uid="{00000000-0005-0000-0000-0000E20F0000}"/>
    <cellStyle name="입력 2 2 3 7" xfId="3797" xr:uid="{00000000-0005-0000-0000-0000E30F0000}"/>
    <cellStyle name="입력 2 2 4" xfId="3798" xr:uid="{00000000-0005-0000-0000-0000E40F0000}"/>
    <cellStyle name="입력 2 2 4 2" xfId="3799" xr:uid="{00000000-0005-0000-0000-0000E50F0000}"/>
    <cellStyle name="입력 2 2 4 2 2" xfId="3800" xr:uid="{00000000-0005-0000-0000-0000E60F0000}"/>
    <cellStyle name="입력 2 2 4 2 2 2" xfId="3801" xr:uid="{00000000-0005-0000-0000-0000E70F0000}"/>
    <cellStyle name="입력 2 2 4 2 2 2 2" xfId="3802" xr:uid="{00000000-0005-0000-0000-0000E80F0000}"/>
    <cellStyle name="입력 2 2 4 2 2 3" xfId="3803" xr:uid="{00000000-0005-0000-0000-0000E90F0000}"/>
    <cellStyle name="입력 2 2 4 2 2 3 2" xfId="3804" xr:uid="{00000000-0005-0000-0000-0000EA0F0000}"/>
    <cellStyle name="입력 2 2 4 2 2 4" xfId="3805" xr:uid="{00000000-0005-0000-0000-0000EB0F0000}"/>
    <cellStyle name="입력 2 2 4 2 2 4 2" xfId="3806" xr:uid="{00000000-0005-0000-0000-0000EC0F0000}"/>
    <cellStyle name="입력 2 2 4 2 2 5" xfId="3807" xr:uid="{00000000-0005-0000-0000-0000ED0F0000}"/>
    <cellStyle name="입력 2 2 4 2 3" xfId="3808" xr:uid="{00000000-0005-0000-0000-0000EE0F0000}"/>
    <cellStyle name="입력 2 2 4 2 3 2" xfId="3809" xr:uid="{00000000-0005-0000-0000-0000EF0F0000}"/>
    <cellStyle name="입력 2 2 4 2 3 2 2" xfId="3810" xr:uid="{00000000-0005-0000-0000-0000F00F0000}"/>
    <cellStyle name="입력 2 2 4 2 3 3" xfId="3811" xr:uid="{00000000-0005-0000-0000-0000F10F0000}"/>
    <cellStyle name="입력 2 2 4 2 3 3 2" xfId="3812" xr:uid="{00000000-0005-0000-0000-0000F20F0000}"/>
    <cellStyle name="입력 2 2 4 2 3 4" xfId="3813" xr:uid="{00000000-0005-0000-0000-0000F30F0000}"/>
    <cellStyle name="입력 2 2 4 2 3 4 2" xfId="3814" xr:uid="{00000000-0005-0000-0000-0000F40F0000}"/>
    <cellStyle name="입력 2 2 4 2 3 5" xfId="3815" xr:uid="{00000000-0005-0000-0000-0000F50F0000}"/>
    <cellStyle name="입력 2 2 4 2 4" xfId="3816" xr:uid="{00000000-0005-0000-0000-0000F60F0000}"/>
    <cellStyle name="입력 2 2 4 2 4 2" xfId="3817" xr:uid="{00000000-0005-0000-0000-0000F70F0000}"/>
    <cellStyle name="입력 2 2 4 2 5" xfId="3818" xr:uid="{00000000-0005-0000-0000-0000F80F0000}"/>
    <cellStyle name="입력 2 2 4 2 5 2" xfId="3819" xr:uid="{00000000-0005-0000-0000-0000F90F0000}"/>
    <cellStyle name="입력 2 2 4 2 6" xfId="3820" xr:uid="{00000000-0005-0000-0000-0000FA0F0000}"/>
    <cellStyle name="입력 2 2 4 2 6 2" xfId="3821" xr:uid="{00000000-0005-0000-0000-0000FB0F0000}"/>
    <cellStyle name="입력 2 2 4 2 7" xfId="3822" xr:uid="{00000000-0005-0000-0000-0000FC0F0000}"/>
    <cellStyle name="입력 2 2 4 3" xfId="3823" xr:uid="{00000000-0005-0000-0000-0000FD0F0000}"/>
    <cellStyle name="입력 2 2 4 3 2" xfId="3824" xr:uid="{00000000-0005-0000-0000-0000FE0F0000}"/>
    <cellStyle name="입력 2 2 4 3 2 2" xfId="3825" xr:uid="{00000000-0005-0000-0000-0000FF0F0000}"/>
    <cellStyle name="입력 2 2 4 3 3" xfId="3826" xr:uid="{00000000-0005-0000-0000-000000100000}"/>
    <cellStyle name="입력 2 2 4 3 3 2" xfId="3827" xr:uid="{00000000-0005-0000-0000-000001100000}"/>
    <cellStyle name="입력 2 2 4 3 4" xfId="3828" xr:uid="{00000000-0005-0000-0000-000002100000}"/>
    <cellStyle name="입력 2 2 4 3 4 2" xfId="3829" xr:uid="{00000000-0005-0000-0000-000003100000}"/>
    <cellStyle name="입력 2 2 4 3 5" xfId="3830" xr:uid="{00000000-0005-0000-0000-000004100000}"/>
    <cellStyle name="입력 2 2 4 4" xfId="3831" xr:uid="{00000000-0005-0000-0000-000005100000}"/>
    <cellStyle name="입력 2 2 4 4 2" xfId="3832" xr:uid="{00000000-0005-0000-0000-000006100000}"/>
    <cellStyle name="입력 2 2 4 4 2 2" xfId="3833" xr:uid="{00000000-0005-0000-0000-000007100000}"/>
    <cellStyle name="입력 2 2 4 4 3" xfId="3834" xr:uid="{00000000-0005-0000-0000-000008100000}"/>
    <cellStyle name="입력 2 2 4 4 3 2" xfId="3835" xr:uid="{00000000-0005-0000-0000-000009100000}"/>
    <cellStyle name="입력 2 2 4 4 4" xfId="3836" xr:uid="{00000000-0005-0000-0000-00000A100000}"/>
    <cellStyle name="입력 2 2 4 4 4 2" xfId="3837" xr:uid="{00000000-0005-0000-0000-00000B100000}"/>
    <cellStyle name="입력 2 2 4 4 5" xfId="3838" xr:uid="{00000000-0005-0000-0000-00000C100000}"/>
    <cellStyle name="입력 2 2 4 5" xfId="3839" xr:uid="{00000000-0005-0000-0000-00000D100000}"/>
    <cellStyle name="입력 2 2 4 5 2" xfId="3840" xr:uid="{00000000-0005-0000-0000-00000E100000}"/>
    <cellStyle name="입력 2 2 4 6" xfId="3841" xr:uid="{00000000-0005-0000-0000-00000F100000}"/>
    <cellStyle name="입력 2 2 4 6 2" xfId="3842" xr:uid="{00000000-0005-0000-0000-000010100000}"/>
    <cellStyle name="입력 2 2 4 7" xfId="3843" xr:uid="{00000000-0005-0000-0000-000011100000}"/>
    <cellStyle name="입력 2 2 5" xfId="3844" xr:uid="{00000000-0005-0000-0000-000012100000}"/>
    <cellStyle name="입력 2 2 5 2" xfId="3845" xr:uid="{00000000-0005-0000-0000-000013100000}"/>
    <cellStyle name="입력 2 2 5 2 2" xfId="3846" xr:uid="{00000000-0005-0000-0000-000014100000}"/>
    <cellStyle name="입력 2 2 5 2 2 2" xfId="3847" xr:uid="{00000000-0005-0000-0000-000015100000}"/>
    <cellStyle name="입력 2 2 5 2 3" xfId="3848" xr:uid="{00000000-0005-0000-0000-000016100000}"/>
    <cellStyle name="입력 2 2 5 2 3 2" xfId="3849" xr:uid="{00000000-0005-0000-0000-000017100000}"/>
    <cellStyle name="입력 2 2 5 2 4" xfId="3850" xr:uid="{00000000-0005-0000-0000-000018100000}"/>
    <cellStyle name="입력 2 2 5 2 4 2" xfId="3851" xr:uid="{00000000-0005-0000-0000-000019100000}"/>
    <cellStyle name="입력 2 2 5 2 5" xfId="3852" xr:uid="{00000000-0005-0000-0000-00001A100000}"/>
    <cellStyle name="입력 2 2 5 3" xfId="3853" xr:uid="{00000000-0005-0000-0000-00001B100000}"/>
    <cellStyle name="입력 2 2 5 3 2" xfId="3854" xr:uid="{00000000-0005-0000-0000-00001C100000}"/>
    <cellStyle name="입력 2 2 5 3 2 2" xfId="3855" xr:uid="{00000000-0005-0000-0000-00001D100000}"/>
    <cellStyle name="입력 2 2 5 3 3" xfId="3856" xr:uid="{00000000-0005-0000-0000-00001E100000}"/>
    <cellStyle name="입력 2 2 5 3 3 2" xfId="3857" xr:uid="{00000000-0005-0000-0000-00001F100000}"/>
    <cellStyle name="입력 2 2 5 3 4" xfId="3858" xr:uid="{00000000-0005-0000-0000-000020100000}"/>
    <cellStyle name="입력 2 2 5 3 4 2" xfId="3859" xr:uid="{00000000-0005-0000-0000-000021100000}"/>
    <cellStyle name="입력 2 2 5 3 5" xfId="3860" xr:uid="{00000000-0005-0000-0000-000022100000}"/>
    <cellStyle name="입력 2 2 5 4" xfId="3861" xr:uid="{00000000-0005-0000-0000-000023100000}"/>
    <cellStyle name="입력 2 2 5 4 2" xfId="3862" xr:uid="{00000000-0005-0000-0000-000024100000}"/>
    <cellStyle name="입력 2 2 5 5" xfId="3863" xr:uid="{00000000-0005-0000-0000-000025100000}"/>
    <cellStyle name="입력 2 2 5 5 2" xfId="3864" xr:uid="{00000000-0005-0000-0000-000026100000}"/>
    <cellStyle name="입력 2 2 5 6" xfId="3865" xr:uid="{00000000-0005-0000-0000-000027100000}"/>
    <cellStyle name="입력 2 2 5 6 2" xfId="3866" xr:uid="{00000000-0005-0000-0000-000028100000}"/>
    <cellStyle name="입력 2 2 5 7" xfId="3867" xr:uid="{00000000-0005-0000-0000-000029100000}"/>
    <cellStyle name="입력 2 2 6" xfId="3868" xr:uid="{00000000-0005-0000-0000-00002A100000}"/>
    <cellStyle name="입력 2 2 6 2" xfId="3869" xr:uid="{00000000-0005-0000-0000-00002B100000}"/>
    <cellStyle name="입력 2 2 6 2 2" xfId="3870" xr:uid="{00000000-0005-0000-0000-00002C100000}"/>
    <cellStyle name="입력 2 2 6 3" xfId="3871" xr:uid="{00000000-0005-0000-0000-00002D100000}"/>
    <cellStyle name="입력 2 2 6 3 2" xfId="3872" xr:uid="{00000000-0005-0000-0000-00002E100000}"/>
    <cellStyle name="입력 2 2 6 4" xfId="3873" xr:uid="{00000000-0005-0000-0000-00002F100000}"/>
    <cellStyle name="입력 2 2 6 4 2" xfId="3874" xr:uid="{00000000-0005-0000-0000-000030100000}"/>
    <cellStyle name="입력 2 2 6 5" xfId="3875" xr:uid="{00000000-0005-0000-0000-000031100000}"/>
    <cellStyle name="입력 2 2 7" xfId="3876" xr:uid="{00000000-0005-0000-0000-000032100000}"/>
    <cellStyle name="입력 2 2 7 2" xfId="3877" xr:uid="{00000000-0005-0000-0000-000033100000}"/>
    <cellStyle name="입력 2 2 7 2 2" xfId="3878" xr:uid="{00000000-0005-0000-0000-000034100000}"/>
    <cellStyle name="입력 2 2 7 3" xfId="3879" xr:uid="{00000000-0005-0000-0000-000035100000}"/>
    <cellStyle name="입력 2 2 7 3 2" xfId="3880" xr:uid="{00000000-0005-0000-0000-000036100000}"/>
    <cellStyle name="입력 2 2 7 4" xfId="3881" xr:uid="{00000000-0005-0000-0000-000037100000}"/>
    <cellStyle name="입력 2 2 7 4 2" xfId="3882" xr:uid="{00000000-0005-0000-0000-000038100000}"/>
    <cellStyle name="입력 2 2 7 5" xfId="3883" xr:uid="{00000000-0005-0000-0000-000039100000}"/>
    <cellStyle name="입력 2 2 8" xfId="3884" xr:uid="{00000000-0005-0000-0000-00003A100000}"/>
    <cellStyle name="입력 2 2 8 2" xfId="3885" xr:uid="{00000000-0005-0000-0000-00003B100000}"/>
    <cellStyle name="입력 2 2 9" xfId="3886" xr:uid="{00000000-0005-0000-0000-00003C100000}"/>
    <cellStyle name="입력 2 2 9 2" xfId="3887" xr:uid="{00000000-0005-0000-0000-00003D100000}"/>
    <cellStyle name="입력 2 3" xfId="3888" xr:uid="{00000000-0005-0000-0000-00003E100000}"/>
    <cellStyle name="입력 2 3 2" xfId="3889" xr:uid="{00000000-0005-0000-0000-00003F100000}"/>
    <cellStyle name="입력 2 3 2 2" xfId="3890" xr:uid="{00000000-0005-0000-0000-000040100000}"/>
    <cellStyle name="입력 2 3 2 2 2" xfId="3891" xr:uid="{00000000-0005-0000-0000-000041100000}"/>
    <cellStyle name="입력 2 3 2 2 2 2" xfId="3892" xr:uid="{00000000-0005-0000-0000-000042100000}"/>
    <cellStyle name="입력 2 3 2 2 2 2 2" xfId="3893" xr:uid="{00000000-0005-0000-0000-000043100000}"/>
    <cellStyle name="입력 2 3 2 2 2 3" xfId="3894" xr:uid="{00000000-0005-0000-0000-000044100000}"/>
    <cellStyle name="입력 2 3 2 2 2 3 2" xfId="3895" xr:uid="{00000000-0005-0000-0000-000045100000}"/>
    <cellStyle name="입력 2 3 2 2 2 4" xfId="3896" xr:uid="{00000000-0005-0000-0000-000046100000}"/>
    <cellStyle name="입력 2 3 2 2 2 4 2" xfId="3897" xr:uid="{00000000-0005-0000-0000-000047100000}"/>
    <cellStyle name="입력 2 3 2 2 2 5" xfId="3898" xr:uid="{00000000-0005-0000-0000-000048100000}"/>
    <cellStyle name="입력 2 3 2 2 3" xfId="3899" xr:uid="{00000000-0005-0000-0000-000049100000}"/>
    <cellStyle name="입력 2 3 2 2 3 2" xfId="3900" xr:uid="{00000000-0005-0000-0000-00004A100000}"/>
    <cellStyle name="입력 2 3 2 2 3 2 2" xfId="3901" xr:uid="{00000000-0005-0000-0000-00004B100000}"/>
    <cellStyle name="입력 2 3 2 2 3 3" xfId="3902" xr:uid="{00000000-0005-0000-0000-00004C100000}"/>
    <cellStyle name="입력 2 3 2 2 3 3 2" xfId="3903" xr:uid="{00000000-0005-0000-0000-00004D100000}"/>
    <cellStyle name="입력 2 3 2 2 3 4" xfId="3904" xr:uid="{00000000-0005-0000-0000-00004E100000}"/>
    <cellStyle name="입력 2 3 2 2 3 4 2" xfId="3905" xr:uid="{00000000-0005-0000-0000-00004F100000}"/>
    <cellStyle name="입력 2 3 2 2 3 5" xfId="3906" xr:uid="{00000000-0005-0000-0000-000050100000}"/>
    <cellStyle name="입력 2 3 2 2 4" xfId="3907" xr:uid="{00000000-0005-0000-0000-000051100000}"/>
    <cellStyle name="입력 2 3 2 2 4 2" xfId="3908" xr:uid="{00000000-0005-0000-0000-000052100000}"/>
    <cellStyle name="입력 2 3 2 2 5" xfId="3909" xr:uid="{00000000-0005-0000-0000-000053100000}"/>
    <cellStyle name="입력 2 3 2 2 5 2" xfId="3910" xr:uid="{00000000-0005-0000-0000-000054100000}"/>
    <cellStyle name="입력 2 3 2 2 6" xfId="3911" xr:uid="{00000000-0005-0000-0000-000055100000}"/>
    <cellStyle name="입력 2 3 2 2 6 2" xfId="3912" xr:uid="{00000000-0005-0000-0000-000056100000}"/>
    <cellStyle name="입력 2 3 2 2 7" xfId="3913" xr:uid="{00000000-0005-0000-0000-000057100000}"/>
    <cellStyle name="입력 2 3 2 3" xfId="3914" xr:uid="{00000000-0005-0000-0000-000058100000}"/>
    <cellStyle name="입력 2 3 2 3 2" xfId="3915" xr:uid="{00000000-0005-0000-0000-000059100000}"/>
    <cellStyle name="입력 2 3 2 3 2 2" xfId="3916" xr:uid="{00000000-0005-0000-0000-00005A100000}"/>
    <cellStyle name="입력 2 3 2 3 3" xfId="3917" xr:uid="{00000000-0005-0000-0000-00005B100000}"/>
    <cellStyle name="입력 2 3 2 3 3 2" xfId="3918" xr:uid="{00000000-0005-0000-0000-00005C100000}"/>
    <cellStyle name="입력 2 3 2 3 4" xfId="3919" xr:uid="{00000000-0005-0000-0000-00005D100000}"/>
    <cellStyle name="입력 2 3 2 3 4 2" xfId="3920" xr:uid="{00000000-0005-0000-0000-00005E100000}"/>
    <cellStyle name="입력 2 3 2 3 5" xfId="3921" xr:uid="{00000000-0005-0000-0000-00005F100000}"/>
    <cellStyle name="입력 2 3 2 4" xfId="3922" xr:uid="{00000000-0005-0000-0000-000060100000}"/>
    <cellStyle name="입력 2 3 2 4 2" xfId="3923" xr:uid="{00000000-0005-0000-0000-000061100000}"/>
    <cellStyle name="입력 2 3 2 4 2 2" xfId="3924" xr:uid="{00000000-0005-0000-0000-000062100000}"/>
    <cellStyle name="입력 2 3 2 4 3" xfId="3925" xr:uid="{00000000-0005-0000-0000-000063100000}"/>
    <cellStyle name="입력 2 3 2 4 3 2" xfId="3926" xr:uid="{00000000-0005-0000-0000-000064100000}"/>
    <cellStyle name="입력 2 3 2 4 4" xfId="3927" xr:uid="{00000000-0005-0000-0000-000065100000}"/>
    <cellStyle name="입력 2 3 2 4 4 2" xfId="3928" xr:uid="{00000000-0005-0000-0000-000066100000}"/>
    <cellStyle name="입력 2 3 2 4 5" xfId="3929" xr:uid="{00000000-0005-0000-0000-000067100000}"/>
    <cellStyle name="입력 2 3 2 5" xfId="3930" xr:uid="{00000000-0005-0000-0000-000068100000}"/>
    <cellStyle name="입력 2 3 2 5 2" xfId="3931" xr:uid="{00000000-0005-0000-0000-000069100000}"/>
    <cellStyle name="입력 2 3 2 6" xfId="3932" xr:uid="{00000000-0005-0000-0000-00006A100000}"/>
    <cellStyle name="입력 2 3 2 6 2" xfId="3933" xr:uid="{00000000-0005-0000-0000-00006B100000}"/>
    <cellStyle name="입력 2 3 2 7" xfId="3934" xr:uid="{00000000-0005-0000-0000-00006C100000}"/>
    <cellStyle name="입력 2 3 3" xfId="3935" xr:uid="{00000000-0005-0000-0000-00006D100000}"/>
    <cellStyle name="입력 2 3 3 2" xfId="3936" xr:uid="{00000000-0005-0000-0000-00006E100000}"/>
    <cellStyle name="입력 2 3 3 2 2" xfId="3937" xr:uid="{00000000-0005-0000-0000-00006F100000}"/>
    <cellStyle name="입력 2 3 3 2 2 2" xfId="3938" xr:uid="{00000000-0005-0000-0000-000070100000}"/>
    <cellStyle name="입력 2 3 3 2 3" xfId="3939" xr:uid="{00000000-0005-0000-0000-000071100000}"/>
    <cellStyle name="입력 2 3 3 2 3 2" xfId="3940" xr:uid="{00000000-0005-0000-0000-000072100000}"/>
    <cellStyle name="입력 2 3 3 2 4" xfId="3941" xr:uid="{00000000-0005-0000-0000-000073100000}"/>
    <cellStyle name="입력 2 3 3 2 4 2" xfId="3942" xr:uid="{00000000-0005-0000-0000-000074100000}"/>
    <cellStyle name="입력 2 3 3 2 5" xfId="3943" xr:uid="{00000000-0005-0000-0000-000075100000}"/>
    <cellStyle name="입력 2 3 3 3" xfId="3944" xr:uid="{00000000-0005-0000-0000-000076100000}"/>
    <cellStyle name="입력 2 3 3 3 2" xfId="3945" xr:uid="{00000000-0005-0000-0000-000077100000}"/>
    <cellStyle name="입력 2 3 3 3 2 2" xfId="3946" xr:uid="{00000000-0005-0000-0000-000078100000}"/>
    <cellStyle name="입력 2 3 3 3 3" xfId="3947" xr:uid="{00000000-0005-0000-0000-000079100000}"/>
    <cellStyle name="입력 2 3 3 3 3 2" xfId="3948" xr:uid="{00000000-0005-0000-0000-00007A100000}"/>
    <cellStyle name="입력 2 3 3 3 4" xfId="3949" xr:uid="{00000000-0005-0000-0000-00007B100000}"/>
    <cellStyle name="입력 2 3 3 3 4 2" xfId="3950" xr:uid="{00000000-0005-0000-0000-00007C100000}"/>
    <cellStyle name="입력 2 3 3 3 5" xfId="3951" xr:uid="{00000000-0005-0000-0000-00007D100000}"/>
    <cellStyle name="입력 2 3 3 4" xfId="3952" xr:uid="{00000000-0005-0000-0000-00007E100000}"/>
    <cellStyle name="입력 2 3 3 4 2" xfId="3953" xr:uid="{00000000-0005-0000-0000-00007F100000}"/>
    <cellStyle name="입력 2 3 3 5" xfId="3954" xr:uid="{00000000-0005-0000-0000-000080100000}"/>
    <cellStyle name="입력 2 3 3 5 2" xfId="3955" xr:uid="{00000000-0005-0000-0000-000081100000}"/>
    <cellStyle name="입력 2 3 3 6" xfId="3956" xr:uid="{00000000-0005-0000-0000-000082100000}"/>
    <cellStyle name="입력 2 3 3 6 2" xfId="3957" xr:uid="{00000000-0005-0000-0000-000083100000}"/>
    <cellStyle name="입력 2 3 3 7" xfId="3958" xr:uid="{00000000-0005-0000-0000-000084100000}"/>
    <cellStyle name="입력 2 3 4" xfId="3959" xr:uid="{00000000-0005-0000-0000-000085100000}"/>
    <cellStyle name="입력 2 3 4 2" xfId="3960" xr:uid="{00000000-0005-0000-0000-000086100000}"/>
    <cellStyle name="입력 2 3 4 2 2" xfId="3961" xr:uid="{00000000-0005-0000-0000-000087100000}"/>
    <cellStyle name="입력 2 3 4 3" xfId="3962" xr:uid="{00000000-0005-0000-0000-000088100000}"/>
    <cellStyle name="입력 2 3 4 3 2" xfId="3963" xr:uid="{00000000-0005-0000-0000-000089100000}"/>
    <cellStyle name="입력 2 3 4 4" xfId="3964" xr:uid="{00000000-0005-0000-0000-00008A100000}"/>
    <cellStyle name="입력 2 3 4 4 2" xfId="3965" xr:uid="{00000000-0005-0000-0000-00008B100000}"/>
    <cellStyle name="입력 2 3 4 5" xfId="3966" xr:uid="{00000000-0005-0000-0000-00008C100000}"/>
    <cellStyle name="입력 2 3 5" xfId="3967" xr:uid="{00000000-0005-0000-0000-00008D100000}"/>
    <cellStyle name="입력 2 3 5 2" xfId="3968" xr:uid="{00000000-0005-0000-0000-00008E100000}"/>
    <cellStyle name="입력 2 3 5 2 2" xfId="3969" xr:uid="{00000000-0005-0000-0000-00008F100000}"/>
    <cellStyle name="입력 2 3 5 3" xfId="3970" xr:uid="{00000000-0005-0000-0000-000090100000}"/>
    <cellStyle name="입력 2 3 5 3 2" xfId="3971" xr:uid="{00000000-0005-0000-0000-000091100000}"/>
    <cellStyle name="입력 2 3 5 4" xfId="3972" xr:uid="{00000000-0005-0000-0000-000092100000}"/>
    <cellStyle name="입력 2 3 5 4 2" xfId="3973" xr:uid="{00000000-0005-0000-0000-000093100000}"/>
    <cellStyle name="입력 2 3 5 5" xfId="3974" xr:uid="{00000000-0005-0000-0000-000094100000}"/>
    <cellStyle name="입력 2 3 6" xfId="3975" xr:uid="{00000000-0005-0000-0000-000095100000}"/>
    <cellStyle name="입력 2 3 6 2" xfId="3976" xr:uid="{00000000-0005-0000-0000-000096100000}"/>
    <cellStyle name="입력 2 3 7" xfId="3977" xr:uid="{00000000-0005-0000-0000-000097100000}"/>
    <cellStyle name="입력 2 3 7 2" xfId="3978" xr:uid="{00000000-0005-0000-0000-000098100000}"/>
    <cellStyle name="입력 2 3 8" xfId="3979" xr:uid="{00000000-0005-0000-0000-000099100000}"/>
    <cellStyle name="입력 2 4" xfId="3980" xr:uid="{00000000-0005-0000-0000-00009A100000}"/>
    <cellStyle name="입력 2 4 2" xfId="3981" xr:uid="{00000000-0005-0000-0000-00009B100000}"/>
    <cellStyle name="입력 2 4 2 2" xfId="3982" xr:uid="{00000000-0005-0000-0000-00009C100000}"/>
    <cellStyle name="입력 2 4 2 2 2" xfId="3983" xr:uid="{00000000-0005-0000-0000-00009D100000}"/>
    <cellStyle name="입력 2 4 2 2 2 2" xfId="3984" xr:uid="{00000000-0005-0000-0000-00009E100000}"/>
    <cellStyle name="입력 2 4 2 2 3" xfId="3985" xr:uid="{00000000-0005-0000-0000-00009F100000}"/>
    <cellStyle name="입력 2 4 2 2 3 2" xfId="3986" xr:uid="{00000000-0005-0000-0000-0000A0100000}"/>
    <cellStyle name="입력 2 4 2 2 4" xfId="3987" xr:uid="{00000000-0005-0000-0000-0000A1100000}"/>
    <cellStyle name="입력 2 4 2 2 4 2" xfId="3988" xr:uid="{00000000-0005-0000-0000-0000A2100000}"/>
    <cellStyle name="입력 2 4 2 2 5" xfId="3989" xr:uid="{00000000-0005-0000-0000-0000A3100000}"/>
    <cellStyle name="입력 2 4 2 3" xfId="3990" xr:uid="{00000000-0005-0000-0000-0000A4100000}"/>
    <cellStyle name="입력 2 4 2 3 2" xfId="3991" xr:uid="{00000000-0005-0000-0000-0000A5100000}"/>
    <cellStyle name="입력 2 4 2 3 2 2" xfId="3992" xr:uid="{00000000-0005-0000-0000-0000A6100000}"/>
    <cellStyle name="입력 2 4 2 3 3" xfId="3993" xr:uid="{00000000-0005-0000-0000-0000A7100000}"/>
    <cellStyle name="입력 2 4 2 3 3 2" xfId="3994" xr:uid="{00000000-0005-0000-0000-0000A8100000}"/>
    <cellStyle name="입력 2 4 2 3 4" xfId="3995" xr:uid="{00000000-0005-0000-0000-0000A9100000}"/>
    <cellStyle name="입력 2 4 2 3 4 2" xfId="3996" xr:uid="{00000000-0005-0000-0000-0000AA100000}"/>
    <cellStyle name="입력 2 4 2 3 5" xfId="3997" xr:uid="{00000000-0005-0000-0000-0000AB100000}"/>
    <cellStyle name="입력 2 4 2 4" xfId="3998" xr:uid="{00000000-0005-0000-0000-0000AC100000}"/>
    <cellStyle name="입력 2 4 2 4 2" xfId="3999" xr:uid="{00000000-0005-0000-0000-0000AD100000}"/>
    <cellStyle name="입력 2 4 2 5" xfId="4000" xr:uid="{00000000-0005-0000-0000-0000AE100000}"/>
    <cellStyle name="입력 2 4 2 5 2" xfId="4001" xr:uid="{00000000-0005-0000-0000-0000AF100000}"/>
    <cellStyle name="입력 2 4 2 6" xfId="4002" xr:uid="{00000000-0005-0000-0000-0000B0100000}"/>
    <cellStyle name="입력 2 4 2 6 2" xfId="4003" xr:uid="{00000000-0005-0000-0000-0000B1100000}"/>
    <cellStyle name="입력 2 4 2 7" xfId="4004" xr:uid="{00000000-0005-0000-0000-0000B2100000}"/>
    <cellStyle name="입력 2 4 3" xfId="4005" xr:uid="{00000000-0005-0000-0000-0000B3100000}"/>
    <cellStyle name="입력 2 4 3 2" xfId="4006" xr:uid="{00000000-0005-0000-0000-0000B4100000}"/>
    <cellStyle name="입력 2 4 3 2 2" xfId="4007" xr:uid="{00000000-0005-0000-0000-0000B5100000}"/>
    <cellStyle name="입력 2 4 3 3" xfId="4008" xr:uid="{00000000-0005-0000-0000-0000B6100000}"/>
    <cellStyle name="입력 2 4 3 3 2" xfId="4009" xr:uid="{00000000-0005-0000-0000-0000B7100000}"/>
    <cellStyle name="입력 2 4 3 4" xfId="4010" xr:uid="{00000000-0005-0000-0000-0000B8100000}"/>
    <cellStyle name="입력 2 4 3 4 2" xfId="4011" xr:uid="{00000000-0005-0000-0000-0000B9100000}"/>
    <cellStyle name="입력 2 4 3 5" xfId="4012" xr:uid="{00000000-0005-0000-0000-0000BA100000}"/>
    <cellStyle name="입력 2 4 4" xfId="4013" xr:uid="{00000000-0005-0000-0000-0000BB100000}"/>
    <cellStyle name="입력 2 4 4 2" xfId="4014" xr:uid="{00000000-0005-0000-0000-0000BC100000}"/>
    <cellStyle name="입력 2 4 4 2 2" xfId="4015" xr:uid="{00000000-0005-0000-0000-0000BD100000}"/>
    <cellStyle name="입력 2 4 4 3" xfId="4016" xr:uid="{00000000-0005-0000-0000-0000BE100000}"/>
    <cellStyle name="입력 2 4 4 3 2" xfId="4017" xr:uid="{00000000-0005-0000-0000-0000BF100000}"/>
    <cellStyle name="입력 2 4 4 4" xfId="4018" xr:uid="{00000000-0005-0000-0000-0000C0100000}"/>
    <cellStyle name="입력 2 4 4 4 2" xfId="4019" xr:uid="{00000000-0005-0000-0000-0000C1100000}"/>
    <cellStyle name="입력 2 4 4 5" xfId="4020" xr:uid="{00000000-0005-0000-0000-0000C2100000}"/>
    <cellStyle name="입력 2 4 5" xfId="4021" xr:uid="{00000000-0005-0000-0000-0000C3100000}"/>
    <cellStyle name="입력 2 4 5 2" xfId="4022" xr:uid="{00000000-0005-0000-0000-0000C4100000}"/>
    <cellStyle name="입력 2 4 6" xfId="4023" xr:uid="{00000000-0005-0000-0000-0000C5100000}"/>
    <cellStyle name="입력 2 4 6 2" xfId="4024" xr:uid="{00000000-0005-0000-0000-0000C6100000}"/>
    <cellStyle name="입력 2 4 7" xfId="4025" xr:uid="{00000000-0005-0000-0000-0000C7100000}"/>
    <cellStyle name="입력 2 5" xfId="4026" xr:uid="{00000000-0005-0000-0000-0000C8100000}"/>
    <cellStyle name="입력 2 5 2" xfId="4027" xr:uid="{00000000-0005-0000-0000-0000C9100000}"/>
    <cellStyle name="입력 2 5 2 2" xfId="4028" xr:uid="{00000000-0005-0000-0000-0000CA100000}"/>
    <cellStyle name="입력 2 5 2 2 2" xfId="4029" xr:uid="{00000000-0005-0000-0000-0000CB100000}"/>
    <cellStyle name="입력 2 5 2 2 2 2" xfId="4030" xr:uid="{00000000-0005-0000-0000-0000CC100000}"/>
    <cellStyle name="입력 2 5 2 2 3" xfId="4031" xr:uid="{00000000-0005-0000-0000-0000CD100000}"/>
    <cellStyle name="입력 2 5 2 2 3 2" xfId="4032" xr:uid="{00000000-0005-0000-0000-0000CE100000}"/>
    <cellStyle name="입력 2 5 2 2 4" xfId="4033" xr:uid="{00000000-0005-0000-0000-0000CF100000}"/>
    <cellStyle name="입력 2 5 2 2 4 2" xfId="4034" xr:uid="{00000000-0005-0000-0000-0000D0100000}"/>
    <cellStyle name="입력 2 5 2 2 5" xfId="4035" xr:uid="{00000000-0005-0000-0000-0000D1100000}"/>
    <cellStyle name="입력 2 5 2 3" xfId="4036" xr:uid="{00000000-0005-0000-0000-0000D2100000}"/>
    <cellStyle name="입력 2 5 2 3 2" xfId="4037" xr:uid="{00000000-0005-0000-0000-0000D3100000}"/>
    <cellStyle name="입력 2 5 2 3 2 2" xfId="4038" xr:uid="{00000000-0005-0000-0000-0000D4100000}"/>
    <cellStyle name="입력 2 5 2 3 3" xfId="4039" xr:uid="{00000000-0005-0000-0000-0000D5100000}"/>
    <cellStyle name="입력 2 5 2 3 3 2" xfId="4040" xr:uid="{00000000-0005-0000-0000-0000D6100000}"/>
    <cellStyle name="입력 2 5 2 3 4" xfId="4041" xr:uid="{00000000-0005-0000-0000-0000D7100000}"/>
    <cellStyle name="입력 2 5 2 3 4 2" xfId="4042" xr:uid="{00000000-0005-0000-0000-0000D8100000}"/>
    <cellStyle name="입력 2 5 2 3 5" xfId="4043" xr:uid="{00000000-0005-0000-0000-0000D9100000}"/>
    <cellStyle name="입력 2 5 2 4" xfId="4044" xr:uid="{00000000-0005-0000-0000-0000DA100000}"/>
    <cellStyle name="입력 2 5 2 4 2" xfId="4045" xr:uid="{00000000-0005-0000-0000-0000DB100000}"/>
    <cellStyle name="입력 2 5 2 5" xfId="4046" xr:uid="{00000000-0005-0000-0000-0000DC100000}"/>
    <cellStyle name="입력 2 5 2 5 2" xfId="4047" xr:uid="{00000000-0005-0000-0000-0000DD100000}"/>
    <cellStyle name="입력 2 5 2 6" xfId="4048" xr:uid="{00000000-0005-0000-0000-0000DE100000}"/>
    <cellStyle name="입력 2 5 2 6 2" xfId="4049" xr:uid="{00000000-0005-0000-0000-0000DF100000}"/>
    <cellStyle name="입력 2 5 2 7" xfId="4050" xr:uid="{00000000-0005-0000-0000-0000E0100000}"/>
    <cellStyle name="입력 2 5 3" xfId="4051" xr:uid="{00000000-0005-0000-0000-0000E1100000}"/>
    <cellStyle name="입력 2 5 3 2" xfId="4052" xr:uid="{00000000-0005-0000-0000-0000E2100000}"/>
    <cellStyle name="입력 2 5 3 2 2" xfId="4053" xr:uid="{00000000-0005-0000-0000-0000E3100000}"/>
    <cellStyle name="입력 2 5 3 3" xfId="4054" xr:uid="{00000000-0005-0000-0000-0000E4100000}"/>
    <cellStyle name="입력 2 5 3 3 2" xfId="4055" xr:uid="{00000000-0005-0000-0000-0000E5100000}"/>
    <cellStyle name="입력 2 5 3 4" xfId="4056" xr:uid="{00000000-0005-0000-0000-0000E6100000}"/>
    <cellStyle name="입력 2 5 3 4 2" xfId="4057" xr:uid="{00000000-0005-0000-0000-0000E7100000}"/>
    <cellStyle name="입력 2 5 3 5" xfId="4058" xr:uid="{00000000-0005-0000-0000-0000E8100000}"/>
    <cellStyle name="입력 2 5 4" xfId="4059" xr:uid="{00000000-0005-0000-0000-0000E9100000}"/>
    <cellStyle name="입력 2 5 4 2" xfId="4060" xr:uid="{00000000-0005-0000-0000-0000EA100000}"/>
    <cellStyle name="입력 2 5 4 2 2" xfId="4061" xr:uid="{00000000-0005-0000-0000-0000EB100000}"/>
    <cellStyle name="입력 2 5 4 3" xfId="4062" xr:uid="{00000000-0005-0000-0000-0000EC100000}"/>
    <cellStyle name="입력 2 5 4 3 2" xfId="4063" xr:uid="{00000000-0005-0000-0000-0000ED100000}"/>
    <cellStyle name="입력 2 5 4 4" xfId="4064" xr:uid="{00000000-0005-0000-0000-0000EE100000}"/>
    <cellStyle name="입력 2 5 4 4 2" xfId="4065" xr:uid="{00000000-0005-0000-0000-0000EF100000}"/>
    <cellStyle name="입력 2 5 4 5" xfId="4066" xr:uid="{00000000-0005-0000-0000-0000F0100000}"/>
    <cellStyle name="입력 2 5 5" xfId="4067" xr:uid="{00000000-0005-0000-0000-0000F1100000}"/>
    <cellStyle name="입력 2 5 5 2" xfId="4068" xr:uid="{00000000-0005-0000-0000-0000F2100000}"/>
    <cellStyle name="입력 2 5 6" xfId="4069" xr:uid="{00000000-0005-0000-0000-0000F3100000}"/>
    <cellStyle name="입력 2 5 6 2" xfId="4070" xr:uid="{00000000-0005-0000-0000-0000F4100000}"/>
    <cellStyle name="입력 2 5 7" xfId="4071" xr:uid="{00000000-0005-0000-0000-0000F5100000}"/>
    <cellStyle name="입력 2 6" xfId="4072" xr:uid="{00000000-0005-0000-0000-0000F6100000}"/>
    <cellStyle name="입력 2 6 2" xfId="4073" xr:uid="{00000000-0005-0000-0000-0000F7100000}"/>
    <cellStyle name="입력 2 6 2 2" xfId="4074" xr:uid="{00000000-0005-0000-0000-0000F8100000}"/>
    <cellStyle name="입력 2 6 2 2 2" xfId="4075" xr:uid="{00000000-0005-0000-0000-0000F9100000}"/>
    <cellStyle name="입력 2 6 2 3" xfId="4076" xr:uid="{00000000-0005-0000-0000-0000FA100000}"/>
    <cellStyle name="입력 2 6 2 3 2" xfId="4077" xr:uid="{00000000-0005-0000-0000-0000FB100000}"/>
    <cellStyle name="입력 2 6 2 4" xfId="4078" xr:uid="{00000000-0005-0000-0000-0000FC100000}"/>
    <cellStyle name="입력 2 6 2 4 2" xfId="4079" xr:uid="{00000000-0005-0000-0000-0000FD100000}"/>
    <cellStyle name="입력 2 6 2 5" xfId="4080" xr:uid="{00000000-0005-0000-0000-0000FE100000}"/>
    <cellStyle name="입력 2 6 3" xfId="4081" xr:uid="{00000000-0005-0000-0000-0000FF100000}"/>
    <cellStyle name="입력 2 6 3 2" xfId="4082" xr:uid="{00000000-0005-0000-0000-000000110000}"/>
    <cellStyle name="입력 2 6 3 2 2" xfId="4083" xr:uid="{00000000-0005-0000-0000-000001110000}"/>
    <cellStyle name="입력 2 6 3 3" xfId="4084" xr:uid="{00000000-0005-0000-0000-000002110000}"/>
    <cellStyle name="입력 2 6 3 3 2" xfId="4085" xr:uid="{00000000-0005-0000-0000-000003110000}"/>
    <cellStyle name="입력 2 6 3 4" xfId="4086" xr:uid="{00000000-0005-0000-0000-000004110000}"/>
    <cellStyle name="입력 2 6 3 4 2" xfId="4087" xr:uid="{00000000-0005-0000-0000-000005110000}"/>
    <cellStyle name="입력 2 6 3 5" xfId="4088" xr:uid="{00000000-0005-0000-0000-000006110000}"/>
    <cellStyle name="입력 2 6 4" xfId="4089" xr:uid="{00000000-0005-0000-0000-000007110000}"/>
    <cellStyle name="입력 2 6 4 2" xfId="4090" xr:uid="{00000000-0005-0000-0000-000008110000}"/>
    <cellStyle name="입력 2 6 5" xfId="4091" xr:uid="{00000000-0005-0000-0000-000009110000}"/>
    <cellStyle name="입력 2 6 5 2" xfId="4092" xr:uid="{00000000-0005-0000-0000-00000A110000}"/>
    <cellStyle name="입력 2 6 6" xfId="4093" xr:uid="{00000000-0005-0000-0000-00000B110000}"/>
    <cellStyle name="입력 2 6 6 2" xfId="4094" xr:uid="{00000000-0005-0000-0000-00000C110000}"/>
    <cellStyle name="입력 2 6 7" xfId="4095" xr:uid="{00000000-0005-0000-0000-00000D110000}"/>
    <cellStyle name="입력 2 7" xfId="4096" xr:uid="{00000000-0005-0000-0000-00000E110000}"/>
    <cellStyle name="입력 2 7 2" xfId="4097" xr:uid="{00000000-0005-0000-0000-00000F110000}"/>
    <cellStyle name="입력 2 7 2 2" xfId="4098" xr:uid="{00000000-0005-0000-0000-000010110000}"/>
    <cellStyle name="입력 2 7 3" xfId="4099" xr:uid="{00000000-0005-0000-0000-000011110000}"/>
    <cellStyle name="입력 2 7 3 2" xfId="4100" xr:uid="{00000000-0005-0000-0000-000012110000}"/>
    <cellStyle name="입력 2 7 4" xfId="4101" xr:uid="{00000000-0005-0000-0000-000013110000}"/>
    <cellStyle name="입력 2 7 4 2" xfId="4102" xr:uid="{00000000-0005-0000-0000-000014110000}"/>
    <cellStyle name="입력 2 7 5" xfId="4103" xr:uid="{00000000-0005-0000-0000-000015110000}"/>
    <cellStyle name="입력 2 8" xfId="4104" xr:uid="{00000000-0005-0000-0000-000016110000}"/>
    <cellStyle name="입력 2 8 2" xfId="4105" xr:uid="{00000000-0005-0000-0000-000017110000}"/>
    <cellStyle name="입력 2 8 2 2" xfId="4106" xr:uid="{00000000-0005-0000-0000-000018110000}"/>
    <cellStyle name="입력 2 8 3" xfId="4107" xr:uid="{00000000-0005-0000-0000-000019110000}"/>
    <cellStyle name="입력 2 8 3 2" xfId="4108" xr:uid="{00000000-0005-0000-0000-00001A110000}"/>
    <cellStyle name="입력 2 8 4" xfId="4109" xr:uid="{00000000-0005-0000-0000-00001B110000}"/>
    <cellStyle name="입력 2 8 4 2" xfId="4110" xr:uid="{00000000-0005-0000-0000-00001C110000}"/>
    <cellStyle name="입력 2 8 5" xfId="4111" xr:uid="{00000000-0005-0000-0000-00001D110000}"/>
    <cellStyle name="입력 2 9" xfId="4112" xr:uid="{00000000-0005-0000-0000-00001E110000}"/>
    <cellStyle name="입력 2 9 2" xfId="4113" xr:uid="{00000000-0005-0000-0000-00001F110000}"/>
    <cellStyle name="입력 3" xfId="4114" xr:uid="{00000000-0005-0000-0000-000020110000}"/>
    <cellStyle name="입력 4" xfId="4115" xr:uid="{00000000-0005-0000-0000-000021110000}"/>
    <cellStyle name="입력 5" xfId="4116" xr:uid="{00000000-0005-0000-0000-000022110000}"/>
    <cellStyle name="입력 6" xfId="4117" xr:uid="{00000000-0005-0000-0000-000023110000}"/>
    <cellStyle name="입력 7" xfId="4118" xr:uid="{00000000-0005-0000-0000-000024110000}"/>
    <cellStyle name="입력 8" xfId="4119" xr:uid="{00000000-0005-0000-0000-000025110000}"/>
    <cellStyle name="입력 9" xfId="4120" xr:uid="{00000000-0005-0000-0000-000026110000}"/>
    <cellStyle name="자리수" xfId="4121" xr:uid="{00000000-0005-0000-0000-000027110000}"/>
    <cellStyle name="자리수0" xfId="4122" xr:uid="{00000000-0005-0000-0000-000028110000}"/>
    <cellStyle name="전일택배" xfId="4123" xr:uid="{00000000-0005-0000-0000-000029110000}"/>
    <cellStyle name="전일택배 2" xfId="4124" xr:uid="{00000000-0005-0000-0000-00002A110000}"/>
    <cellStyle name="제목" xfId="1" builtinId="15" customBuiltin="1"/>
    <cellStyle name="제목 1" xfId="2" builtinId="16" customBuiltin="1"/>
    <cellStyle name="제목 1 10" xfId="4125" xr:uid="{00000000-0005-0000-0000-00002D110000}"/>
    <cellStyle name="제목 1 11" xfId="4126" xr:uid="{00000000-0005-0000-0000-00002E110000}"/>
    <cellStyle name="제목 1 12" xfId="4127" xr:uid="{00000000-0005-0000-0000-00002F110000}"/>
    <cellStyle name="제목 1 13" xfId="4128" xr:uid="{00000000-0005-0000-0000-000030110000}"/>
    <cellStyle name="제목 1 14" xfId="4129" xr:uid="{00000000-0005-0000-0000-000031110000}"/>
    <cellStyle name="제목 1 2" xfId="4130" xr:uid="{00000000-0005-0000-0000-000032110000}"/>
    <cellStyle name="제목 1 2 2" xfId="4131" xr:uid="{00000000-0005-0000-0000-000033110000}"/>
    <cellStyle name="제목 1 2 2 2" xfId="4132" xr:uid="{00000000-0005-0000-0000-000034110000}"/>
    <cellStyle name="제목 1 2 3" xfId="4133" xr:uid="{00000000-0005-0000-0000-000035110000}"/>
    <cellStyle name="제목 1 3" xfId="4134" xr:uid="{00000000-0005-0000-0000-000036110000}"/>
    <cellStyle name="제목 1 4" xfId="4135" xr:uid="{00000000-0005-0000-0000-000037110000}"/>
    <cellStyle name="제목 1 5" xfId="4136" xr:uid="{00000000-0005-0000-0000-000038110000}"/>
    <cellStyle name="제목 1 6" xfId="4137" xr:uid="{00000000-0005-0000-0000-000039110000}"/>
    <cellStyle name="제목 1 7" xfId="4138" xr:uid="{00000000-0005-0000-0000-00003A110000}"/>
    <cellStyle name="제목 1 8" xfId="4139" xr:uid="{00000000-0005-0000-0000-00003B110000}"/>
    <cellStyle name="제목 1 9" xfId="4140" xr:uid="{00000000-0005-0000-0000-00003C110000}"/>
    <cellStyle name="제목 10" xfId="4141" xr:uid="{00000000-0005-0000-0000-00003D110000}"/>
    <cellStyle name="제목 11" xfId="4142" xr:uid="{00000000-0005-0000-0000-00003E110000}"/>
    <cellStyle name="제목 12" xfId="4143" xr:uid="{00000000-0005-0000-0000-00003F110000}"/>
    <cellStyle name="제목 13" xfId="4144" xr:uid="{00000000-0005-0000-0000-000040110000}"/>
    <cellStyle name="제목 14" xfId="4145" xr:uid="{00000000-0005-0000-0000-000041110000}"/>
    <cellStyle name="제목 15" xfId="4146" xr:uid="{00000000-0005-0000-0000-000042110000}"/>
    <cellStyle name="제목 16" xfId="4147" xr:uid="{00000000-0005-0000-0000-000043110000}"/>
    <cellStyle name="제목 17" xfId="4148" xr:uid="{00000000-0005-0000-0000-000044110000}"/>
    <cellStyle name="제목 2" xfId="3" builtinId="17" customBuiltin="1"/>
    <cellStyle name="제목 2 10" xfId="4149" xr:uid="{00000000-0005-0000-0000-000046110000}"/>
    <cellStyle name="제목 2 11" xfId="4150" xr:uid="{00000000-0005-0000-0000-000047110000}"/>
    <cellStyle name="제목 2 12" xfId="4151" xr:uid="{00000000-0005-0000-0000-000048110000}"/>
    <cellStyle name="제목 2 13" xfId="4152" xr:uid="{00000000-0005-0000-0000-000049110000}"/>
    <cellStyle name="제목 2 14" xfId="4153" xr:uid="{00000000-0005-0000-0000-00004A110000}"/>
    <cellStyle name="제목 2 2" xfId="4154" xr:uid="{00000000-0005-0000-0000-00004B110000}"/>
    <cellStyle name="제목 2 2 2" xfId="4155" xr:uid="{00000000-0005-0000-0000-00004C110000}"/>
    <cellStyle name="제목 2 2 2 2" xfId="4156" xr:uid="{00000000-0005-0000-0000-00004D110000}"/>
    <cellStyle name="제목 2 2 3" xfId="4157" xr:uid="{00000000-0005-0000-0000-00004E110000}"/>
    <cellStyle name="제목 2 3" xfId="4158" xr:uid="{00000000-0005-0000-0000-00004F110000}"/>
    <cellStyle name="제목 2 4" xfId="4159" xr:uid="{00000000-0005-0000-0000-000050110000}"/>
    <cellStyle name="제목 2 5" xfId="4160" xr:uid="{00000000-0005-0000-0000-000051110000}"/>
    <cellStyle name="제목 2 6" xfId="4161" xr:uid="{00000000-0005-0000-0000-000052110000}"/>
    <cellStyle name="제목 2 7" xfId="4162" xr:uid="{00000000-0005-0000-0000-000053110000}"/>
    <cellStyle name="제목 2 8" xfId="4163" xr:uid="{00000000-0005-0000-0000-000054110000}"/>
    <cellStyle name="제목 2 9" xfId="4164" xr:uid="{00000000-0005-0000-0000-000055110000}"/>
    <cellStyle name="제목 3" xfId="4" builtinId="18" customBuiltin="1"/>
    <cellStyle name="제목 3 10" xfId="4165" xr:uid="{00000000-0005-0000-0000-000057110000}"/>
    <cellStyle name="제목 3 11" xfId="4166" xr:uid="{00000000-0005-0000-0000-000058110000}"/>
    <cellStyle name="제목 3 12" xfId="4167" xr:uid="{00000000-0005-0000-0000-000059110000}"/>
    <cellStyle name="제목 3 13" xfId="4168" xr:uid="{00000000-0005-0000-0000-00005A110000}"/>
    <cellStyle name="제목 3 14" xfId="4169" xr:uid="{00000000-0005-0000-0000-00005B110000}"/>
    <cellStyle name="제목 3 2" xfId="4170" xr:uid="{00000000-0005-0000-0000-00005C110000}"/>
    <cellStyle name="제목 3 2 2" xfId="4171" xr:uid="{00000000-0005-0000-0000-00005D110000}"/>
    <cellStyle name="제목 3 2 2 2" xfId="4172" xr:uid="{00000000-0005-0000-0000-00005E110000}"/>
    <cellStyle name="제목 3 2 3" xfId="4173" xr:uid="{00000000-0005-0000-0000-00005F110000}"/>
    <cellStyle name="제목 3 3" xfId="4174" xr:uid="{00000000-0005-0000-0000-000060110000}"/>
    <cellStyle name="제목 3 4" xfId="4175" xr:uid="{00000000-0005-0000-0000-000061110000}"/>
    <cellStyle name="제목 3 5" xfId="4176" xr:uid="{00000000-0005-0000-0000-000062110000}"/>
    <cellStyle name="제목 3 6" xfId="4177" xr:uid="{00000000-0005-0000-0000-000063110000}"/>
    <cellStyle name="제목 3 7" xfId="4178" xr:uid="{00000000-0005-0000-0000-000064110000}"/>
    <cellStyle name="제목 3 8" xfId="4179" xr:uid="{00000000-0005-0000-0000-000065110000}"/>
    <cellStyle name="제목 3 9" xfId="4180" xr:uid="{00000000-0005-0000-0000-000066110000}"/>
    <cellStyle name="제목 4" xfId="5" builtinId="19" customBuiltin="1"/>
    <cellStyle name="제목 4 10" xfId="4181" xr:uid="{00000000-0005-0000-0000-000068110000}"/>
    <cellStyle name="제목 4 11" xfId="4182" xr:uid="{00000000-0005-0000-0000-000069110000}"/>
    <cellStyle name="제목 4 12" xfId="4183" xr:uid="{00000000-0005-0000-0000-00006A110000}"/>
    <cellStyle name="제목 4 13" xfId="4184" xr:uid="{00000000-0005-0000-0000-00006B110000}"/>
    <cellStyle name="제목 4 14" xfId="4185" xr:uid="{00000000-0005-0000-0000-00006C110000}"/>
    <cellStyle name="제목 4 2" xfId="4186" xr:uid="{00000000-0005-0000-0000-00006D110000}"/>
    <cellStyle name="제목 4 2 2" xfId="4187" xr:uid="{00000000-0005-0000-0000-00006E110000}"/>
    <cellStyle name="제목 4 2 2 2" xfId="4188" xr:uid="{00000000-0005-0000-0000-00006F110000}"/>
    <cellStyle name="제목 4 2 3" xfId="4189" xr:uid="{00000000-0005-0000-0000-000070110000}"/>
    <cellStyle name="제목 4 3" xfId="4190" xr:uid="{00000000-0005-0000-0000-000071110000}"/>
    <cellStyle name="제목 4 4" xfId="4191" xr:uid="{00000000-0005-0000-0000-000072110000}"/>
    <cellStyle name="제목 4 5" xfId="4192" xr:uid="{00000000-0005-0000-0000-000073110000}"/>
    <cellStyle name="제목 4 6" xfId="4193" xr:uid="{00000000-0005-0000-0000-000074110000}"/>
    <cellStyle name="제목 4 7" xfId="4194" xr:uid="{00000000-0005-0000-0000-000075110000}"/>
    <cellStyle name="제목 4 8" xfId="4195" xr:uid="{00000000-0005-0000-0000-000076110000}"/>
    <cellStyle name="제목 4 9" xfId="4196" xr:uid="{00000000-0005-0000-0000-000077110000}"/>
    <cellStyle name="제목 5" xfId="4197" xr:uid="{00000000-0005-0000-0000-000078110000}"/>
    <cellStyle name="제목 5 2" xfId="4198" xr:uid="{00000000-0005-0000-0000-000079110000}"/>
    <cellStyle name="제목 5 2 2" xfId="4199" xr:uid="{00000000-0005-0000-0000-00007A110000}"/>
    <cellStyle name="제목 5 3" xfId="4200" xr:uid="{00000000-0005-0000-0000-00007B110000}"/>
    <cellStyle name="제목 6" xfId="4201" xr:uid="{00000000-0005-0000-0000-00007C110000}"/>
    <cellStyle name="제목 7" xfId="4202" xr:uid="{00000000-0005-0000-0000-00007D110000}"/>
    <cellStyle name="제목 8" xfId="4203" xr:uid="{00000000-0005-0000-0000-00007E110000}"/>
    <cellStyle name="제목 9" xfId="4204" xr:uid="{00000000-0005-0000-0000-00007F110000}"/>
    <cellStyle name="좋음" xfId="6" builtinId="26" customBuiltin="1"/>
    <cellStyle name="좋음 10" xfId="4205" xr:uid="{00000000-0005-0000-0000-000081110000}"/>
    <cellStyle name="좋음 11" xfId="4206" xr:uid="{00000000-0005-0000-0000-000082110000}"/>
    <cellStyle name="좋음 12" xfId="4207" xr:uid="{00000000-0005-0000-0000-000083110000}"/>
    <cellStyle name="좋음 13" xfId="4208" xr:uid="{00000000-0005-0000-0000-000084110000}"/>
    <cellStyle name="좋음 14" xfId="4209" xr:uid="{00000000-0005-0000-0000-000085110000}"/>
    <cellStyle name="좋음 2" xfId="4210" xr:uid="{00000000-0005-0000-0000-000086110000}"/>
    <cellStyle name="좋음 2 2" xfId="4211" xr:uid="{00000000-0005-0000-0000-000087110000}"/>
    <cellStyle name="좋음 2 2 2" xfId="4212" xr:uid="{00000000-0005-0000-0000-000088110000}"/>
    <cellStyle name="좋음 2 3" xfId="4213" xr:uid="{00000000-0005-0000-0000-000089110000}"/>
    <cellStyle name="좋음 3" xfId="4214" xr:uid="{00000000-0005-0000-0000-00008A110000}"/>
    <cellStyle name="좋음 4" xfId="4215" xr:uid="{00000000-0005-0000-0000-00008B110000}"/>
    <cellStyle name="좋음 5" xfId="4216" xr:uid="{00000000-0005-0000-0000-00008C110000}"/>
    <cellStyle name="좋음 6" xfId="4217" xr:uid="{00000000-0005-0000-0000-00008D110000}"/>
    <cellStyle name="좋음 7" xfId="4218" xr:uid="{00000000-0005-0000-0000-00008E110000}"/>
    <cellStyle name="좋음 8" xfId="4219" xr:uid="{00000000-0005-0000-0000-00008F110000}"/>
    <cellStyle name="좋음 9" xfId="4220" xr:uid="{00000000-0005-0000-0000-000090110000}"/>
    <cellStyle name="지정되지 않음" xfId="4221" xr:uid="{00000000-0005-0000-0000-000091110000}"/>
    <cellStyle name="출 (한장)" xfId="4222" xr:uid="{00000000-0005-0000-0000-000092110000}"/>
    <cellStyle name="출고대기" xfId="4223" xr:uid="{00000000-0005-0000-0000-000093110000}"/>
    <cellStyle name="출고대기 2" xfId="4224" xr:uid="{00000000-0005-0000-0000-000094110000}"/>
    <cellStyle name="출고대기 2 2" xfId="4225" xr:uid="{00000000-0005-0000-0000-000095110000}"/>
    <cellStyle name="출력" xfId="10" builtinId="21" customBuiltin="1"/>
    <cellStyle name="출력 10" xfId="4226" xr:uid="{00000000-0005-0000-0000-000097110000}"/>
    <cellStyle name="출력 11" xfId="4227" xr:uid="{00000000-0005-0000-0000-000098110000}"/>
    <cellStyle name="출력 12" xfId="4228" xr:uid="{00000000-0005-0000-0000-000099110000}"/>
    <cellStyle name="출력 13" xfId="4229" xr:uid="{00000000-0005-0000-0000-00009A110000}"/>
    <cellStyle name="출력 14" xfId="4230" xr:uid="{00000000-0005-0000-0000-00009B110000}"/>
    <cellStyle name="출력 15" xfId="4231" xr:uid="{00000000-0005-0000-0000-00009C110000}"/>
    <cellStyle name="출력 2" xfId="4232" xr:uid="{00000000-0005-0000-0000-00009D110000}"/>
    <cellStyle name="출력 2 10" xfId="4233" xr:uid="{00000000-0005-0000-0000-00009E110000}"/>
    <cellStyle name="출력 2 10 2" xfId="4234" xr:uid="{00000000-0005-0000-0000-00009F110000}"/>
    <cellStyle name="출력 2 11" xfId="4235" xr:uid="{00000000-0005-0000-0000-0000A0110000}"/>
    <cellStyle name="출력 2 2" xfId="4236" xr:uid="{00000000-0005-0000-0000-0000A1110000}"/>
    <cellStyle name="출력 2 2 10" xfId="4237" xr:uid="{00000000-0005-0000-0000-0000A2110000}"/>
    <cellStyle name="출력 2 2 2" xfId="4238" xr:uid="{00000000-0005-0000-0000-0000A3110000}"/>
    <cellStyle name="출력 2 2 2 2" xfId="4239" xr:uid="{00000000-0005-0000-0000-0000A4110000}"/>
    <cellStyle name="출력 2 2 2 2 2" xfId="4240" xr:uid="{00000000-0005-0000-0000-0000A5110000}"/>
    <cellStyle name="출력 2 2 2 2 2 2" xfId="4241" xr:uid="{00000000-0005-0000-0000-0000A6110000}"/>
    <cellStyle name="출력 2 2 2 2 2 2 2" xfId="4242" xr:uid="{00000000-0005-0000-0000-0000A7110000}"/>
    <cellStyle name="출력 2 2 2 2 2 2 2 2" xfId="4243" xr:uid="{00000000-0005-0000-0000-0000A8110000}"/>
    <cellStyle name="출력 2 2 2 2 2 2 3" xfId="4244" xr:uid="{00000000-0005-0000-0000-0000A9110000}"/>
    <cellStyle name="출력 2 2 2 2 2 2 3 2" xfId="4245" xr:uid="{00000000-0005-0000-0000-0000AA110000}"/>
    <cellStyle name="출력 2 2 2 2 2 2 4" xfId="4246" xr:uid="{00000000-0005-0000-0000-0000AB110000}"/>
    <cellStyle name="출력 2 2 2 2 2 3" xfId="4247" xr:uid="{00000000-0005-0000-0000-0000AC110000}"/>
    <cellStyle name="출력 2 2 2 2 2 3 2" xfId="4248" xr:uid="{00000000-0005-0000-0000-0000AD110000}"/>
    <cellStyle name="출력 2 2 2 2 2 3 2 2" xfId="4249" xr:uid="{00000000-0005-0000-0000-0000AE110000}"/>
    <cellStyle name="출력 2 2 2 2 2 3 3" xfId="4250" xr:uid="{00000000-0005-0000-0000-0000AF110000}"/>
    <cellStyle name="출력 2 2 2 2 2 3 3 2" xfId="4251" xr:uid="{00000000-0005-0000-0000-0000B0110000}"/>
    <cellStyle name="출력 2 2 2 2 2 3 4" xfId="4252" xr:uid="{00000000-0005-0000-0000-0000B1110000}"/>
    <cellStyle name="출력 2 2 2 2 2 4" xfId="4253" xr:uid="{00000000-0005-0000-0000-0000B2110000}"/>
    <cellStyle name="출력 2 2 2 2 2 4 2" xfId="4254" xr:uid="{00000000-0005-0000-0000-0000B3110000}"/>
    <cellStyle name="출력 2 2 2 2 2 5" xfId="4255" xr:uid="{00000000-0005-0000-0000-0000B4110000}"/>
    <cellStyle name="출력 2 2 2 2 2 5 2" xfId="4256" xr:uid="{00000000-0005-0000-0000-0000B5110000}"/>
    <cellStyle name="출력 2 2 2 2 2 6" xfId="4257" xr:uid="{00000000-0005-0000-0000-0000B6110000}"/>
    <cellStyle name="출력 2 2 2 2 3" xfId="4258" xr:uid="{00000000-0005-0000-0000-0000B7110000}"/>
    <cellStyle name="출력 2 2 2 2 3 2" xfId="4259" xr:uid="{00000000-0005-0000-0000-0000B8110000}"/>
    <cellStyle name="출력 2 2 2 2 3 2 2" xfId="4260" xr:uid="{00000000-0005-0000-0000-0000B9110000}"/>
    <cellStyle name="출력 2 2 2 2 3 3" xfId="4261" xr:uid="{00000000-0005-0000-0000-0000BA110000}"/>
    <cellStyle name="출력 2 2 2 2 3 3 2" xfId="4262" xr:uid="{00000000-0005-0000-0000-0000BB110000}"/>
    <cellStyle name="출력 2 2 2 2 3 4" xfId="4263" xr:uid="{00000000-0005-0000-0000-0000BC110000}"/>
    <cellStyle name="출력 2 2 2 2 4" xfId="4264" xr:uid="{00000000-0005-0000-0000-0000BD110000}"/>
    <cellStyle name="출력 2 2 2 2 4 2" xfId="4265" xr:uid="{00000000-0005-0000-0000-0000BE110000}"/>
    <cellStyle name="출력 2 2 2 2 4 2 2" xfId="4266" xr:uid="{00000000-0005-0000-0000-0000BF110000}"/>
    <cellStyle name="출력 2 2 2 2 4 3" xfId="4267" xr:uid="{00000000-0005-0000-0000-0000C0110000}"/>
    <cellStyle name="출력 2 2 2 2 4 3 2" xfId="4268" xr:uid="{00000000-0005-0000-0000-0000C1110000}"/>
    <cellStyle name="출력 2 2 2 2 4 4" xfId="4269" xr:uid="{00000000-0005-0000-0000-0000C2110000}"/>
    <cellStyle name="출력 2 2 2 2 5" xfId="4270" xr:uid="{00000000-0005-0000-0000-0000C3110000}"/>
    <cellStyle name="출력 2 2 2 2 5 2" xfId="4271" xr:uid="{00000000-0005-0000-0000-0000C4110000}"/>
    <cellStyle name="출력 2 2 2 2 6" xfId="4272" xr:uid="{00000000-0005-0000-0000-0000C5110000}"/>
    <cellStyle name="출력 2 2 2 2 6 2" xfId="4273" xr:uid="{00000000-0005-0000-0000-0000C6110000}"/>
    <cellStyle name="출력 2 2 2 2 7" xfId="4274" xr:uid="{00000000-0005-0000-0000-0000C7110000}"/>
    <cellStyle name="출력 2 2 2 3" xfId="4275" xr:uid="{00000000-0005-0000-0000-0000C8110000}"/>
    <cellStyle name="출력 2 2 2 3 2" xfId="4276" xr:uid="{00000000-0005-0000-0000-0000C9110000}"/>
    <cellStyle name="출력 2 2 2 3 2 2" xfId="4277" xr:uid="{00000000-0005-0000-0000-0000CA110000}"/>
    <cellStyle name="출력 2 2 2 3 2 2 2" xfId="4278" xr:uid="{00000000-0005-0000-0000-0000CB110000}"/>
    <cellStyle name="출력 2 2 2 3 2 3" xfId="4279" xr:uid="{00000000-0005-0000-0000-0000CC110000}"/>
    <cellStyle name="출력 2 2 2 3 2 3 2" xfId="4280" xr:uid="{00000000-0005-0000-0000-0000CD110000}"/>
    <cellStyle name="출력 2 2 2 3 2 4" xfId="4281" xr:uid="{00000000-0005-0000-0000-0000CE110000}"/>
    <cellStyle name="출력 2 2 2 3 3" xfId="4282" xr:uid="{00000000-0005-0000-0000-0000CF110000}"/>
    <cellStyle name="출력 2 2 2 3 3 2" xfId="4283" xr:uid="{00000000-0005-0000-0000-0000D0110000}"/>
    <cellStyle name="출력 2 2 2 3 3 2 2" xfId="4284" xr:uid="{00000000-0005-0000-0000-0000D1110000}"/>
    <cellStyle name="출력 2 2 2 3 3 3" xfId="4285" xr:uid="{00000000-0005-0000-0000-0000D2110000}"/>
    <cellStyle name="출력 2 2 2 3 3 3 2" xfId="4286" xr:uid="{00000000-0005-0000-0000-0000D3110000}"/>
    <cellStyle name="출력 2 2 2 3 3 4" xfId="4287" xr:uid="{00000000-0005-0000-0000-0000D4110000}"/>
    <cellStyle name="출력 2 2 2 3 4" xfId="4288" xr:uid="{00000000-0005-0000-0000-0000D5110000}"/>
    <cellStyle name="출력 2 2 2 3 4 2" xfId="4289" xr:uid="{00000000-0005-0000-0000-0000D6110000}"/>
    <cellStyle name="출력 2 2 2 3 5" xfId="4290" xr:uid="{00000000-0005-0000-0000-0000D7110000}"/>
    <cellStyle name="출력 2 2 2 3 5 2" xfId="4291" xr:uid="{00000000-0005-0000-0000-0000D8110000}"/>
    <cellStyle name="출력 2 2 2 3 6" xfId="4292" xr:uid="{00000000-0005-0000-0000-0000D9110000}"/>
    <cellStyle name="출력 2 2 2 4" xfId="4293" xr:uid="{00000000-0005-0000-0000-0000DA110000}"/>
    <cellStyle name="출력 2 2 2 4 2" xfId="4294" xr:uid="{00000000-0005-0000-0000-0000DB110000}"/>
    <cellStyle name="출력 2 2 2 4 2 2" xfId="4295" xr:uid="{00000000-0005-0000-0000-0000DC110000}"/>
    <cellStyle name="출력 2 2 2 4 3" xfId="4296" xr:uid="{00000000-0005-0000-0000-0000DD110000}"/>
    <cellStyle name="출력 2 2 2 4 3 2" xfId="4297" xr:uid="{00000000-0005-0000-0000-0000DE110000}"/>
    <cellStyle name="출력 2 2 2 4 4" xfId="4298" xr:uid="{00000000-0005-0000-0000-0000DF110000}"/>
    <cellStyle name="출력 2 2 2 5" xfId="4299" xr:uid="{00000000-0005-0000-0000-0000E0110000}"/>
    <cellStyle name="출력 2 2 2 5 2" xfId="4300" xr:uid="{00000000-0005-0000-0000-0000E1110000}"/>
    <cellStyle name="출력 2 2 2 5 2 2" xfId="4301" xr:uid="{00000000-0005-0000-0000-0000E2110000}"/>
    <cellStyle name="출력 2 2 2 5 3" xfId="4302" xr:uid="{00000000-0005-0000-0000-0000E3110000}"/>
    <cellStyle name="출력 2 2 2 5 3 2" xfId="4303" xr:uid="{00000000-0005-0000-0000-0000E4110000}"/>
    <cellStyle name="출력 2 2 2 5 4" xfId="4304" xr:uid="{00000000-0005-0000-0000-0000E5110000}"/>
    <cellStyle name="출력 2 2 2 6" xfId="4305" xr:uid="{00000000-0005-0000-0000-0000E6110000}"/>
    <cellStyle name="출력 2 2 2 6 2" xfId="4306" xr:uid="{00000000-0005-0000-0000-0000E7110000}"/>
    <cellStyle name="출력 2 2 2 7" xfId="4307" xr:uid="{00000000-0005-0000-0000-0000E8110000}"/>
    <cellStyle name="출력 2 2 2 7 2" xfId="4308" xr:uid="{00000000-0005-0000-0000-0000E9110000}"/>
    <cellStyle name="출력 2 2 2 8" xfId="4309" xr:uid="{00000000-0005-0000-0000-0000EA110000}"/>
    <cellStyle name="출력 2 2 3" xfId="4310" xr:uid="{00000000-0005-0000-0000-0000EB110000}"/>
    <cellStyle name="출력 2 2 3 2" xfId="4311" xr:uid="{00000000-0005-0000-0000-0000EC110000}"/>
    <cellStyle name="출력 2 2 3 2 2" xfId="4312" xr:uid="{00000000-0005-0000-0000-0000ED110000}"/>
    <cellStyle name="출력 2 2 3 2 2 2" xfId="4313" xr:uid="{00000000-0005-0000-0000-0000EE110000}"/>
    <cellStyle name="출력 2 2 3 2 2 2 2" xfId="4314" xr:uid="{00000000-0005-0000-0000-0000EF110000}"/>
    <cellStyle name="출력 2 2 3 2 2 3" xfId="4315" xr:uid="{00000000-0005-0000-0000-0000F0110000}"/>
    <cellStyle name="출력 2 2 3 2 2 3 2" xfId="4316" xr:uid="{00000000-0005-0000-0000-0000F1110000}"/>
    <cellStyle name="출력 2 2 3 2 2 4" xfId="4317" xr:uid="{00000000-0005-0000-0000-0000F2110000}"/>
    <cellStyle name="출력 2 2 3 2 3" xfId="4318" xr:uid="{00000000-0005-0000-0000-0000F3110000}"/>
    <cellStyle name="출력 2 2 3 2 3 2" xfId="4319" xr:uid="{00000000-0005-0000-0000-0000F4110000}"/>
    <cellStyle name="출력 2 2 3 2 3 2 2" xfId="4320" xr:uid="{00000000-0005-0000-0000-0000F5110000}"/>
    <cellStyle name="출력 2 2 3 2 3 3" xfId="4321" xr:uid="{00000000-0005-0000-0000-0000F6110000}"/>
    <cellStyle name="출력 2 2 3 2 3 3 2" xfId="4322" xr:uid="{00000000-0005-0000-0000-0000F7110000}"/>
    <cellStyle name="출력 2 2 3 2 3 4" xfId="4323" xr:uid="{00000000-0005-0000-0000-0000F8110000}"/>
    <cellStyle name="출력 2 2 3 2 4" xfId="4324" xr:uid="{00000000-0005-0000-0000-0000F9110000}"/>
    <cellStyle name="출력 2 2 3 2 4 2" xfId="4325" xr:uid="{00000000-0005-0000-0000-0000FA110000}"/>
    <cellStyle name="출력 2 2 3 2 5" xfId="4326" xr:uid="{00000000-0005-0000-0000-0000FB110000}"/>
    <cellStyle name="출력 2 2 3 2 5 2" xfId="4327" xr:uid="{00000000-0005-0000-0000-0000FC110000}"/>
    <cellStyle name="출력 2 2 3 2 6" xfId="4328" xr:uid="{00000000-0005-0000-0000-0000FD110000}"/>
    <cellStyle name="출력 2 2 3 3" xfId="4329" xr:uid="{00000000-0005-0000-0000-0000FE110000}"/>
    <cellStyle name="출력 2 2 3 3 2" xfId="4330" xr:uid="{00000000-0005-0000-0000-0000FF110000}"/>
    <cellStyle name="출력 2 2 3 3 2 2" xfId="4331" xr:uid="{00000000-0005-0000-0000-000000120000}"/>
    <cellStyle name="출력 2 2 3 3 3" xfId="4332" xr:uid="{00000000-0005-0000-0000-000001120000}"/>
    <cellStyle name="출력 2 2 3 3 3 2" xfId="4333" xr:uid="{00000000-0005-0000-0000-000002120000}"/>
    <cellStyle name="출력 2 2 3 3 4" xfId="4334" xr:uid="{00000000-0005-0000-0000-000003120000}"/>
    <cellStyle name="출력 2 2 3 4" xfId="4335" xr:uid="{00000000-0005-0000-0000-000004120000}"/>
    <cellStyle name="출력 2 2 3 4 2" xfId="4336" xr:uid="{00000000-0005-0000-0000-000005120000}"/>
    <cellStyle name="출력 2 2 3 4 2 2" xfId="4337" xr:uid="{00000000-0005-0000-0000-000006120000}"/>
    <cellStyle name="출력 2 2 3 4 3" xfId="4338" xr:uid="{00000000-0005-0000-0000-000007120000}"/>
    <cellStyle name="출력 2 2 3 4 3 2" xfId="4339" xr:uid="{00000000-0005-0000-0000-000008120000}"/>
    <cellStyle name="출력 2 2 3 4 4" xfId="4340" xr:uid="{00000000-0005-0000-0000-000009120000}"/>
    <cellStyle name="출력 2 2 3 5" xfId="4341" xr:uid="{00000000-0005-0000-0000-00000A120000}"/>
    <cellStyle name="출력 2 2 3 5 2" xfId="4342" xr:uid="{00000000-0005-0000-0000-00000B120000}"/>
    <cellStyle name="출력 2 2 3 6" xfId="4343" xr:uid="{00000000-0005-0000-0000-00000C120000}"/>
    <cellStyle name="출력 2 2 3 6 2" xfId="4344" xr:uid="{00000000-0005-0000-0000-00000D120000}"/>
    <cellStyle name="출력 2 2 3 7" xfId="4345" xr:uid="{00000000-0005-0000-0000-00000E120000}"/>
    <cellStyle name="출력 2 2 4" xfId="4346" xr:uid="{00000000-0005-0000-0000-00000F120000}"/>
    <cellStyle name="출력 2 2 4 2" xfId="4347" xr:uid="{00000000-0005-0000-0000-000010120000}"/>
    <cellStyle name="출력 2 2 4 2 2" xfId="4348" xr:uid="{00000000-0005-0000-0000-000011120000}"/>
    <cellStyle name="출력 2 2 4 2 2 2" xfId="4349" xr:uid="{00000000-0005-0000-0000-000012120000}"/>
    <cellStyle name="출력 2 2 4 2 2 2 2" xfId="4350" xr:uid="{00000000-0005-0000-0000-000013120000}"/>
    <cellStyle name="출력 2 2 4 2 2 3" xfId="4351" xr:uid="{00000000-0005-0000-0000-000014120000}"/>
    <cellStyle name="출력 2 2 4 2 2 3 2" xfId="4352" xr:uid="{00000000-0005-0000-0000-000015120000}"/>
    <cellStyle name="출력 2 2 4 2 2 4" xfId="4353" xr:uid="{00000000-0005-0000-0000-000016120000}"/>
    <cellStyle name="출력 2 2 4 2 3" xfId="4354" xr:uid="{00000000-0005-0000-0000-000017120000}"/>
    <cellStyle name="출력 2 2 4 2 3 2" xfId="4355" xr:uid="{00000000-0005-0000-0000-000018120000}"/>
    <cellStyle name="출력 2 2 4 2 3 2 2" xfId="4356" xr:uid="{00000000-0005-0000-0000-000019120000}"/>
    <cellStyle name="출력 2 2 4 2 3 3" xfId="4357" xr:uid="{00000000-0005-0000-0000-00001A120000}"/>
    <cellStyle name="출력 2 2 4 2 3 3 2" xfId="4358" xr:uid="{00000000-0005-0000-0000-00001B120000}"/>
    <cellStyle name="출력 2 2 4 2 3 4" xfId="4359" xr:uid="{00000000-0005-0000-0000-00001C120000}"/>
    <cellStyle name="출력 2 2 4 2 4" xfId="4360" xr:uid="{00000000-0005-0000-0000-00001D120000}"/>
    <cellStyle name="출력 2 2 4 2 4 2" xfId="4361" xr:uid="{00000000-0005-0000-0000-00001E120000}"/>
    <cellStyle name="출력 2 2 4 2 5" xfId="4362" xr:uid="{00000000-0005-0000-0000-00001F120000}"/>
    <cellStyle name="출력 2 2 4 2 5 2" xfId="4363" xr:uid="{00000000-0005-0000-0000-000020120000}"/>
    <cellStyle name="출력 2 2 4 2 6" xfId="4364" xr:uid="{00000000-0005-0000-0000-000021120000}"/>
    <cellStyle name="출력 2 2 4 3" xfId="4365" xr:uid="{00000000-0005-0000-0000-000022120000}"/>
    <cellStyle name="출력 2 2 4 3 2" xfId="4366" xr:uid="{00000000-0005-0000-0000-000023120000}"/>
    <cellStyle name="출력 2 2 4 3 2 2" xfId="4367" xr:uid="{00000000-0005-0000-0000-000024120000}"/>
    <cellStyle name="출력 2 2 4 3 3" xfId="4368" xr:uid="{00000000-0005-0000-0000-000025120000}"/>
    <cellStyle name="출력 2 2 4 3 3 2" xfId="4369" xr:uid="{00000000-0005-0000-0000-000026120000}"/>
    <cellStyle name="출력 2 2 4 3 4" xfId="4370" xr:uid="{00000000-0005-0000-0000-000027120000}"/>
    <cellStyle name="출력 2 2 4 4" xfId="4371" xr:uid="{00000000-0005-0000-0000-000028120000}"/>
    <cellStyle name="출력 2 2 4 4 2" xfId="4372" xr:uid="{00000000-0005-0000-0000-000029120000}"/>
    <cellStyle name="출력 2 2 4 4 2 2" xfId="4373" xr:uid="{00000000-0005-0000-0000-00002A120000}"/>
    <cellStyle name="출력 2 2 4 4 3" xfId="4374" xr:uid="{00000000-0005-0000-0000-00002B120000}"/>
    <cellStyle name="출력 2 2 4 4 3 2" xfId="4375" xr:uid="{00000000-0005-0000-0000-00002C120000}"/>
    <cellStyle name="출력 2 2 4 4 4" xfId="4376" xr:uid="{00000000-0005-0000-0000-00002D120000}"/>
    <cellStyle name="출력 2 2 4 5" xfId="4377" xr:uid="{00000000-0005-0000-0000-00002E120000}"/>
    <cellStyle name="출력 2 2 4 5 2" xfId="4378" xr:uid="{00000000-0005-0000-0000-00002F120000}"/>
    <cellStyle name="출력 2 2 4 6" xfId="4379" xr:uid="{00000000-0005-0000-0000-000030120000}"/>
    <cellStyle name="출력 2 2 4 6 2" xfId="4380" xr:uid="{00000000-0005-0000-0000-000031120000}"/>
    <cellStyle name="출력 2 2 4 7" xfId="4381" xr:uid="{00000000-0005-0000-0000-000032120000}"/>
    <cellStyle name="출력 2 2 5" xfId="4382" xr:uid="{00000000-0005-0000-0000-000033120000}"/>
    <cellStyle name="출력 2 2 5 2" xfId="4383" xr:uid="{00000000-0005-0000-0000-000034120000}"/>
    <cellStyle name="출력 2 2 5 2 2" xfId="4384" xr:uid="{00000000-0005-0000-0000-000035120000}"/>
    <cellStyle name="출력 2 2 5 2 2 2" xfId="4385" xr:uid="{00000000-0005-0000-0000-000036120000}"/>
    <cellStyle name="출력 2 2 5 2 3" xfId="4386" xr:uid="{00000000-0005-0000-0000-000037120000}"/>
    <cellStyle name="출력 2 2 5 2 3 2" xfId="4387" xr:uid="{00000000-0005-0000-0000-000038120000}"/>
    <cellStyle name="출력 2 2 5 2 4" xfId="4388" xr:uid="{00000000-0005-0000-0000-000039120000}"/>
    <cellStyle name="출력 2 2 5 3" xfId="4389" xr:uid="{00000000-0005-0000-0000-00003A120000}"/>
    <cellStyle name="출력 2 2 5 3 2" xfId="4390" xr:uid="{00000000-0005-0000-0000-00003B120000}"/>
    <cellStyle name="출력 2 2 5 3 2 2" xfId="4391" xr:uid="{00000000-0005-0000-0000-00003C120000}"/>
    <cellStyle name="출력 2 2 5 3 3" xfId="4392" xr:uid="{00000000-0005-0000-0000-00003D120000}"/>
    <cellStyle name="출력 2 2 5 3 3 2" xfId="4393" xr:uid="{00000000-0005-0000-0000-00003E120000}"/>
    <cellStyle name="출력 2 2 5 3 4" xfId="4394" xr:uid="{00000000-0005-0000-0000-00003F120000}"/>
    <cellStyle name="출력 2 2 5 4" xfId="4395" xr:uid="{00000000-0005-0000-0000-000040120000}"/>
    <cellStyle name="출력 2 2 5 4 2" xfId="4396" xr:uid="{00000000-0005-0000-0000-000041120000}"/>
    <cellStyle name="출력 2 2 5 5" xfId="4397" xr:uid="{00000000-0005-0000-0000-000042120000}"/>
    <cellStyle name="출력 2 2 5 5 2" xfId="4398" xr:uid="{00000000-0005-0000-0000-000043120000}"/>
    <cellStyle name="출력 2 2 5 6" xfId="4399" xr:uid="{00000000-0005-0000-0000-000044120000}"/>
    <cellStyle name="출력 2 2 6" xfId="4400" xr:uid="{00000000-0005-0000-0000-000045120000}"/>
    <cellStyle name="출력 2 2 6 2" xfId="4401" xr:uid="{00000000-0005-0000-0000-000046120000}"/>
    <cellStyle name="출력 2 2 6 2 2" xfId="4402" xr:uid="{00000000-0005-0000-0000-000047120000}"/>
    <cellStyle name="출력 2 2 6 3" xfId="4403" xr:uid="{00000000-0005-0000-0000-000048120000}"/>
    <cellStyle name="출력 2 2 6 3 2" xfId="4404" xr:uid="{00000000-0005-0000-0000-000049120000}"/>
    <cellStyle name="출력 2 2 6 4" xfId="4405" xr:uid="{00000000-0005-0000-0000-00004A120000}"/>
    <cellStyle name="출력 2 2 7" xfId="4406" xr:uid="{00000000-0005-0000-0000-00004B120000}"/>
    <cellStyle name="출력 2 2 7 2" xfId="4407" xr:uid="{00000000-0005-0000-0000-00004C120000}"/>
    <cellStyle name="출력 2 2 7 2 2" xfId="4408" xr:uid="{00000000-0005-0000-0000-00004D120000}"/>
    <cellStyle name="출력 2 2 7 3" xfId="4409" xr:uid="{00000000-0005-0000-0000-00004E120000}"/>
    <cellStyle name="출력 2 2 7 3 2" xfId="4410" xr:uid="{00000000-0005-0000-0000-00004F120000}"/>
    <cellStyle name="출력 2 2 7 4" xfId="4411" xr:uid="{00000000-0005-0000-0000-000050120000}"/>
    <cellStyle name="출력 2 2 8" xfId="4412" xr:uid="{00000000-0005-0000-0000-000051120000}"/>
    <cellStyle name="출력 2 2 8 2" xfId="4413" xr:uid="{00000000-0005-0000-0000-000052120000}"/>
    <cellStyle name="출력 2 2 9" xfId="4414" xr:uid="{00000000-0005-0000-0000-000053120000}"/>
    <cellStyle name="출력 2 2 9 2" xfId="4415" xr:uid="{00000000-0005-0000-0000-000054120000}"/>
    <cellStyle name="출력 2 3" xfId="4416" xr:uid="{00000000-0005-0000-0000-000055120000}"/>
    <cellStyle name="출력 2 3 2" xfId="4417" xr:uid="{00000000-0005-0000-0000-000056120000}"/>
    <cellStyle name="출력 2 3 2 2" xfId="4418" xr:uid="{00000000-0005-0000-0000-000057120000}"/>
    <cellStyle name="출력 2 3 2 2 2" xfId="4419" xr:uid="{00000000-0005-0000-0000-000058120000}"/>
    <cellStyle name="출력 2 3 2 2 2 2" xfId="4420" xr:uid="{00000000-0005-0000-0000-000059120000}"/>
    <cellStyle name="출력 2 3 2 2 2 2 2" xfId="4421" xr:uid="{00000000-0005-0000-0000-00005A120000}"/>
    <cellStyle name="출력 2 3 2 2 2 3" xfId="4422" xr:uid="{00000000-0005-0000-0000-00005B120000}"/>
    <cellStyle name="출력 2 3 2 2 2 3 2" xfId="4423" xr:uid="{00000000-0005-0000-0000-00005C120000}"/>
    <cellStyle name="출력 2 3 2 2 2 4" xfId="4424" xr:uid="{00000000-0005-0000-0000-00005D120000}"/>
    <cellStyle name="출력 2 3 2 2 3" xfId="4425" xr:uid="{00000000-0005-0000-0000-00005E120000}"/>
    <cellStyle name="출력 2 3 2 2 3 2" xfId="4426" xr:uid="{00000000-0005-0000-0000-00005F120000}"/>
    <cellStyle name="출력 2 3 2 2 3 2 2" xfId="4427" xr:uid="{00000000-0005-0000-0000-000060120000}"/>
    <cellStyle name="출력 2 3 2 2 3 3" xfId="4428" xr:uid="{00000000-0005-0000-0000-000061120000}"/>
    <cellStyle name="출력 2 3 2 2 3 3 2" xfId="4429" xr:uid="{00000000-0005-0000-0000-000062120000}"/>
    <cellStyle name="출력 2 3 2 2 3 4" xfId="4430" xr:uid="{00000000-0005-0000-0000-000063120000}"/>
    <cellStyle name="출력 2 3 2 2 4" xfId="4431" xr:uid="{00000000-0005-0000-0000-000064120000}"/>
    <cellStyle name="출력 2 3 2 2 4 2" xfId="4432" xr:uid="{00000000-0005-0000-0000-000065120000}"/>
    <cellStyle name="출력 2 3 2 2 5" xfId="4433" xr:uid="{00000000-0005-0000-0000-000066120000}"/>
    <cellStyle name="출력 2 3 2 2 5 2" xfId="4434" xr:uid="{00000000-0005-0000-0000-000067120000}"/>
    <cellStyle name="출력 2 3 2 2 6" xfId="4435" xr:uid="{00000000-0005-0000-0000-000068120000}"/>
    <cellStyle name="출력 2 3 2 3" xfId="4436" xr:uid="{00000000-0005-0000-0000-000069120000}"/>
    <cellStyle name="출력 2 3 2 3 2" xfId="4437" xr:uid="{00000000-0005-0000-0000-00006A120000}"/>
    <cellStyle name="출력 2 3 2 3 2 2" xfId="4438" xr:uid="{00000000-0005-0000-0000-00006B120000}"/>
    <cellStyle name="출력 2 3 2 3 3" xfId="4439" xr:uid="{00000000-0005-0000-0000-00006C120000}"/>
    <cellStyle name="출력 2 3 2 3 3 2" xfId="4440" xr:uid="{00000000-0005-0000-0000-00006D120000}"/>
    <cellStyle name="출력 2 3 2 3 4" xfId="4441" xr:uid="{00000000-0005-0000-0000-00006E120000}"/>
    <cellStyle name="출력 2 3 2 4" xfId="4442" xr:uid="{00000000-0005-0000-0000-00006F120000}"/>
    <cellStyle name="출력 2 3 2 4 2" xfId="4443" xr:uid="{00000000-0005-0000-0000-000070120000}"/>
    <cellStyle name="출력 2 3 2 4 2 2" xfId="4444" xr:uid="{00000000-0005-0000-0000-000071120000}"/>
    <cellStyle name="출력 2 3 2 4 3" xfId="4445" xr:uid="{00000000-0005-0000-0000-000072120000}"/>
    <cellStyle name="출력 2 3 2 4 3 2" xfId="4446" xr:uid="{00000000-0005-0000-0000-000073120000}"/>
    <cellStyle name="출력 2 3 2 4 4" xfId="4447" xr:uid="{00000000-0005-0000-0000-000074120000}"/>
    <cellStyle name="출력 2 3 2 5" xfId="4448" xr:uid="{00000000-0005-0000-0000-000075120000}"/>
    <cellStyle name="출력 2 3 2 5 2" xfId="4449" xr:uid="{00000000-0005-0000-0000-000076120000}"/>
    <cellStyle name="출력 2 3 2 6" xfId="4450" xr:uid="{00000000-0005-0000-0000-000077120000}"/>
    <cellStyle name="출력 2 3 2 6 2" xfId="4451" xr:uid="{00000000-0005-0000-0000-000078120000}"/>
    <cellStyle name="출력 2 3 2 7" xfId="4452" xr:uid="{00000000-0005-0000-0000-000079120000}"/>
    <cellStyle name="출력 2 3 3" xfId="4453" xr:uid="{00000000-0005-0000-0000-00007A120000}"/>
    <cellStyle name="출력 2 3 3 2" xfId="4454" xr:uid="{00000000-0005-0000-0000-00007B120000}"/>
    <cellStyle name="출력 2 3 3 2 2" xfId="4455" xr:uid="{00000000-0005-0000-0000-00007C120000}"/>
    <cellStyle name="출력 2 3 3 2 2 2" xfId="4456" xr:uid="{00000000-0005-0000-0000-00007D120000}"/>
    <cellStyle name="출력 2 3 3 2 3" xfId="4457" xr:uid="{00000000-0005-0000-0000-00007E120000}"/>
    <cellStyle name="출력 2 3 3 2 3 2" xfId="4458" xr:uid="{00000000-0005-0000-0000-00007F120000}"/>
    <cellStyle name="출력 2 3 3 2 4" xfId="4459" xr:uid="{00000000-0005-0000-0000-000080120000}"/>
    <cellStyle name="출력 2 3 3 3" xfId="4460" xr:uid="{00000000-0005-0000-0000-000081120000}"/>
    <cellStyle name="출력 2 3 3 3 2" xfId="4461" xr:uid="{00000000-0005-0000-0000-000082120000}"/>
    <cellStyle name="출력 2 3 3 3 2 2" xfId="4462" xr:uid="{00000000-0005-0000-0000-000083120000}"/>
    <cellStyle name="출력 2 3 3 3 3" xfId="4463" xr:uid="{00000000-0005-0000-0000-000084120000}"/>
    <cellStyle name="출력 2 3 3 3 3 2" xfId="4464" xr:uid="{00000000-0005-0000-0000-000085120000}"/>
    <cellStyle name="출력 2 3 3 3 4" xfId="4465" xr:uid="{00000000-0005-0000-0000-000086120000}"/>
    <cellStyle name="출력 2 3 3 4" xfId="4466" xr:uid="{00000000-0005-0000-0000-000087120000}"/>
    <cellStyle name="출력 2 3 3 4 2" xfId="4467" xr:uid="{00000000-0005-0000-0000-000088120000}"/>
    <cellStyle name="출력 2 3 3 5" xfId="4468" xr:uid="{00000000-0005-0000-0000-000089120000}"/>
    <cellStyle name="출력 2 3 3 5 2" xfId="4469" xr:uid="{00000000-0005-0000-0000-00008A120000}"/>
    <cellStyle name="출력 2 3 3 6" xfId="4470" xr:uid="{00000000-0005-0000-0000-00008B120000}"/>
    <cellStyle name="출력 2 3 4" xfId="4471" xr:uid="{00000000-0005-0000-0000-00008C120000}"/>
    <cellStyle name="출력 2 3 4 2" xfId="4472" xr:uid="{00000000-0005-0000-0000-00008D120000}"/>
    <cellStyle name="출력 2 3 4 2 2" xfId="4473" xr:uid="{00000000-0005-0000-0000-00008E120000}"/>
    <cellStyle name="출력 2 3 4 3" xfId="4474" xr:uid="{00000000-0005-0000-0000-00008F120000}"/>
    <cellStyle name="출력 2 3 4 3 2" xfId="4475" xr:uid="{00000000-0005-0000-0000-000090120000}"/>
    <cellStyle name="출력 2 3 4 4" xfId="4476" xr:uid="{00000000-0005-0000-0000-000091120000}"/>
    <cellStyle name="출력 2 3 5" xfId="4477" xr:uid="{00000000-0005-0000-0000-000092120000}"/>
    <cellStyle name="출력 2 3 5 2" xfId="4478" xr:uid="{00000000-0005-0000-0000-000093120000}"/>
    <cellStyle name="출력 2 3 5 2 2" xfId="4479" xr:uid="{00000000-0005-0000-0000-000094120000}"/>
    <cellStyle name="출력 2 3 5 3" xfId="4480" xr:uid="{00000000-0005-0000-0000-000095120000}"/>
    <cellStyle name="출력 2 3 5 3 2" xfId="4481" xr:uid="{00000000-0005-0000-0000-000096120000}"/>
    <cellStyle name="출력 2 3 5 4" xfId="4482" xr:uid="{00000000-0005-0000-0000-000097120000}"/>
    <cellStyle name="출력 2 3 6" xfId="4483" xr:uid="{00000000-0005-0000-0000-000098120000}"/>
    <cellStyle name="출력 2 3 6 2" xfId="4484" xr:uid="{00000000-0005-0000-0000-000099120000}"/>
    <cellStyle name="출력 2 3 7" xfId="4485" xr:uid="{00000000-0005-0000-0000-00009A120000}"/>
    <cellStyle name="출력 2 3 7 2" xfId="4486" xr:uid="{00000000-0005-0000-0000-00009B120000}"/>
    <cellStyle name="출력 2 3 8" xfId="4487" xr:uid="{00000000-0005-0000-0000-00009C120000}"/>
    <cellStyle name="출력 2 4" xfId="4488" xr:uid="{00000000-0005-0000-0000-00009D120000}"/>
    <cellStyle name="출력 2 4 2" xfId="4489" xr:uid="{00000000-0005-0000-0000-00009E120000}"/>
    <cellStyle name="출력 2 4 2 2" xfId="4490" xr:uid="{00000000-0005-0000-0000-00009F120000}"/>
    <cellStyle name="출력 2 4 2 2 2" xfId="4491" xr:uid="{00000000-0005-0000-0000-0000A0120000}"/>
    <cellStyle name="출력 2 4 2 2 2 2" xfId="4492" xr:uid="{00000000-0005-0000-0000-0000A1120000}"/>
    <cellStyle name="출력 2 4 2 2 3" xfId="4493" xr:uid="{00000000-0005-0000-0000-0000A2120000}"/>
    <cellStyle name="출력 2 4 2 2 3 2" xfId="4494" xr:uid="{00000000-0005-0000-0000-0000A3120000}"/>
    <cellStyle name="출력 2 4 2 2 4" xfId="4495" xr:uid="{00000000-0005-0000-0000-0000A4120000}"/>
    <cellStyle name="출력 2 4 2 3" xfId="4496" xr:uid="{00000000-0005-0000-0000-0000A5120000}"/>
    <cellStyle name="출력 2 4 2 3 2" xfId="4497" xr:uid="{00000000-0005-0000-0000-0000A6120000}"/>
    <cellStyle name="출력 2 4 2 3 2 2" xfId="4498" xr:uid="{00000000-0005-0000-0000-0000A7120000}"/>
    <cellStyle name="출력 2 4 2 3 3" xfId="4499" xr:uid="{00000000-0005-0000-0000-0000A8120000}"/>
    <cellStyle name="출력 2 4 2 3 3 2" xfId="4500" xr:uid="{00000000-0005-0000-0000-0000A9120000}"/>
    <cellStyle name="출력 2 4 2 3 4" xfId="4501" xr:uid="{00000000-0005-0000-0000-0000AA120000}"/>
    <cellStyle name="출력 2 4 2 4" xfId="4502" xr:uid="{00000000-0005-0000-0000-0000AB120000}"/>
    <cellStyle name="출력 2 4 2 4 2" xfId="4503" xr:uid="{00000000-0005-0000-0000-0000AC120000}"/>
    <cellStyle name="출력 2 4 2 5" xfId="4504" xr:uid="{00000000-0005-0000-0000-0000AD120000}"/>
    <cellStyle name="출력 2 4 2 5 2" xfId="4505" xr:uid="{00000000-0005-0000-0000-0000AE120000}"/>
    <cellStyle name="출력 2 4 2 6" xfId="4506" xr:uid="{00000000-0005-0000-0000-0000AF120000}"/>
    <cellStyle name="출력 2 4 3" xfId="4507" xr:uid="{00000000-0005-0000-0000-0000B0120000}"/>
    <cellStyle name="출력 2 4 3 2" xfId="4508" xr:uid="{00000000-0005-0000-0000-0000B1120000}"/>
    <cellStyle name="출력 2 4 3 2 2" xfId="4509" xr:uid="{00000000-0005-0000-0000-0000B2120000}"/>
    <cellStyle name="출력 2 4 3 3" xfId="4510" xr:uid="{00000000-0005-0000-0000-0000B3120000}"/>
    <cellStyle name="출력 2 4 3 3 2" xfId="4511" xr:uid="{00000000-0005-0000-0000-0000B4120000}"/>
    <cellStyle name="출력 2 4 3 4" xfId="4512" xr:uid="{00000000-0005-0000-0000-0000B5120000}"/>
    <cellStyle name="출력 2 4 4" xfId="4513" xr:uid="{00000000-0005-0000-0000-0000B6120000}"/>
    <cellStyle name="출력 2 4 4 2" xfId="4514" xr:uid="{00000000-0005-0000-0000-0000B7120000}"/>
    <cellStyle name="출력 2 4 4 2 2" xfId="4515" xr:uid="{00000000-0005-0000-0000-0000B8120000}"/>
    <cellStyle name="출력 2 4 4 3" xfId="4516" xr:uid="{00000000-0005-0000-0000-0000B9120000}"/>
    <cellStyle name="출력 2 4 4 3 2" xfId="4517" xr:uid="{00000000-0005-0000-0000-0000BA120000}"/>
    <cellStyle name="출력 2 4 4 4" xfId="4518" xr:uid="{00000000-0005-0000-0000-0000BB120000}"/>
    <cellStyle name="출력 2 4 5" xfId="4519" xr:uid="{00000000-0005-0000-0000-0000BC120000}"/>
    <cellStyle name="출력 2 4 5 2" xfId="4520" xr:uid="{00000000-0005-0000-0000-0000BD120000}"/>
    <cellStyle name="출력 2 4 6" xfId="4521" xr:uid="{00000000-0005-0000-0000-0000BE120000}"/>
    <cellStyle name="출력 2 4 6 2" xfId="4522" xr:uid="{00000000-0005-0000-0000-0000BF120000}"/>
    <cellStyle name="출력 2 4 7" xfId="4523" xr:uid="{00000000-0005-0000-0000-0000C0120000}"/>
    <cellStyle name="출력 2 5" xfId="4524" xr:uid="{00000000-0005-0000-0000-0000C1120000}"/>
    <cellStyle name="출력 2 5 2" xfId="4525" xr:uid="{00000000-0005-0000-0000-0000C2120000}"/>
    <cellStyle name="출력 2 5 2 2" xfId="4526" xr:uid="{00000000-0005-0000-0000-0000C3120000}"/>
    <cellStyle name="출력 2 5 2 2 2" xfId="4527" xr:uid="{00000000-0005-0000-0000-0000C4120000}"/>
    <cellStyle name="출력 2 5 2 2 2 2" xfId="4528" xr:uid="{00000000-0005-0000-0000-0000C5120000}"/>
    <cellStyle name="출력 2 5 2 2 3" xfId="4529" xr:uid="{00000000-0005-0000-0000-0000C6120000}"/>
    <cellStyle name="출력 2 5 2 2 3 2" xfId="4530" xr:uid="{00000000-0005-0000-0000-0000C7120000}"/>
    <cellStyle name="출력 2 5 2 2 4" xfId="4531" xr:uid="{00000000-0005-0000-0000-0000C8120000}"/>
    <cellStyle name="출력 2 5 2 3" xfId="4532" xr:uid="{00000000-0005-0000-0000-0000C9120000}"/>
    <cellStyle name="출력 2 5 2 3 2" xfId="4533" xr:uid="{00000000-0005-0000-0000-0000CA120000}"/>
    <cellStyle name="출력 2 5 2 3 2 2" xfId="4534" xr:uid="{00000000-0005-0000-0000-0000CB120000}"/>
    <cellStyle name="출력 2 5 2 3 3" xfId="4535" xr:uid="{00000000-0005-0000-0000-0000CC120000}"/>
    <cellStyle name="출력 2 5 2 3 3 2" xfId="4536" xr:uid="{00000000-0005-0000-0000-0000CD120000}"/>
    <cellStyle name="출력 2 5 2 3 4" xfId="4537" xr:uid="{00000000-0005-0000-0000-0000CE120000}"/>
    <cellStyle name="출력 2 5 2 4" xfId="4538" xr:uid="{00000000-0005-0000-0000-0000CF120000}"/>
    <cellStyle name="출력 2 5 2 4 2" xfId="4539" xr:uid="{00000000-0005-0000-0000-0000D0120000}"/>
    <cellStyle name="출력 2 5 2 5" xfId="4540" xr:uid="{00000000-0005-0000-0000-0000D1120000}"/>
    <cellStyle name="출력 2 5 2 5 2" xfId="4541" xr:uid="{00000000-0005-0000-0000-0000D2120000}"/>
    <cellStyle name="출력 2 5 2 6" xfId="4542" xr:uid="{00000000-0005-0000-0000-0000D3120000}"/>
    <cellStyle name="출력 2 5 3" xfId="4543" xr:uid="{00000000-0005-0000-0000-0000D4120000}"/>
    <cellStyle name="출력 2 5 3 2" xfId="4544" xr:uid="{00000000-0005-0000-0000-0000D5120000}"/>
    <cellStyle name="출력 2 5 3 2 2" xfId="4545" xr:uid="{00000000-0005-0000-0000-0000D6120000}"/>
    <cellStyle name="출력 2 5 3 3" xfId="4546" xr:uid="{00000000-0005-0000-0000-0000D7120000}"/>
    <cellStyle name="출력 2 5 3 3 2" xfId="4547" xr:uid="{00000000-0005-0000-0000-0000D8120000}"/>
    <cellStyle name="출력 2 5 3 4" xfId="4548" xr:uid="{00000000-0005-0000-0000-0000D9120000}"/>
    <cellStyle name="출력 2 5 4" xfId="4549" xr:uid="{00000000-0005-0000-0000-0000DA120000}"/>
    <cellStyle name="출력 2 5 4 2" xfId="4550" xr:uid="{00000000-0005-0000-0000-0000DB120000}"/>
    <cellStyle name="출력 2 5 4 2 2" xfId="4551" xr:uid="{00000000-0005-0000-0000-0000DC120000}"/>
    <cellStyle name="출력 2 5 4 3" xfId="4552" xr:uid="{00000000-0005-0000-0000-0000DD120000}"/>
    <cellStyle name="출력 2 5 4 3 2" xfId="4553" xr:uid="{00000000-0005-0000-0000-0000DE120000}"/>
    <cellStyle name="출력 2 5 4 4" xfId="4554" xr:uid="{00000000-0005-0000-0000-0000DF120000}"/>
    <cellStyle name="출력 2 5 5" xfId="4555" xr:uid="{00000000-0005-0000-0000-0000E0120000}"/>
    <cellStyle name="출력 2 5 5 2" xfId="4556" xr:uid="{00000000-0005-0000-0000-0000E1120000}"/>
    <cellStyle name="출력 2 5 6" xfId="4557" xr:uid="{00000000-0005-0000-0000-0000E2120000}"/>
    <cellStyle name="출력 2 5 6 2" xfId="4558" xr:uid="{00000000-0005-0000-0000-0000E3120000}"/>
    <cellStyle name="출력 2 5 7" xfId="4559" xr:uid="{00000000-0005-0000-0000-0000E4120000}"/>
    <cellStyle name="출력 2 6" xfId="4560" xr:uid="{00000000-0005-0000-0000-0000E5120000}"/>
    <cellStyle name="출력 2 6 2" xfId="4561" xr:uid="{00000000-0005-0000-0000-0000E6120000}"/>
    <cellStyle name="출력 2 6 2 2" xfId="4562" xr:uid="{00000000-0005-0000-0000-0000E7120000}"/>
    <cellStyle name="출력 2 6 2 2 2" xfId="4563" xr:uid="{00000000-0005-0000-0000-0000E8120000}"/>
    <cellStyle name="출력 2 6 2 3" xfId="4564" xr:uid="{00000000-0005-0000-0000-0000E9120000}"/>
    <cellStyle name="출력 2 6 2 3 2" xfId="4565" xr:uid="{00000000-0005-0000-0000-0000EA120000}"/>
    <cellStyle name="출력 2 6 2 4" xfId="4566" xr:uid="{00000000-0005-0000-0000-0000EB120000}"/>
    <cellStyle name="출력 2 6 3" xfId="4567" xr:uid="{00000000-0005-0000-0000-0000EC120000}"/>
    <cellStyle name="출력 2 6 3 2" xfId="4568" xr:uid="{00000000-0005-0000-0000-0000ED120000}"/>
    <cellStyle name="출력 2 6 3 2 2" xfId="4569" xr:uid="{00000000-0005-0000-0000-0000EE120000}"/>
    <cellStyle name="출력 2 6 3 3" xfId="4570" xr:uid="{00000000-0005-0000-0000-0000EF120000}"/>
    <cellStyle name="출력 2 6 3 3 2" xfId="4571" xr:uid="{00000000-0005-0000-0000-0000F0120000}"/>
    <cellStyle name="출력 2 6 3 4" xfId="4572" xr:uid="{00000000-0005-0000-0000-0000F1120000}"/>
    <cellStyle name="출력 2 6 4" xfId="4573" xr:uid="{00000000-0005-0000-0000-0000F2120000}"/>
    <cellStyle name="출력 2 6 4 2" xfId="4574" xr:uid="{00000000-0005-0000-0000-0000F3120000}"/>
    <cellStyle name="출력 2 6 5" xfId="4575" xr:uid="{00000000-0005-0000-0000-0000F4120000}"/>
    <cellStyle name="출력 2 6 5 2" xfId="4576" xr:uid="{00000000-0005-0000-0000-0000F5120000}"/>
    <cellStyle name="출력 2 6 6" xfId="4577" xr:uid="{00000000-0005-0000-0000-0000F6120000}"/>
    <cellStyle name="출력 2 7" xfId="4578" xr:uid="{00000000-0005-0000-0000-0000F7120000}"/>
    <cellStyle name="출력 2 7 2" xfId="4579" xr:uid="{00000000-0005-0000-0000-0000F8120000}"/>
    <cellStyle name="출력 2 7 2 2" xfId="4580" xr:uid="{00000000-0005-0000-0000-0000F9120000}"/>
    <cellStyle name="출력 2 7 3" xfId="4581" xr:uid="{00000000-0005-0000-0000-0000FA120000}"/>
    <cellStyle name="출력 2 7 3 2" xfId="4582" xr:uid="{00000000-0005-0000-0000-0000FB120000}"/>
    <cellStyle name="출력 2 7 4" xfId="4583" xr:uid="{00000000-0005-0000-0000-0000FC120000}"/>
    <cellStyle name="출력 2 8" xfId="4584" xr:uid="{00000000-0005-0000-0000-0000FD120000}"/>
    <cellStyle name="출력 2 8 2" xfId="4585" xr:uid="{00000000-0005-0000-0000-0000FE120000}"/>
    <cellStyle name="출력 2 8 2 2" xfId="4586" xr:uid="{00000000-0005-0000-0000-0000FF120000}"/>
    <cellStyle name="출력 2 8 3" xfId="4587" xr:uid="{00000000-0005-0000-0000-000000130000}"/>
    <cellStyle name="출력 2 8 3 2" xfId="4588" xr:uid="{00000000-0005-0000-0000-000001130000}"/>
    <cellStyle name="출력 2 8 4" xfId="4589" xr:uid="{00000000-0005-0000-0000-000002130000}"/>
    <cellStyle name="출력 2 9" xfId="4590" xr:uid="{00000000-0005-0000-0000-000003130000}"/>
    <cellStyle name="출력 2 9 2" xfId="4591" xr:uid="{00000000-0005-0000-0000-000004130000}"/>
    <cellStyle name="출력 3" xfId="4592" xr:uid="{00000000-0005-0000-0000-000005130000}"/>
    <cellStyle name="출력 4" xfId="4593" xr:uid="{00000000-0005-0000-0000-000006130000}"/>
    <cellStyle name="출력 5" xfId="4594" xr:uid="{00000000-0005-0000-0000-000007130000}"/>
    <cellStyle name="출력 6" xfId="4595" xr:uid="{00000000-0005-0000-0000-000008130000}"/>
    <cellStyle name="출력 7" xfId="4596" xr:uid="{00000000-0005-0000-0000-000009130000}"/>
    <cellStyle name="출력 8" xfId="4597" xr:uid="{00000000-0005-0000-0000-00000A130000}"/>
    <cellStyle name="출력 9" xfId="4598" xr:uid="{00000000-0005-0000-0000-00000B130000}"/>
    <cellStyle name="콤마 [0]_(월초P)" xfId="4599" xr:uid="{00000000-0005-0000-0000-00000C130000}"/>
    <cellStyle name="콤마_(type)총괄" xfId="4600" xr:uid="{00000000-0005-0000-0000-00000D130000}"/>
    <cellStyle name="通貨 [0.00]_List-dwg" xfId="4601" xr:uid="{00000000-0005-0000-0000-00000E130000}"/>
    <cellStyle name="통화 [0] 2" xfId="4602" xr:uid="{00000000-0005-0000-0000-00000F130000}"/>
    <cellStyle name="通貨_List-dwg" xfId="4603" xr:uid="{00000000-0005-0000-0000-000010130000}"/>
    <cellStyle name="퍼센트" xfId="4604" xr:uid="{00000000-0005-0000-0000-000011130000}"/>
    <cellStyle name="표10" xfId="4605" xr:uid="{00000000-0005-0000-0000-000012130000}"/>
    <cellStyle name="표13" xfId="4606" xr:uid="{00000000-0005-0000-0000-000013130000}"/>
    <cellStyle name="표준" xfId="0" builtinId="0"/>
    <cellStyle name="표준 10" xfId="4607" xr:uid="{00000000-0005-0000-0000-000015130000}"/>
    <cellStyle name="표준 10 2" xfId="4608" xr:uid="{00000000-0005-0000-0000-000016130000}"/>
    <cellStyle name="표준 10 3" xfId="4609" xr:uid="{00000000-0005-0000-0000-000017130000}"/>
    <cellStyle name="표준 10 4" xfId="4610" xr:uid="{00000000-0005-0000-0000-000018130000}"/>
    <cellStyle name="표준 11" xfId="4611" xr:uid="{00000000-0005-0000-0000-000019130000}"/>
    <cellStyle name="표준 11 2" xfId="4612" xr:uid="{00000000-0005-0000-0000-00001A130000}"/>
    <cellStyle name="표준 11 2 2" xfId="4613" xr:uid="{00000000-0005-0000-0000-00001B130000}"/>
    <cellStyle name="표준 11 2 3" xfId="6932" xr:uid="{00000000-0005-0000-0000-00001C130000}"/>
    <cellStyle name="표준 11 2 3 2" xfId="9454" xr:uid="{00000000-0005-0000-0000-00001D130000}"/>
    <cellStyle name="표준 11 2 4" xfId="7772" xr:uid="{00000000-0005-0000-0000-00001E130000}"/>
    <cellStyle name="표준 11 2 5" xfId="8615" xr:uid="{00000000-0005-0000-0000-00001F130000}"/>
    <cellStyle name="표준 11 2 6" xfId="6084" xr:uid="{00000000-0005-0000-0000-000020130000}"/>
    <cellStyle name="표준 11 3" xfId="4614" xr:uid="{00000000-0005-0000-0000-000021130000}"/>
    <cellStyle name="표준 11 4" xfId="4615" xr:uid="{00000000-0005-0000-0000-000022130000}"/>
    <cellStyle name="표준 11 5" xfId="6931" xr:uid="{00000000-0005-0000-0000-000023130000}"/>
    <cellStyle name="표준 11 5 2" xfId="9453" xr:uid="{00000000-0005-0000-0000-000024130000}"/>
    <cellStyle name="표준 11 6" xfId="7771" xr:uid="{00000000-0005-0000-0000-000025130000}"/>
    <cellStyle name="표준 11 7" xfId="8614" xr:uid="{00000000-0005-0000-0000-000026130000}"/>
    <cellStyle name="표준 11 8" xfId="6083" xr:uid="{00000000-0005-0000-0000-000027130000}"/>
    <cellStyle name="표준 12" xfId="4616" xr:uid="{00000000-0005-0000-0000-000028130000}"/>
    <cellStyle name="표준 12 2" xfId="4617" xr:uid="{00000000-0005-0000-0000-000029130000}"/>
    <cellStyle name="표준 12 2 2" xfId="6934" xr:uid="{00000000-0005-0000-0000-00002A130000}"/>
    <cellStyle name="표준 12 2 2 2" xfId="9456" xr:uid="{00000000-0005-0000-0000-00002B130000}"/>
    <cellStyle name="표준 12 2 3" xfId="7774" xr:uid="{00000000-0005-0000-0000-00002C130000}"/>
    <cellStyle name="표준 12 2 4" xfId="8617" xr:uid="{00000000-0005-0000-0000-00002D130000}"/>
    <cellStyle name="표준 12 2 5" xfId="6086" xr:uid="{00000000-0005-0000-0000-00002E130000}"/>
    <cellStyle name="표준 12 3" xfId="4618" xr:uid="{00000000-0005-0000-0000-00002F130000}"/>
    <cellStyle name="표준 12 3 2" xfId="6935" xr:uid="{00000000-0005-0000-0000-000030130000}"/>
    <cellStyle name="표준 12 3 2 2" xfId="9457" xr:uid="{00000000-0005-0000-0000-000031130000}"/>
    <cellStyle name="표준 12 3 3" xfId="7775" xr:uid="{00000000-0005-0000-0000-000032130000}"/>
    <cellStyle name="표준 12 3 4" xfId="8618" xr:uid="{00000000-0005-0000-0000-000033130000}"/>
    <cellStyle name="표준 12 3 5" xfId="6087" xr:uid="{00000000-0005-0000-0000-000034130000}"/>
    <cellStyle name="표준 12 4" xfId="6933" xr:uid="{00000000-0005-0000-0000-000035130000}"/>
    <cellStyle name="표준 12 4 2" xfId="9455" xr:uid="{00000000-0005-0000-0000-000036130000}"/>
    <cellStyle name="표준 12 5" xfId="7773" xr:uid="{00000000-0005-0000-0000-000037130000}"/>
    <cellStyle name="표준 12 6" xfId="8616" xr:uid="{00000000-0005-0000-0000-000038130000}"/>
    <cellStyle name="표준 12 7" xfId="6085" xr:uid="{00000000-0005-0000-0000-000039130000}"/>
    <cellStyle name="표준 13" xfId="4619" xr:uid="{00000000-0005-0000-0000-00003A130000}"/>
    <cellStyle name="표준 13 2" xfId="4620" xr:uid="{00000000-0005-0000-0000-00003B130000}"/>
    <cellStyle name="표준 13 3" xfId="4621" xr:uid="{00000000-0005-0000-0000-00003C130000}"/>
    <cellStyle name="표준 13 4" xfId="4622" xr:uid="{00000000-0005-0000-0000-00003D130000}"/>
    <cellStyle name="표준 13 5" xfId="4623" xr:uid="{00000000-0005-0000-0000-00003E130000}"/>
    <cellStyle name="표준 14" xfId="4624" xr:uid="{00000000-0005-0000-0000-00003F130000}"/>
    <cellStyle name="표준 14 2" xfId="4625" xr:uid="{00000000-0005-0000-0000-000040130000}"/>
    <cellStyle name="표준 14 3" xfId="4626" xr:uid="{00000000-0005-0000-0000-000041130000}"/>
    <cellStyle name="표준 14 4" xfId="4627" xr:uid="{00000000-0005-0000-0000-000042130000}"/>
    <cellStyle name="표준 15" xfId="4628" xr:uid="{00000000-0005-0000-0000-000043130000}"/>
    <cellStyle name="표준 16" xfId="4629" xr:uid="{00000000-0005-0000-0000-000044130000}"/>
    <cellStyle name="표준 17" xfId="4630" xr:uid="{00000000-0005-0000-0000-000045130000}"/>
    <cellStyle name="표준 18" xfId="4631" xr:uid="{00000000-0005-0000-0000-000046130000}"/>
    <cellStyle name="표준 18 2" xfId="4632" xr:uid="{00000000-0005-0000-0000-000047130000}"/>
    <cellStyle name="표준 18 3" xfId="4633" xr:uid="{00000000-0005-0000-0000-000048130000}"/>
    <cellStyle name="표준 19" xfId="4634" xr:uid="{00000000-0005-0000-0000-000049130000}"/>
    <cellStyle name="표준 19 2" xfId="4635" xr:uid="{00000000-0005-0000-0000-00004A130000}"/>
    <cellStyle name="표준 19 3" xfId="4636" xr:uid="{00000000-0005-0000-0000-00004B130000}"/>
    <cellStyle name="표준 2" xfId="43" xr:uid="{00000000-0005-0000-0000-00004C130000}"/>
    <cellStyle name="표준 2 10" xfId="4637" xr:uid="{00000000-0005-0000-0000-00004D130000}"/>
    <cellStyle name="표준 2 100" xfId="4638" xr:uid="{00000000-0005-0000-0000-00004E130000}"/>
    <cellStyle name="표준 2 101" xfId="4639" xr:uid="{00000000-0005-0000-0000-00004F130000}"/>
    <cellStyle name="표준 2 102" xfId="6886" xr:uid="{00000000-0005-0000-0000-000050130000}"/>
    <cellStyle name="표준 2 103" xfId="8568" xr:uid="{00000000-0005-0000-0000-000051130000}"/>
    <cellStyle name="표준 2 11" xfId="4640" xr:uid="{00000000-0005-0000-0000-000052130000}"/>
    <cellStyle name="표준 2 12" xfId="4641" xr:uid="{00000000-0005-0000-0000-000053130000}"/>
    <cellStyle name="표준 2 13" xfId="4642" xr:uid="{00000000-0005-0000-0000-000054130000}"/>
    <cellStyle name="표준 2 14" xfId="4643" xr:uid="{00000000-0005-0000-0000-000055130000}"/>
    <cellStyle name="표준 2 15" xfId="4644" xr:uid="{00000000-0005-0000-0000-000056130000}"/>
    <cellStyle name="표준 2 16" xfId="4645" xr:uid="{00000000-0005-0000-0000-000057130000}"/>
    <cellStyle name="표준 2 17" xfId="4646" xr:uid="{00000000-0005-0000-0000-000058130000}"/>
    <cellStyle name="표준 2 18" xfId="4647" xr:uid="{00000000-0005-0000-0000-000059130000}"/>
    <cellStyle name="표준 2 19" xfId="4648" xr:uid="{00000000-0005-0000-0000-00005A130000}"/>
    <cellStyle name="표준 2 2" xfId="4649" xr:uid="{00000000-0005-0000-0000-00005B130000}"/>
    <cellStyle name="標準 2 2" xfId="4650" xr:uid="{00000000-0005-0000-0000-00005C130000}"/>
    <cellStyle name="표준 2 2 10" xfId="4651" xr:uid="{00000000-0005-0000-0000-00005D130000}"/>
    <cellStyle name="표준 2 2 11" xfId="4652" xr:uid="{00000000-0005-0000-0000-00005E130000}"/>
    <cellStyle name="표준 2 2 12" xfId="4653" xr:uid="{00000000-0005-0000-0000-00005F130000}"/>
    <cellStyle name="표준 2 2 13" xfId="4654" xr:uid="{00000000-0005-0000-0000-000060130000}"/>
    <cellStyle name="표준 2 2 14" xfId="4655" xr:uid="{00000000-0005-0000-0000-000061130000}"/>
    <cellStyle name="표준 2 2 15" xfId="4656" xr:uid="{00000000-0005-0000-0000-000062130000}"/>
    <cellStyle name="표준 2 2 16" xfId="4657" xr:uid="{00000000-0005-0000-0000-000063130000}"/>
    <cellStyle name="표준 2 2 17" xfId="4658" xr:uid="{00000000-0005-0000-0000-000064130000}"/>
    <cellStyle name="표준 2 2 18" xfId="4659" xr:uid="{00000000-0005-0000-0000-000065130000}"/>
    <cellStyle name="표준 2 2 19" xfId="4660" xr:uid="{00000000-0005-0000-0000-000066130000}"/>
    <cellStyle name="표준 2 2 2" xfId="4661" xr:uid="{00000000-0005-0000-0000-000067130000}"/>
    <cellStyle name="표준 2 2 2 10" xfId="4662" xr:uid="{00000000-0005-0000-0000-000068130000}"/>
    <cellStyle name="표준 2 2 2 11" xfId="4663" xr:uid="{00000000-0005-0000-0000-000069130000}"/>
    <cellStyle name="표준 2 2 2 12" xfId="4664" xr:uid="{00000000-0005-0000-0000-00006A130000}"/>
    <cellStyle name="표준 2 2 2 13" xfId="4665" xr:uid="{00000000-0005-0000-0000-00006B130000}"/>
    <cellStyle name="표준 2 2 2 14" xfId="4666" xr:uid="{00000000-0005-0000-0000-00006C130000}"/>
    <cellStyle name="표준 2 2 2 15" xfId="4667" xr:uid="{00000000-0005-0000-0000-00006D130000}"/>
    <cellStyle name="표준 2 2 2 16" xfId="4668" xr:uid="{00000000-0005-0000-0000-00006E130000}"/>
    <cellStyle name="표준 2 2 2 17" xfId="4669" xr:uid="{00000000-0005-0000-0000-00006F130000}"/>
    <cellStyle name="표준 2 2 2 18" xfId="4670" xr:uid="{00000000-0005-0000-0000-000070130000}"/>
    <cellStyle name="표준 2 2 2 19" xfId="4671" xr:uid="{00000000-0005-0000-0000-000071130000}"/>
    <cellStyle name="표준 2 2 2 2" xfId="4672" xr:uid="{00000000-0005-0000-0000-000072130000}"/>
    <cellStyle name="표준 2 2 2 20" xfId="4673" xr:uid="{00000000-0005-0000-0000-000073130000}"/>
    <cellStyle name="표준 2 2 2 21" xfId="4674" xr:uid="{00000000-0005-0000-0000-000074130000}"/>
    <cellStyle name="표준 2 2 2 22" xfId="4675" xr:uid="{00000000-0005-0000-0000-000075130000}"/>
    <cellStyle name="표준 2 2 2 23" xfId="4676" xr:uid="{00000000-0005-0000-0000-000076130000}"/>
    <cellStyle name="표준 2 2 2 24" xfId="4677" xr:uid="{00000000-0005-0000-0000-000077130000}"/>
    <cellStyle name="표준 2 2 2 25" xfId="4678" xr:uid="{00000000-0005-0000-0000-000078130000}"/>
    <cellStyle name="표준 2 2 2 26" xfId="4679" xr:uid="{00000000-0005-0000-0000-000079130000}"/>
    <cellStyle name="표준 2 2 2 27" xfId="4680" xr:uid="{00000000-0005-0000-0000-00007A130000}"/>
    <cellStyle name="표준 2 2 2 28" xfId="4681" xr:uid="{00000000-0005-0000-0000-00007B130000}"/>
    <cellStyle name="표준 2 2 2 29" xfId="4682" xr:uid="{00000000-0005-0000-0000-00007C130000}"/>
    <cellStyle name="표준 2 2 2 3" xfId="4683" xr:uid="{00000000-0005-0000-0000-00007D130000}"/>
    <cellStyle name="표준 2 2 2 3 2" xfId="4684" xr:uid="{00000000-0005-0000-0000-00007E130000}"/>
    <cellStyle name="표준 2 2 2 30" xfId="4685" xr:uid="{00000000-0005-0000-0000-00007F130000}"/>
    <cellStyle name="표준 2 2 2 31" xfId="4686" xr:uid="{00000000-0005-0000-0000-000080130000}"/>
    <cellStyle name="표준 2 2 2 32" xfId="4687" xr:uid="{00000000-0005-0000-0000-000081130000}"/>
    <cellStyle name="표준 2 2 2 33" xfId="4688" xr:uid="{00000000-0005-0000-0000-000082130000}"/>
    <cellStyle name="표준 2 2 2 34" xfId="4689" xr:uid="{00000000-0005-0000-0000-000083130000}"/>
    <cellStyle name="표준 2 2 2 35" xfId="4690" xr:uid="{00000000-0005-0000-0000-000084130000}"/>
    <cellStyle name="표준 2 2 2 36" xfId="4691" xr:uid="{00000000-0005-0000-0000-000085130000}"/>
    <cellStyle name="표준 2 2 2 37" xfId="4692" xr:uid="{00000000-0005-0000-0000-000086130000}"/>
    <cellStyle name="표준 2 2 2 38" xfId="4693" xr:uid="{00000000-0005-0000-0000-000087130000}"/>
    <cellStyle name="표준 2 2 2 39" xfId="4694" xr:uid="{00000000-0005-0000-0000-000088130000}"/>
    <cellStyle name="표준 2 2 2 4" xfId="4695" xr:uid="{00000000-0005-0000-0000-000089130000}"/>
    <cellStyle name="표준 2 2 2 40" xfId="4696" xr:uid="{00000000-0005-0000-0000-00008A130000}"/>
    <cellStyle name="표준 2 2 2 41" xfId="4697" xr:uid="{00000000-0005-0000-0000-00008B130000}"/>
    <cellStyle name="표준 2 2 2 42" xfId="4698" xr:uid="{00000000-0005-0000-0000-00008C130000}"/>
    <cellStyle name="표준 2 2 2 43" xfId="4699" xr:uid="{00000000-0005-0000-0000-00008D130000}"/>
    <cellStyle name="표준 2 2 2 44" xfId="4700" xr:uid="{00000000-0005-0000-0000-00008E130000}"/>
    <cellStyle name="표준 2 2 2 45" xfId="4701" xr:uid="{00000000-0005-0000-0000-00008F130000}"/>
    <cellStyle name="표준 2 2 2 46" xfId="4702" xr:uid="{00000000-0005-0000-0000-000090130000}"/>
    <cellStyle name="표준 2 2 2 47" xfId="4703" xr:uid="{00000000-0005-0000-0000-000091130000}"/>
    <cellStyle name="표준 2 2 2 48" xfId="4704" xr:uid="{00000000-0005-0000-0000-000092130000}"/>
    <cellStyle name="표준 2 2 2 49" xfId="4705" xr:uid="{00000000-0005-0000-0000-000093130000}"/>
    <cellStyle name="표준 2 2 2 5" xfId="4706" xr:uid="{00000000-0005-0000-0000-000094130000}"/>
    <cellStyle name="표준 2 2 2 50" xfId="4707" xr:uid="{00000000-0005-0000-0000-000095130000}"/>
    <cellStyle name="표준 2 2 2 51" xfId="4708" xr:uid="{00000000-0005-0000-0000-000096130000}"/>
    <cellStyle name="표준 2 2 2 52" xfId="4709" xr:uid="{00000000-0005-0000-0000-000097130000}"/>
    <cellStyle name="표준 2 2 2 53" xfId="4710" xr:uid="{00000000-0005-0000-0000-000098130000}"/>
    <cellStyle name="표준 2 2 2 54" xfId="4711" xr:uid="{00000000-0005-0000-0000-000099130000}"/>
    <cellStyle name="표준 2 2 2 55" xfId="4712" xr:uid="{00000000-0005-0000-0000-00009A130000}"/>
    <cellStyle name="표준 2 2 2 56" xfId="4713" xr:uid="{00000000-0005-0000-0000-00009B130000}"/>
    <cellStyle name="표준 2 2 2 57" xfId="4714" xr:uid="{00000000-0005-0000-0000-00009C130000}"/>
    <cellStyle name="표준 2 2 2 58" xfId="4715" xr:uid="{00000000-0005-0000-0000-00009D130000}"/>
    <cellStyle name="표준 2 2 2 59" xfId="4716" xr:uid="{00000000-0005-0000-0000-00009E130000}"/>
    <cellStyle name="표준 2 2 2 6" xfId="4717" xr:uid="{00000000-0005-0000-0000-00009F130000}"/>
    <cellStyle name="표준 2 2 2 60" xfId="4718" xr:uid="{00000000-0005-0000-0000-0000A0130000}"/>
    <cellStyle name="표준 2 2 2 61" xfId="4719" xr:uid="{00000000-0005-0000-0000-0000A1130000}"/>
    <cellStyle name="표준 2 2 2 62" xfId="4720" xr:uid="{00000000-0005-0000-0000-0000A2130000}"/>
    <cellStyle name="표준 2 2 2 63" xfId="4721" xr:uid="{00000000-0005-0000-0000-0000A3130000}"/>
    <cellStyle name="표준 2 2 2 64" xfId="4722" xr:uid="{00000000-0005-0000-0000-0000A4130000}"/>
    <cellStyle name="표준 2 2 2 65" xfId="4723" xr:uid="{00000000-0005-0000-0000-0000A5130000}"/>
    <cellStyle name="표준 2 2 2 66" xfId="4724" xr:uid="{00000000-0005-0000-0000-0000A6130000}"/>
    <cellStyle name="표준 2 2 2 67" xfId="4725" xr:uid="{00000000-0005-0000-0000-0000A7130000}"/>
    <cellStyle name="표준 2 2 2 68" xfId="4726" xr:uid="{00000000-0005-0000-0000-0000A8130000}"/>
    <cellStyle name="표준 2 2 2 69" xfId="4727" xr:uid="{00000000-0005-0000-0000-0000A9130000}"/>
    <cellStyle name="표준 2 2 2 7" xfId="4728" xr:uid="{00000000-0005-0000-0000-0000AA130000}"/>
    <cellStyle name="표준 2 2 2 70" xfId="4729" xr:uid="{00000000-0005-0000-0000-0000AB130000}"/>
    <cellStyle name="표준 2 2 2 71" xfId="4730" xr:uid="{00000000-0005-0000-0000-0000AC130000}"/>
    <cellStyle name="표준 2 2 2 72" xfId="4731" xr:uid="{00000000-0005-0000-0000-0000AD130000}"/>
    <cellStyle name="표준 2 2 2 73" xfId="4732" xr:uid="{00000000-0005-0000-0000-0000AE130000}"/>
    <cellStyle name="표준 2 2 2 74" xfId="4733" xr:uid="{00000000-0005-0000-0000-0000AF130000}"/>
    <cellStyle name="표준 2 2 2 75" xfId="4734" xr:uid="{00000000-0005-0000-0000-0000B0130000}"/>
    <cellStyle name="표준 2 2 2 76" xfId="4735" xr:uid="{00000000-0005-0000-0000-0000B1130000}"/>
    <cellStyle name="표준 2 2 2 77" xfId="4736" xr:uid="{00000000-0005-0000-0000-0000B2130000}"/>
    <cellStyle name="표준 2 2 2 78" xfId="4737" xr:uid="{00000000-0005-0000-0000-0000B3130000}"/>
    <cellStyle name="표준 2 2 2 8" xfId="4738" xr:uid="{00000000-0005-0000-0000-0000B4130000}"/>
    <cellStyle name="표준 2 2 2 9" xfId="4739" xr:uid="{00000000-0005-0000-0000-0000B5130000}"/>
    <cellStyle name="표준 2 2 20" xfId="4740" xr:uid="{00000000-0005-0000-0000-0000B6130000}"/>
    <cellStyle name="표준 2 2 21" xfId="4741" xr:uid="{00000000-0005-0000-0000-0000B7130000}"/>
    <cellStyle name="표준 2 2 22" xfId="4742" xr:uid="{00000000-0005-0000-0000-0000B8130000}"/>
    <cellStyle name="표준 2 2 23" xfId="4743" xr:uid="{00000000-0005-0000-0000-0000B9130000}"/>
    <cellStyle name="표준 2 2 24" xfId="4744" xr:uid="{00000000-0005-0000-0000-0000BA130000}"/>
    <cellStyle name="표준 2 2 25" xfId="4745" xr:uid="{00000000-0005-0000-0000-0000BB130000}"/>
    <cellStyle name="표준 2 2 26" xfId="4746" xr:uid="{00000000-0005-0000-0000-0000BC130000}"/>
    <cellStyle name="표준 2 2 27" xfId="4747" xr:uid="{00000000-0005-0000-0000-0000BD130000}"/>
    <cellStyle name="표준 2 2 28" xfId="4748" xr:uid="{00000000-0005-0000-0000-0000BE130000}"/>
    <cellStyle name="표준 2 2 29" xfId="4749" xr:uid="{00000000-0005-0000-0000-0000BF130000}"/>
    <cellStyle name="표준 2 2 3" xfId="4750" xr:uid="{00000000-0005-0000-0000-0000C0130000}"/>
    <cellStyle name="표준 2 2 3 2" xfId="4751" xr:uid="{00000000-0005-0000-0000-0000C1130000}"/>
    <cellStyle name="표준 2 2 3 2 2" xfId="4752" xr:uid="{00000000-0005-0000-0000-0000C2130000}"/>
    <cellStyle name="표준 2 2 3 2 2 2" xfId="6936" xr:uid="{00000000-0005-0000-0000-0000C3130000}"/>
    <cellStyle name="표준 2 2 3 2 2 2 2" xfId="9459" xr:uid="{00000000-0005-0000-0000-0000C4130000}"/>
    <cellStyle name="표준 2 2 3 2 2 3" xfId="7777" xr:uid="{00000000-0005-0000-0000-0000C5130000}"/>
    <cellStyle name="표준 2 2 3 2 2 4" xfId="8619" xr:uid="{00000000-0005-0000-0000-0000C6130000}"/>
    <cellStyle name="표준 2 2 3 2 2 5" xfId="6089" xr:uid="{00000000-0005-0000-0000-0000C7130000}"/>
    <cellStyle name="표준 2 2 3 2 3" xfId="4753" xr:uid="{00000000-0005-0000-0000-0000C8130000}"/>
    <cellStyle name="표준 2 2 3 3" xfId="4754" xr:uid="{00000000-0005-0000-0000-0000C9130000}"/>
    <cellStyle name="표준 2 2 3 3 2" xfId="6937" xr:uid="{00000000-0005-0000-0000-0000CA130000}"/>
    <cellStyle name="표준 2 2 3 3 2 2" xfId="9460" xr:uid="{00000000-0005-0000-0000-0000CB130000}"/>
    <cellStyle name="표준 2 2 3 3 3" xfId="7778" xr:uid="{00000000-0005-0000-0000-0000CC130000}"/>
    <cellStyle name="표준 2 2 3 3 4" xfId="8620" xr:uid="{00000000-0005-0000-0000-0000CD130000}"/>
    <cellStyle name="표준 2 2 3 3 5" xfId="6090" xr:uid="{00000000-0005-0000-0000-0000CE130000}"/>
    <cellStyle name="표준 2 2 3 4" xfId="4755" xr:uid="{00000000-0005-0000-0000-0000CF130000}"/>
    <cellStyle name="표준 2 2 30" xfId="4756" xr:uid="{00000000-0005-0000-0000-0000D0130000}"/>
    <cellStyle name="표준 2 2 31" xfId="4757" xr:uid="{00000000-0005-0000-0000-0000D1130000}"/>
    <cellStyle name="표준 2 2 32" xfId="4758" xr:uid="{00000000-0005-0000-0000-0000D2130000}"/>
    <cellStyle name="표준 2 2 33" xfId="4759" xr:uid="{00000000-0005-0000-0000-0000D3130000}"/>
    <cellStyle name="표준 2 2 34" xfId="4760" xr:uid="{00000000-0005-0000-0000-0000D4130000}"/>
    <cellStyle name="표준 2 2 35" xfId="4761" xr:uid="{00000000-0005-0000-0000-0000D5130000}"/>
    <cellStyle name="표준 2 2 36" xfId="4762" xr:uid="{00000000-0005-0000-0000-0000D6130000}"/>
    <cellStyle name="표준 2 2 37" xfId="4763" xr:uid="{00000000-0005-0000-0000-0000D7130000}"/>
    <cellStyle name="표준 2 2 38" xfId="4764" xr:uid="{00000000-0005-0000-0000-0000D8130000}"/>
    <cellStyle name="표준 2 2 39" xfId="4765" xr:uid="{00000000-0005-0000-0000-0000D9130000}"/>
    <cellStyle name="표준 2 2 4" xfId="4766" xr:uid="{00000000-0005-0000-0000-0000DA130000}"/>
    <cellStyle name="표준 2 2 4 2" xfId="4767" xr:uid="{00000000-0005-0000-0000-0000DB130000}"/>
    <cellStyle name="표준 2 2 4 2 2" xfId="6938" xr:uid="{00000000-0005-0000-0000-0000DC130000}"/>
    <cellStyle name="표준 2 2 4 2 2 2" xfId="9461" xr:uid="{00000000-0005-0000-0000-0000DD130000}"/>
    <cellStyle name="표준 2 2 4 2 3" xfId="7779" xr:uid="{00000000-0005-0000-0000-0000DE130000}"/>
    <cellStyle name="표준 2 2 4 2 4" xfId="8621" xr:uid="{00000000-0005-0000-0000-0000DF130000}"/>
    <cellStyle name="표준 2 2 4 2 5" xfId="6091" xr:uid="{00000000-0005-0000-0000-0000E0130000}"/>
    <cellStyle name="표준 2 2 4 3" xfId="4768" xr:uid="{00000000-0005-0000-0000-0000E1130000}"/>
    <cellStyle name="표준 2 2 40" xfId="4769" xr:uid="{00000000-0005-0000-0000-0000E2130000}"/>
    <cellStyle name="표준 2 2 41" xfId="4770" xr:uid="{00000000-0005-0000-0000-0000E3130000}"/>
    <cellStyle name="표준 2 2 42" xfId="4771" xr:uid="{00000000-0005-0000-0000-0000E4130000}"/>
    <cellStyle name="표준 2 2 43" xfId="4772" xr:uid="{00000000-0005-0000-0000-0000E5130000}"/>
    <cellStyle name="표준 2 2 44" xfId="4773" xr:uid="{00000000-0005-0000-0000-0000E6130000}"/>
    <cellStyle name="표준 2 2 45" xfId="4774" xr:uid="{00000000-0005-0000-0000-0000E7130000}"/>
    <cellStyle name="표준 2 2 46" xfId="4775" xr:uid="{00000000-0005-0000-0000-0000E8130000}"/>
    <cellStyle name="표준 2 2 47" xfId="4776" xr:uid="{00000000-0005-0000-0000-0000E9130000}"/>
    <cellStyle name="표준 2 2 48" xfId="4777" xr:uid="{00000000-0005-0000-0000-0000EA130000}"/>
    <cellStyle name="표준 2 2 49" xfId="4778" xr:uid="{00000000-0005-0000-0000-0000EB130000}"/>
    <cellStyle name="표준 2 2 5" xfId="4779" xr:uid="{00000000-0005-0000-0000-0000EC130000}"/>
    <cellStyle name="표준 2 2 5 2" xfId="4780" xr:uid="{00000000-0005-0000-0000-0000ED130000}"/>
    <cellStyle name="표준 2 2 5 2 2" xfId="6939" xr:uid="{00000000-0005-0000-0000-0000EE130000}"/>
    <cellStyle name="표준 2 2 5 2 2 2" xfId="9462" xr:uid="{00000000-0005-0000-0000-0000EF130000}"/>
    <cellStyle name="표준 2 2 5 2 3" xfId="7780" xr:uid="{00000000-0005-0000-0000-0000F0130000}"/>
    <cellStyle name="표준 2 2 5 2 4" xfId="8622" xr:uid="{00000000-0005-0000-0000-0000F1130000}"/>
    <cellStyle name="표준 2 2 5 2 5" xfId="6092" xr:uid="{00000000-0005-0000-0000-0000F2130000}"/>
    <cellStyle name="표준 2 2 5 3" xfId="4781" xr:uid="{00000000-0005-0000-0000-0000F3130000}"/>
    <cellStyle name="표준 2 2 50" xfId="4782" xr:uid="{00000000-0005-0000-0000-0000F4130000}"/>
    <cellStyle name="표준 2 2 51" xfId="4783" xr:uid="{00000000-0005-0000-0000-0000F5130000}"/>
    <cellStyle name="표준 2 2 52" xfId="4784" xr:uid="{00000000-0005-0000-0000-0000F6130000}"/>
    <cellStyle name="표준 2 2 53" xfId="4785" xr:uid="{00000000-0005-0000-0000-0000F7130000}"/>
    <cellStyle name="표준 2 2 54" xfId="4786" xr:uid="{00000000-0005-0000-0000-0000F8130000}"/>
    <cellStyle name="표준 2 2 55" xfId="4787" xr:uid="{00000000-0005-0000-0000-0000F9130000}"/>
    <cellStyle name="표준 2 2 56" xfId="4788" xr:uid="{00000000-0005-0000-0000-0000FA130000}"/>
    <cellStyle name="표준 2 2 57" xfId="4789" xr:uid="{00000000-0005-0000-0000-0000FB130000}"/>
    <cellStyle name="표준 2 2 58" xfId="4790" xr:uid="{00000000-0005-0000-0000-0000FC130000}"/>
    <cellStyle name="표준 2 2 59" xfId="4791" xr:uid="{00000000-0005-0000-0000-0000FD130000}"/>
    <cellStyle name="표준 2 2 6" xfId="4792" xr:uid="{00000000-0005-0000-0000-0000FE130000}"/>
    <cellStyle name="표준 2 2 60" xfId="4793" xr:uid="{00000000-0005-0000-0000-0000FF130000}"/>
    <cellStyle name="표준 2 2 61" xfId="4794" xr:uid="{00000000-0005-0000-0000-000000140000}"/>
    <cellStyle name="표준 2 2 62" xfId="4795" xr:uid="{00000000-0005-0000-0000-000001140000}"/>
    <cellStyle name="표준 2 2 63" xfId="4796" xr:uid="{00000000-0005-0000-0000-000002140000}"/>
    <cellStyle name="표준 2 2 64" xfId="4797" xr:uid="{00000000-0005-0000-0000-000003140000}"/>
    <cellStyle name="표준 2 2 65" xfId="4798" xr:uid="{00000000-0005-0000-0000-000004140000}"/>
    <cellStyle name="표준 2 2 66" xfId="4799" xr:uid="{00000000-0005-0000-0000-000005140000}"/>
    <cellStyle name="표준 2 2 67" xfId="4800" xr:uid="{00000000-0005-0000-0000-000006140000}"/>
    <cellStyle name="표준 2 2 68" xfId="4801" xr:uid="{00000000-0005-0000-0000-000007140000}"/>
    <cellStyle name="표준 2 2 69" xfId="4802" xr:uid="{00000000-0005-0000-0000-000008140000}"/>
    <cellStyle name="표준 2 2 7" xfId="4803" xr:uid="{00000000-0005-0000-0000-000009140000}"/>
    <cellStyle name="표준 2 2 70" xfId="4804" xr:uid="{00000000-0005-0000-0000-00000A140000}"/>
    <cellStyle name="표준 2 2 71" xfId="4805" xr:uid="{00000000-0005-0000-0000-00000B140000}"/>
    <cellStyle name="표준 2 2 72" xfId="4806" xr:uid="{00000000-0005-0000-0000-00000C140000}"/>
    <cellStyle name="표준 2 2 73" xfId="4807" xr:uid="{00000000-0005-0000-0000-00000D140000}"/>
    <cellStyle name="표준 2 2 74" xfId="4808" xr:uid="{00000000-0005-0000-0000-00000E140000}"/>
    <cellStyle name="표준 2 2 75" xfId="4809" xr:uid="{00000000-0005-0000-0000-00000F140000}"/>
    <cellStyle name="표준 2 2 76" xfId="4810" xr:uid="{00000000-0005-0000-0000-000010140000}"/>
    <cellStyle name="표준 2 2 77" xfId="4811" xr:uid="{00000000-0005-0000-0000-000011140000}"/>
    <cellStyle name="표준 2 2 78" xfId="4812" xr:uid="{00000000-0005-0000-0000-000012140000}"/>
    <cellStyle name="표준 2 2 79" xfId="6867" xr:uid="{00000000-0005-0000-0000-000013140000}"/>
    <cellStyle name="표준 2 2 8" xfId="4813" xr:uid="{00000000-0005-0000-0000-000014140000}"/>
    <cellStyle name="표준 2 2 80" xfId="6870" xr:uid="{00000000-0005-0000-0000-000015140000}"/>
    <cellStyle name="표준 2 2 81" xfId="7776" xr:uid="{00000000-0005-0000-0000-000016140000}"/>
    <cellStyle name="표준 2 2 81 2" xfId="9458" xr:uid="{00000000-0005-0000-0000-000017140000}"/>
    <cellStyle name="표준 2 2 82" xfId="8569" xr:uid="{00000000-0005-0000-0000-000018140000}"/>
    <cellStyle name="표준 2 2 83" xfId="6088" xr:uid="{00000000-0005-0000-0000-000019140000}"/>
    <cellStyle name="표준 2 2 9" xfId="4814" xr:uid="{00000000-0005-0000-0000-00001A140000}"/>
    <cellStyle name="표준 2 20" xfId="4815" xr:uid="{00000000-0005-0000-0000-00001B140000}"/>
    <cellStyle name="표준 2 21" xfId="4816" xr:uid="{00000000-0005-0000-0000-00001C140000}"/>
    <cellStyle name="표준 2 22" xfId="4817" xr:uid="{00000000-0005-0000-0000-00001D140000}"/>
    <cellStyle name="표준 2 23" xfId="4818" xr:uid="{00000000-0005-0000-0000-00001E140000}"/>
    <cellStyle name="표준 2 24" xfId="4819" xr:uid="{00000000-0005-0000-0000-00001F140000}"/>
    <cellStyle name="표준 2 25" xfId="4820" xr:uid="{00000000-0005-0000-0000-000020140000}"/>
    <cellStyle name="표준 2 26" xfId="4821" xr:uid="{00000000-0005-0000-0000-000021140000}"/>
    <cellStyle name="표준 2 27" xfId="4822" xr:uid="{00000000-0005-0000-0000-000022140000}"/>
    <cellStyle name="표준 2 28" xfId="4823" xr:uid="{00000000-0005-0000-0000-000023140000}"/>
    <cellStyle name="표준 2 29" xfId="4824" xr:uid="{00000000-0005-0000-0000-000024140000}"/>
    <cellStyle name="표준 2 3" xfId="4825" xr:uid="{00000000-0005-0000-0000-000025140000}"/>
    <cellStyle name="표준 2 3 2" xfId="4826" xr:uid="{00000000-0005-0000-0000-000026140000}"/>
    <cellStyle name="표준 2 3 2 2" xfId="4827" xr:uid="{00000000-0005-0000-0000-000027140000}"/>
    <cellStyle name="표준 2 3 2 3" xfId="4828" xr:uid="{00000000-0005-0000-0000-000028140000}"/>
    <cellStyle name="표준 2 3 2 4" xfId="4829" xr:uid="{00000000-0005-0000-0000-000029140000}"/>
    <cellStyle name="표준 2 3 2 4 2" xfId="6868" xr:uid="{00000000-0005-0000-0000-00002A140000}"/>
    <cellStyle name="표준 2 3 3" xfId="4830" xr:uid="{00000000-0005-0000-0000-00002B140000}"/>
    <cellStyle name="표준 2 3 4" xfId="4831" xr:uid="{00000000-0005-0000-0000-00002C140000}"/>
    <cellStyle name="표준 2 3 5" xfId="4832" xr:uid="{00000000-0005-0000-0000-00002D140000}"/>
    <cellStyle name="표준 2 3 6" xfId="4833" xr:uid="{00000000-0005-0000-0000-00002E140000}"/>
    <cellStyle name="표준 2 3 6 2" xfId="6869" xr:uid="{00000000-0005-0000-0000-00002F140000}"/>
    <cellStyle name="표준 2 30" xfId="4834" xr:uid="{00000000-0005-0000-0000-000030140000}"/>
    <cellStyle name="표준 2 31" xfId="4835" xr:uid="{00000000-0005-0000-0000-000031140000}"/>
    <cellStyle name="표준 2 32" xfId="4836" xr:uid="{00000000-0005-0000-0000-000032140000}"/>
    <cellStyle name="표준 2 33" xfId="4837" xr:uid="{00000000-0005-0000-0000-000033140000}"/>
    <cellStyle name="표준 2 34" xfId="4838" xr:uid="{00000000-0005-0000-0000-000034140000}"/>
    <cellStyle name="표준 2 35" xfId="4839" xr:uid="{00000000-0005-0000-0000-000035140000}"/>
    <cellStyle name="표준 2 36" xfId="4840" xr:uid="{00000000-0005-0000-0000-000036140000}"/>
    <cellStyle name="표준 2 37" xfId="4841" xr:uid="{00000000-0005-0000-0000-000037140000}"/>
    <cellStyle name="표준 2 38" xfId="4842" xr:uid="{00000000-0005-0000-0000-000038140000}"/>
    <cellStyle name="표준 2 39" xfId="4843" xr:uid="{00000000-0005-0000-0000-000039140000}"/>
    <cellStyle name="표준 2 4" xfId="4844" xr:uid="{00000000-0005-0000-0000-00003A140000}"/>
    <cellStyle name="표준 2 4 2" xfId="4845" xr:uid="{00000000-0005-0000-0000-00003B140000}"/>
    <cellStyle name="표준 2 4 2 10" xfId="4846" xr:uid="{00000000-0005-0000-0000-00003C140000}"/>
    <cellStyle name="표준 2 4 2 11" xfId="4847" xr:uid="{00000000-0005-0000-0000-00003D140000}"/>
    <cellStyle name="표준 2 4 2 12" xfId="4848" xr:uid="{00000000-0005-0000-0000-00003E140000}"/>
    <cellStyle name="표준 2 4 2 13" xfId="4849" xr:uid="{00000000-0005-0000-0000-00003F140000}"/>
    <cellStyle name="표준 2 4 2 14" xfId="4850" xr:uid="{00000000-0005-0000-0000-000040140000}"/>
    <cellStyle name="표준 2 4 2 15" xfId="4851" xr:uid="{00000000-0005-0000-0000-000041140000}"/>
    <cellStyle name="표준 2 4 2 16" xfId="4852" xr:uid="{00000000-0005-0000-0000-000042140000}"/>
    <cellStyle name="표준 2 4 2 17" xfId="4853" xr:uid="{00000000-0005-0000-0000-000043140000}"/>
    <cellStyle name="표준 2 4 2 18" xfId="4854" xr:uid="{00000000-0005-0000-0000-000044140000}"/>
    <cellStyle name="표준 2 4 2 19" xfId="4855" xr:uid="{00000000-0005-0000-0000-000045140000}"/>
    <cellStyle name="표준 2 4 2 2" xfId="4856" xr:uid="{00000000-0005-0000-0000-000046140000}"/>
    <cellStyle name="표준 2 4 2 2 10" xfId="4857" xr:uid="{00000000-0005-0000-0000-000047140000}"/>
    <cellStyle name="표준 2 4 2 2 11" xfId="4858" xr:uid="{00000000-0005-0000-0000-000048140000}"/>
    <cellStyle name="표준 2 4 2 2 12" xfId="4859" xr:uid="{00000000-0005-0000-0000-000049140000}"/>
    <cellStyle name="표준 2 4 2 2 13" xfId="4860" xr:uid="{00000000-0005-0000-0000-00004A140000}"/>
    <cellStyle name="표준 2 4 2 2 14" xfId="4861" xr:uid="{00000000-0005-0000-0000-00004B140000}"/>
    <cellStyle name="표준 2 4 2 2 15" xfId="4862" xr:uid="{00000000-0005-0000-0000-00004C140000}"/>
    <cellStyle name="표준 2 4 2 2 16" xfId="4863" xr:uid="{00000000-0005-0000-0000-00004D140000}"/>
    <cellStyle name="표준 2 4 2 2 17" xfId="4864" xr:uid="{00000000-0005-0000-0000-00004E140000}"/>
    <cellStyle name="표준 2 4 2 2 2" xfId="4865" xr:uid="{00000000-0005-0000-0000-00004F140000}"/>
    <cellStyle name="표준 2 4 2 2 2 2" xfId="4866" xr:uid="{00000000-0005-0000-0000-000050140000}"/>
    <cellStyle name="표준 2 4 2 2 3" xfId="4867" xr:uid="{00000000-0005-0000-0000-000051140000}"/>
    <cellStyle name="표준 2 4 2 2 4" xfId="4868" xr:uid="{00000000-0005-0000-0000-000052140000}"/>
    <cellStyle name="표준 2 4 2 2 5" xfId="4869" xr:uid="{00000000-0005-0000-0000-000053140000}"/>
    <cellStyle name="표준 2 4 2 2 6" xfId="4870" xr:uid="{00000000-0005-0000-0000-000054140000}"/>
    <cellStyle name="표준 2 4 2 2 7" xfId="4871" xr:uid="{00000000-0005-0000-0000-000055140000}"/>
    <cellStyle name="표준 2 4 2 2 8" xfId="4872" xr:uid="{00000000-0005-0000-0000-000056140000}"/>
    <cellStyle name="표준 2 4 2 2 9" xfId="4873" xr:uid="{00000000-0005-0000-0000-000057140000}"/>
    <cellStyle name="표준 2 4 2 20" xfId="4874" xr:uid="{00000000-0005-0000-0000-000058140000}"/>
    <cellStyle name="표준 2 4 2 3" xfId="4875" xr:uid="{00000000-0005-0000-0000-000059140000}"/>
    <cellStyle name="표준 2 4 2 3 2" xfId="4876" xr:uid="{00000000-0005-0000-0000-00005A140000}"/>
    <cellStyle name="표준 2 4 2 4" xfId="4877" xr:uid="{00000000-0005-0000-0000-00005B140000}"/>
    <cellStyle name="표준 2 4 2 5" xfId="4878" xr:uid="{00000000-0005-0000-0000-00005C140000}"/>
    <cellStyle name="표준 2 4 2 6" xfId="4879" xr:uid="{00000000-0005-0000-0000-00005D140000}"/>
    <cellStyle name="표준 2 4 2 7" xfId="4880" xr:uid="{00000000-0005-0000-0000-00005E140000}"/>
    <cellStyle name="표준 2 4 2 8" xfId="4881" xr:uid="{00000000-0005-0000-0000-00005F140000}"/>
    <cellStyle name="표준 2 4 2 9" xfId="4882" xr:uid="{00000000-0005-0000-0000-000060140000}"/>
    <cellStyle name="표준 2 4 3" xfId="4883" xr:uid="{00000000-0005-0000-0000-000061140000}"/>
    <cellStyle name="표준 2 4 3 10" xfId="4884" xr:uid="{00000000-0005-0000-0000-000062140000}"/>
    <cellStyle name="표준 2 4 3 11" xfId="4885" xr:uid="{00000000-0005-0000-0000-000063140000}"/>
    <cellStyle name="표준 2 4 3 12" xfId="4886" xr:uid="{00000000-0005-0000-0000-000064140000}"/>
    <cellStyle name="표준 2 4 3 13" xfId="4887" xr:uid="{00000000-0005-0000-0000-000065140000}"/>
    <cellStyle name="표준 2 4 3 14" xfId="4888" xr:uid="{00000000-0005-0000-0000-000066140000}"/>
    <cellStyle name="표준 2 4 3 15" xfId="4889" xr:uid="{00000000-0005-0000-0000-000067140000}"/>
    <cellStyle name="표준 2 4 3 16" xfId="4890" xr:uid="{00000000-0005-0000-0000-000068140000}"/>
    <cellStyle name="표준 2 4 3 17" xfId="4891" xr:uid="{00000000-0005-0000-0000-000069140000}"/>
    <cellStyle name="표준 2 4 3 18" xfId="4892" xr:uid="{00000000-0005-0000-0000-00006A140000}"/>
    <cellStyle name="표준 2 4 3 2" xfId="4893" xr:uid="{00000000-0005-0000-0000-00006B140000}"/>
    <cellStyle name="표준 2 4 3 2 10" xfId="4894" xr:uid="{00000000-0005-0000-0000-00006C140000}"/>
    <cellStyle name="표준 2 4 3 2 11" xfId="4895" xr:uid="{00000000-0005-0000-0000-00006D140000}"/>
    <cellStyle name="표준 2 4 3 2 12" xfId="4896" xr:uid="{00000000-0005-0000-0000-00006E140000}"/>
    <cellStyle name="표준 2 4 3 2 13" xfId="4897" xr:uid="{00000000-0005-0000-0000-00006F140000}"/>
    <cellStyle name="표준 2 4 3 2 14" xfId="4898" xr:uid="{00000000-0005-0000-0000-000070140000}"/>
    <cellStyle name="표준 2 4 3 2 15" xfId="4899" xr:uid="{00000000-0005-0000-0000-000071140000}"/>
    <cellStyle name="표준 2 4 3 2 16" xfId="4900" xr:uid="{00000000-0005-0000-0000-000072140000}"/>
    <cellStyle name="표준 2 4 3 2 17" xfId="4901" xr:uid="{00000000-0005-0000-0000-000073140000}"/>
    <cellStyle name="표준 2 4 3 2 2" xfId="4902" xr:uid="{00000000-0005-0000-0000-000074140000}"/>
    <cellStyle name="표준 2 4 3 2 2 2" xfId="4903" xr:uid="{00000000-0005-0000-0000-000075140000}"/>
    <cellStyle name="표준 2 4 3 2 3" xfId="4904" xr:uid="{00000000-0005-0000-0000-000076140000}"/>
    <cellStyle name="표준 2 4 3 2 4" xfId="4905" xr:uid="{00000000-0005-0000-0000-000077140000}"/>
    <cellStyle name="표준 2 4 3 2 5" xfId="4906" xr:uid="{00000000-0005-0000-0000-000078140000}"/>
    <cellStyle name="표준 2 4 3 2 6" xfId="4907" xr:uid="{00000000-0005-0000-0000-000079140000}"/>
    <cellStyle name="표준 2 4 3 2 7" xfId="4908" xr:uid="{00000000-0005-0000-0000-00007A140000}"/>
    <cellStyle name="표준 2 4 3 2 8" xfId="4909" xr:uid="{00000000-0005-0000-0000-00007B140000}"/>
    <cellStyle name="표준 2 4 3 2 9" xfId="4910" xr:uid="{00000000-0005-0000-0000-00007C140000}"/>
    <cellStyle name="표준 2 4 3 3" xfId="4911" xr:uid="{00000000-0005-0000-0000-00007D140000}"/>
    <cellStyle name="표준 2 4 3 3 2" xfId="4912" xr:uid="{00000000-0005-0000-0000-00007E140000}"/>
    <cellStyle name="표준 2 4 3 4" xfId="4913" xr:uid="{00000000-0005-0000-0000-00007F140000}"/>
    <cellStyle name="표준 2 4 3 5" xfId="4914" xr:uid="{00000000-0005-0000-0000-000080140000}"/>
    <cellStyle name="표준 2 4 3 6" xfId="4915" xr:uid="{00000000-0005-0000-0000-000081140000}"/>
    <cellStyle name="표준 2 4 3 7" xfId="4916" xr:uid="{00000000-0005-0000-0000-000082140000}"/>
    <cellStyle name="표준 2 4 3 8" xfId="4917" xr:uid="{00000000-0005-0000-0000-000083140000}"/>
    <cellStyle name="표준 2 4 3 9" xfId="4918" xr:uid="{00000000-0005-0000-0000-000084140000}"/>
    <cellStyle name="표준 2 4 4" xfId="4919" xr:uid="{00000000-0005-0000-0000-000085140000}"/>
    <cellStyle name="표준 2 4 5" xfId="4920" xr:uid="{00000000-0005-0000-0000-000086140000}"/>
    <cellStyle name="표준 2 40" xfId="4921" xr:uid="{00000000-0005-0000-0000-000087140000}"/>
    <cellStyle name="표준 2 41" xfId="4922" xr:uid="{00000000-0005-0000-0000-000088140000}"/>
    <cellStyle name="표준 2 42" xfId="4923" xr:uid="{00000000-0005-0000-0000-000089140000}"/>
    <cellStyle name="표준 2 43" xfId="4924" xr:uid="{00000000-0005-0000-0000-00008A140000}"/>
    <cellStyle name="표준 2 44" xfId="4925" xr:uid="{00000000-0005-0000-0000-00008B140000}"/>
    <cellStyle name="표준 2 45" xfId="4926" xr:uid="{00000000-0005-0000-0000-00008C140000}"/>
    <cellStyle name="표준 2 46" xfId="4927" xr:uid="{00000000-0005-0000-0000-00008D140000}"/>
    <cellStyle name="표준 2 47" xfId="4928" xr:uid="{00000000-0005-0000-0000-00008E140000}"/>
    <cellStyle name="표준 2 48" xfId="4929" xr:uid="{00000000-0005-0000-0000-00008F140000}"/>
    <cellStyle name="표준 2 49" xfId="4930" xr:uid="{00000000-0005-0000-0000-000090140000}"/>
    <cellStyle name="표준 2 5" xfId="4931" xr:uid="{00000000-0005-0000-0000-000091140000}"/>
    <cellStyle name="표준 2 5 2" xfId="4932" xr:uid="{00000000-0005-0000-0000-000092140000}"/>
    <cellStyle name="표준 2 5 2 2" xfId="4933" xr:uid="{00000000-0005-0000-0000-000093140000}"/>
    <cellStyle name="표준 2 5 2 2 2" xfId="6940" xr:uid="{00000000-0005-0000-0000-000094140000}"/>
    <cellStyle name="표준 2 5 2 2 2 2" xfId="9463" xr:uid="{00000000-0005-0000-0000-000095140000}"/>
    <cellStyle name="표준 2 5 2 2 3" xfId="7781" xr:uid="{00000000-0005-0000-0000-000096140000}"/>
    <cellStyle name="표준 2 5 2 2 4" xfId="8623" xr:uid="{00000000-0005-0000-0000-000097140000}"/>
    <cellStyle name="표준 2 5 2 2 5" xfId="6093" xr:uid="{00000000-0005-0000-0000-000098140000}"/>
    <cellStyle name="표준 2 5 2 3" xfId="4934" xr:uid="{00000000-0005-0000-0000-000099140000}"/>
    <cellStyle name="표준 2 5 3" xfId="4935" xr:uid="{00000000-0005-0000-0000-00009A140000}"/>
    <cellStyle name="표준 2 5 3 2" xfId="6941" xr:uid="{00000000-0005-0000-0000-00009B140000}"/>
    <cellStyle name="표준 2 5 3 2 2" xfId="9464" xr:uid="{00000000-0005-0000-0000-00009C140000}"/>
    <cellStyle name="표준 2 5 3 3" xfId="7782" xr:uid="{00000000-0005-0000-0000-00009D140000}"/>
    <cellStyle name="표준 2 5 3 4" xfId="8624" xr:uid="{00000000-0005-0000-0000-00009E140000}"/>
    <cellStyle name="표준 2 5 3 5" xfId="6094" xr:uid="{00000000-0005-0000-0000-00009F140000}"/>
    <cellStyle name="표준 2 5 4" xfId="4936" xr:uid="{00000000-0005-0000-0000-0000A0140000}"/>
    <cellStyle name="표준 2 5 5" xfId="4937" xr:uid="{00000000-0005-0000-0000-0000A1140000}"/>
    <cellStyle name="표준 2 50" xfId="4938" xr:uid="{00000000-0005-0000-0000-0000A2140000}"/>
    <cellStyle name="표준 2 51" xfId="4939" xr:uid="{00000000-0005-0000-0000-0000A3140000}"/>
    <cellStyle name="표준 2 52" xfId="4940" xr:uid="{00000000-0005-0000-0000-0000A4140000}"/>
    <cellStyle name="표준 2 53" xfId="4941" xr:uid="{00000000-0005-0000-0000-0000A5140000}"/>
    <cellStyle name="표준 2 54" xfId="4942" xr:uid="{00000000-0005-0000-0000-0000A6140000}"/>
    <cellStyle name="표준 2 55" xfId="4943" xr:uid="{00000000-0005-0000-0000-0000A7140000}"/>
    <cellStyle name="표준 2 56" xfId="4944" xr:uid="{00000000-0005-0000-0000-0000A8140000}"/>
    <cellStyle name="표준 2 57" xfId="4945" xr:uid="{00000000-0005-0000-0000-0000A9140000}"/>
    <cellStyle name="표준 2 58" xfId="4946" xr:uid="{00000000-0005-0000-0000-0000AA140000}"/>
    <cellStyle name="표준 2 59" xfId="4947" xr:uid="{00000000-0005-0000-0000-0000AB140000}"/>
    <cellStyle name="표준 2 6" xfId="4948" xr:uid="{00000000-0005-0000-0000-0000AC140000}"/>
    <cellStyle name="표준 2 6 2" xfId="4949" xr:uid="{00000000-0005-0000-0000-0000AD140000}"/>
    <cellStyle name="표준 2 6 2 2" xfId="4950" xr:uid="{00000000-0005-0000-0000-0000AE140000}"/>
    <cellStyle name="표준 2 6 2 3" xfId="4951" xr:uid="{00000000-0005-0000-0000-0000AF140000}"/>
    <cellStyle name="표준 2 6 3" xfId="4952" xr:uid="{00000000-0005-0000-0000-0000B0140000}"/>
    <cellStyle name="표준 2 6 4" xfId="4953" xr:uid="{00000000-0005-0000-0000-0000B1140000}"/>
    <cellStyle name="표준 2 60" xfId="4954" xr:uid="{00000000-0005-0000-0000-0000B2140000}"/>
    <cellStyle name="표준 2 61" xfId="4955" xr:uid="{00000000-0005-0000-0000-0000B3140000}"/>
    <cellStyle name="표준 2 62" xfId="4956" xr:uid="{00000000-0005-0000-0000-0000B4140000}"/>
    <cellStyle name="표준 2 63" xfId="4957" xr:uid="{00000000-0005-0000-0000-0000B5140000}"/>
    <cellStyle name="표준 2 64" xfId="4958" xr:uid="{00000000-0005-0000-0000-0000B6140000}"/>
    <cellStyle name="표준 2 65" xfId="4959" xr:uid="{00000000-0005-0000-0000-0000B7140000}"/>
    <cellStyle name="표준 2 66" xfId="4960" xr:uid="{00000000-0005-0000-0000-0000B8140000}"/>
    <cellStyle name="표준 2 67" xfId="4961" xr:uid="{00000000-0005-0000-0000-0000B9140000}"/>
    <cellStyle name="표준 2 68" xfId="4962" xr:uid="{00000000-0005-0000-0000-0000BA140000}"/>
    <cellStyle name="표준 2 69" xfId="4963" xr:uid="{00000000-0005-0000-0000-0000BB140000}"/>
    <cellStyle name="표준 2 7" xfId="4964" xr:uid="{00000000-0005-0000-0000-0000BC140000}"/>
    <cellStyle name="표준 2 7 2" xfId="4965" xr:uid="{00000000-0005-0000-0000-0000BD140000}"/>
    <cellStyle name="표준 2 7 3" xfId="4966" xr:uid="{00000000-0005-0000-0000-0000BE140000}"/>
    <cellStyle name="표준 2 7 3 2" xfId="6942" xr:uid="{00000000-0005-0000-0000-0000BF140000}"/>
    <cellStyle name="표준 2 7 3 2 2" xfId="9465" xr:uid="{00000000-0005-0000-0000-0000C0140000}"/>
    <cellStyle name="표준 2 7 3 3" xfId="7783" xr:uid="{00000000-0005-0000-0000-0000C1140000}"/>
    <cellStyle name="표준 2 7 3 4" xfId="8625" xr:uid="{00000000-0005-0000-0000-0000C2140000}"/>
    <cellStyle name="표준 2 7 3 5" xfId="6095" xr:uid="{00000000-0005-0000-0000-0000C3140000}"/>
    <cellStyle name="표준 2 7 4" xfId="4967" xr:uid="{00000000-0005-0000-0000-0000C4140000}"/>
    <cellStyle name="표준 2 70" xfId="4968" xr:uid="{00000000-0005-0000-0000-0000C5140000}"/>
    <cellStyle name="표준 2 71" xfId="4969" xr:uid="{00000000-0005-0000-0000-0000C6140000}"/>
    <cellStyle name="표준 2 72" xfId="4970" xr:uid="{00000000-0005-0000-0000-0000C7140000}"/>
    <cellStyle name="표준 2 73" xfId="4971" xr:uid="{00000000-0005-0000-0000-0000C8140000}"/>
    <cellStyle name="표준 2 74" xfId="4972" xr:uid="{00000000-0005-0000-0000-0000C9140000}"/>
    <cellStyle name="표준 2 75" xfId="4973" xr:uid="{00000000-0005-0000-0000-0000CA140000}"/>
    <cellStyle name="표준 2 76" xfId="4974" xr:uid="{00000000-0005-0000-0000-0000CB140000}"/>
    <cellStyle name="표준 2 77" xfId="4975" xr:uid="{00000000-0005-0000-0000-0000CC140000}"/>
    <cellStyle name="표준 2 78" xfId="4976" xr:uid="{00000000-0005-0000-0000-0000CD140000}"/>
    <cellStyle name="표준 2 79" xfId="4977" xr:uid="{00000000-0005-0000-0000-0000CE140000}"/>
    <cellStyle name="표준 2 8" xfId="4978" xr:uid="{00000000-0005-0000-0000-0000CF140000}"/>
    <cellStyle name="표준 2 8 2" xfId="4979" xr:uid="{00000000-0005-0000-0000-0000D0140000}"/>
    <cellStyle name="표준 2 8 2 2" xfId="6943" xr:uid="{00000000-0005-0000-0000-0000D1140000}"/>
    <cellStyle name="표준 2 8 2 2 2" xfId="9466" xr:uid="{00000000-0005-0000-0000-0000D2140000}"/>
    <cellStyle name="표준 2 8 2 3" xfId="7784" xr:uid="{00000000-0005-0000-0000-0000D3140000}"/>
    <cellStyle name="표준 2 8 2 4" xfId="8626" xr:uid="{00000000-0005-0000-0000-0000D4140000}"/>
    <cellStyle name="표준 2 8 2 5" xfId="6096" xr:uid="{00000000-0005-0000-0000-0000D5140000}"/>
    <cellStyle name="표준 2 8 3" xfId="4980" xr:uid="{00000000-0005-0000-0000-0000D6140000}"/>
    <cellStyle name="표준 2 80" xfId="4981" xr:uid="{00000000-0005-0000-0000-0000D7140000}"/>
    <cellStyle name="표준 2 80 10" xfId="4982" xr:uid="{00000000-0005-0000-0000-0000D8140000}"/>
    <cellStyle name="표준 2 80 11" xfId="4983" xr:uid="{00000000-0005-0000-0000-0000D9140000}"/>
    <cellStyle name="표준 2 80 12" xfId="4984" xr:uid="{00000000-0005-0000-0000-0000DA140000}"/>
    <cellStyle name="표준 2 80 13" xfId="4985" xr:uid="{00000000-0005-0000-0000-0000DB140000}"/>
    <cellStyle name="표준 2 80 14" xfId="4986" xr:uid="{00000000-0005-0000-0000-0000DC140000}"/>
    <cellStyle name="표준 2 80 15" xfId="4987" xr:uid="{00000000-0005-0000-0000-0000DD140000}"/>
    <cellStyle name="표준 2 80 16" xfId="4988" xr:uid="{00000000-0005-0000-0000-0000DE140000}"/>
    <cellStyle name="표준 2 80 17" xfId="4989" xr:uid="{00000000-0005-0000-0000-0000DF140000}"/>
    <cellStyle name="표준 2 80 18" xfId="4990" xr:uid="{00000000-0005-0000-0000-0000E0140000}"/>
    <cellStyle name="표준 2 80 2" xfId="4991" xr:uid="{00000000-0005-0000-0000-0000E1140000}"/>
    <cellStyle name="표준 2 80 2 10" xfId="4992" xr:uid="{00000000-0005-0000-0000-0000E2140000}"/>
    <cellStyle name="표준 2 80 2 11" xfId="4993" xr:uid="{00000000-0005-0000-0000-0000E3140000}"/>
    <cellStyle name="표준 2 80 2 12" xfId="4994" xr:uid="{00000000-0005-0000-0000-0000E4140000}"/>
    <cellStyle name="표준 2 80 2 13" xfId="4995" xr:uid="{00000000-0005-0000-0000-0000E5140000}"/>
    <cellStyle name="표준 2 80 2 14" xfId="4996" xr:uid="{00000000-0005-0000-0000-0000E6140000}"/>
    <cellStyle name="표준 2 80 2 15" xfId="4997" xr:uid="{00000000-0005-0000-0000-0000E7140000}"/>
    <cellStyle name="표준 2 80 2 16" xfId="4998" xr:uid="{00000000-0005-0000-0000-0000E8140000}"/>
    <cellStyle name="표준 2 80 2 17" xfId="4999" xr:uid="{00000000-0005-0000-0000-0000E9140000}"/>
    <cellStyle name="표준 2 80 2 2" xfId="5000" xr:uid="{00000000-0005-0000-0000-0000EA140000}"/>
    <cellStyle name="표준 2 80 2 2 2" xfId="5001" xr:uid="{00000000-0005-0000-0000-0000EB140000}"/>
    <cellStyle name="표준 2 80 2 3" xfId="5002" xr:uid="{00000000-0005-0000-0000-0000EC140000}"/>
    <cellStyle name="표준 2 80 2 4" xfId="5003" xr:uid="{00000000-0005-0000-0000-0000ED140000}"/>
    <cellStyle name="표준 2 80 2 5" xfId="5004" xr:uid="{00000000-0005-0000-0000-0000EE140000}"/>
    <cellStyle name="표준 2 80 2 6" xfId="5005" xr:uid="{00000000-0005-0000-0000-0000EF140000}"/>
    <cellStyle name="표준 2 80 2 7" xfId="5006" xr:uid="{00000000-0005-0000-0000-0000F0140000}"/>
    <cellStyle name="표준 2 80 2 8" xfId="5007" xr:uid="{00000000-0005-0000-0000-0000F1140000}"/>
    <cellStyle name="표준 2 80 2 9" xfId="5008" xr:uid="{00000000-0005-0000-0000-0000F2140000}"/>
    <cellStyle name="표준 2 80 3" xfId="5009" xr:uid="{00000000-0005-0000-0000-0000F3140000}"/>
    <cellStyle name="표준 2 80 3 2" xfId="5010" xr:uid="{00000000-0005-0000-0000-0000F4140000}"/>
    <cellStyle name="표준 2 80 4" xfId="5011" xr:uid="{00000000-0005-0000-0000-0000F5140000}"/>
    <cellStyle name="표준 2 80 5" xfId="5012" xr:uid="{00000000-0005-0000-0000-0000F6140000}"/>
    <cellStyle name="표준 2 80 6" xfId="5013" xr:uid="{00000000-0005-0000-0000-0000F7140000}"/>
    <cellStyle name="표준 2 80 7" xfId="5014" xr:uid="{00000000-0005-0000-0000-0000F8140000}"/>
    <cellStyle name="표준 2 80 8" xfId="5015" xr:uid="{00000000-0005-0000-0000-0000F9140000}"/>
    <cellStyle name="표준 2 80 9" xfId="5016" xr:uid="{00000000-0005-0000-0000-0000FA140000}"/>
    <cellStyle name="표준 2 81" xfId="5017" xr:uid="{00000000-0005-0000-0000-0000FB140000}"/>
    <cellStyle name="표준 2 82" xfId="5018" xr:uid="{00000000-0005-0000-0000-0000FC140000}"/>
    <cellStyle name="표준 2 83" xfId="5019" xr:uid="{00000000-0005-0000-0000-0000FD140000}"/>
    <cellStyle name="표준 2 84" xfId="5020" xr:uid="{00000000-0005-0000-0000-0000FE140000}"/>
    <cellStyle name="표준 2 85" xfId="5021" xr:uid="{00000000-0005-0000-0000-0000FF140000}"/>
    <cellStyle name="표준 2 86" xfId="5022" xr:uid="{00000000-0005-0000-0000-000000150000}"/>
    <cellStyle name="표준 2 87" xfId="5023" xr:uid="{00000000-0005-0000-0000-000001150000}"/>
    <cellStyle name="표준 2 88" xfId="5024" xr:uid="{00000000-0005-0000-0000-000002150000}"/>
    <cellStyle name="표준 2 89" xfId="5025" xr:uid="{00000000-0005-0000-0000-000003150000}"/>
    <cellStyle name="표준 2 9" xfId="5026" xr:uid="{00000000-0005-0000-0000-000004150000}"/>
    <cellStyle name="표준 2 90" xfId="5027" xr:uid="{00000000-0005-0000-0000-000005150000}"/>
    <cellStyle name="표준 2 91" xfId="5028" xr:uid="{00000000-0005-0000-0000-000006150000}"/>
    <cellStyle name="표준 2 92" xfId="5029" xr:uid="{00000000-0005-0000-0000-000007150000}"/>
    <cellStyle name="표준 2 93" xfId="5030" xr:uid="{00000000-0005-0000-0000-000008150000}"/>
    <cellStyle name="표준 2 94" xfId="5031" xr:uid="{00000000-0005-0000-0000-000009150000}"/>
    <cellStyle name="표준 2 95" xfId="5032" xr:uid="{00000000-0005-0000-0000-00000A150000}"/>
    <cellStyle name="표준 2 96" xfId="5033" xr:uid="{00000000-0005-0000-0000-00000B150000}"/>
    <cellStyle name="표준 2 97" xfId="5034" xr:uid="{00000000-0005-0000-0000-00000C150000}"/>
    <cellStyle name="표준 2 98" xfId="5035" xr:uid="{00000000-0005-0000-0000-00000D150000}"/>
    <cellStyle name="표준 2 99" xfId="5036" xr:uid="{00000000-0005-0000-0000-00000E150000}"/>
    <cellStyle name="표준 2_■ 일본지진관련 현황보고(3월 31일)" xfId="5037" xr:uid="{00000000-0005-0000-0000-00000F150000}"/>
    <cellStyle name="표준 20" xfId="5038" xr:uid="{00000000-0005-0000-0000-000010150000}"/>
    <cellStyle name="표준 20 10" xfId="5039" xr:uid="{00000000-0005-0000-0000-000011150000}"/>
    <cellStyle name="표준 20 10 2" xfId="6945" xr:uid="{00000000-0005-0000-0000-000012150000}"/>
    <cellStyle name="표준 20 10 2 2" xfId="9468" xr:uid="{00000000-0005-0000-0000-000013150000}"/>
    <cellStyle name="표준 20 10 3" xfId="7786" xr:uid="{00000000-0005-0000-0000-000014150000}"/>
    <cellStyle name="표준 20 10 4" xfId="8628" xr:uid="{00000000-0005-0000-0000-000015150000}"/>
    <cellStyle name="표준 20 10 5" xfId="6098" xr:uid="{00000000-0005-0000-0000-000016150000}"/>
    <cellStyle name="표준 20 11" xfId="5040" xr:uid="{00000000-0005-0000-0000-000017150000}"/>
    <cellStyle name="표준 20 11 2" xfId="6946" xr:uid="{00000000-0005-0000-0000-000018150000}"/>
    <cellStyle name="표준 20 11 2 2" xfId="9469" xr:uid="{00000000-0005-0000-0000-000019150000}"/>
    <cellStyle name="표준 20 11 3" xfId="7787" xr:uid="{00000000-0005-0000-0000-00001A150000}"/>
    <cellStyle name="표준 20 11 4" xfId="8629" xr:uid="{00000000-0005-0000-0000-00001B150000}"/>
    <cellStyle name="표준 20 11 5" xfId="6099" xr:uid="{00000000-0005-0000-0000-00001C150000}"/>
    <cellStyle name="표준 20 12" xfId="5041" xr:uid="{00000000-0005-0000-0000-00001D150000}"/>
    <cellStyle name="표준 20 12 2" xfId="6947" xr:uid="{00000000-0005-0000-0000-00001E150000}"/>
    <cellStyle name="표준 20 12 2 2" xfId="9470" xr:uid="{00000000-0005-0000-0000-00001F150000}"/>
    <cellStyle name="표준 20 12 3" xfId="7788" xr:uid="{00000000-0005-0000-0000-000020150000}"/>
    <cellStyle name="표준 20 12 4" xfId="8630" xr:uid="{00000000-0005-0000-0000-000021150000}"/>
    <cellStyle name="표준 20 12 5" xfId="6100" xr:uid="{00000000-0005-0000-0000-000022150000}"/>
    <cellStyle name="표준 20 13" xfId="6944" xr:uid="{00000000-0005-0000-0000-000023150000}"/>
    <cellStyle name="표준 20 13 2" xfId="9467" xr:uid="{00000000-0005-0000-0000-000024150000}"/>
    <cellStyle name="표준 20 14" xfId="7785" xr:uid="{00000000-0005-0000-0000-000025150000}"/>
    <cellStyle name="표준 20 15" xfId="8627" xr:uid="{00000000-0005-0000-0000-000026150000}"/>
    <cellStyle name="표준 20 16" xfId="6097" xr:uid="{00000000-0005-0000-0000-000027150000}"/>
    <cellStyle name="표준 20 2" xfId="5042" xr:uid="{00000000-0005-0000-0000-000028150000}"/>
    <cellStyle name="표준 20 2 10" xfId="5043" xr:uid="{00000000-0005-0000-0000-000029150000}"/>
    <cellStyle name="표준 20 2 10 2" xfId="6949" xr:uid="{00000000-0005-0000-0000-00002A150000}"/>
    <cellStyle name="표준 20 2 10 2 2" xfId="9472" xr:uid="{00000000-0005-0000-0000-00002B150000}"/>
    <cellStyle name="표준 20 2 10 3" xfId="7790" xr:uid="{00000000-0005-0000-0000-00002C150000}"/>
    <cellStyle name="표준 20 2 10 4" xfId="8632" xr:uid="{00000000-0005-0000-0000-00002D150000}"/>
    <cellStyle name="표준 20 2 10 5" xfId="6102" xr:uid="{00000000-0005-0000-0000-00002E150000}"/>
    <cellStyle name="표준 20 2 11" xfId="6948" xr:uid="{00000000-0005-0000-0000-00002F150000}"/>
    <cellStyle name="표준 20 2 11 2" xfId="9471" xr:uid="{00000000-0005-0000-0000-000030150000}"/>
    <cellStyle name="표준 20 2 12" xfId="7789" xr:uid="{00000000-0005-0000-0000-000031150000}"/>
    <cellStyle name="표준 20 2 13" xfId="8631" xr:uid="{00000000-0005-0000-0000-000032150000}"/>
    <cellStyle name="표준 20 2 14" xfId="6101" xr:uid="{00000000-0005-0000-0000-000033150000}"/>
    <cellStyle name="표준 20 2 2" xfId="5044" xr:uid="{00000000-0005-0000-0000-000034150000}"/>
    <cellStyle name="표준 20 2 2 10" xfId="7791" xr:uid="{00000000-0005-0000-0000-000035150000}"/>
    <cellStyle name="표준 20 2 2 11" xfId="8633" xr:uid="{00000000-0005-0000-0000-000036150000}"/>
    <cellStyle name="표준 20 2 2 12" xfId="6103" xr:uid="{00000000-0005-0000-0000-000037150000}"/>
    <cellStyle name="표준 20 2 2 2" xfId="5045" xr:uid="{00000000-0005-0000-0000-000038150000}"/>
    <cellStyle name="표준 20 2 2 2 10" xfId="6104" xr:uid="{00000000-0005-0000-0000-000039150000}"/>
    <cellStyle name="표준 20 2 2 2 2" xfId="5046" xr:uid="{00000000-0005-0000-0000-00003A150000}"/>
    <cellStyle name="표준 20 2 2 2 2 2" xfId="5047" xr:uid="{00000000-0005-0000-0000-00003B150000}"/>
    <cellStyle name="표준 20 2 2 2 2 2 2" xfId="5048" xr:uid="{00000000-0005-0000-0000-00003C150000}"/>
    <cellStyle name="표준 20 2 2 2 2 2 2 2" xfId="6954" xr:uid="{00000000-0005-0000-0000-00003D150000}"/>
    <cellStyle name="표준 20 2 2 2 2 2 2 2 2" xfId="9477" xr:uid="{00000000-0005-0000-0000-00003E150000}"/>
    <cellStyle name="표준 20 2 2 2 2 2 2 3" xfId="7795" xr:uid="{00000000-0005-0000-0000-00003F150000}"/>
    <cellStyle name="표준 20 2 2 2 2 2 2 4" xfId="8637" xr:uid="{00000000-0005-0000-0000-000040150000}"/>
    <cellStyle name="표준 20 2 2 2 2 2 2 5" xfId="6107" xr:uid="{00000000-0005-0000-0000-000041150000}"/>
    <cellStyle name="표준 20 2 2 2 2 2 3" xfId="5049" xr:uid="{00000000-0005-0000-0000-000042150000}"/>
    <cellStyle name="표준 20 2 2 2 2 2 3 2" xfId="6955" xr:uid="{00000000-0005-0000-0000-000043150000}"/>
    <cellStyle name="표준 20 2 2 2 2 2 3 2 2" xfId="9478" xr:uid="{00000000-0005-0000-0000-000044150000}"/>
    <cellStyle name="표준 20 2 2 2 2 2 3 3" xfId="7796" xr:uid="{00000000-0005-0000-0000-000045150000}"/>
    <cellStyle name="표준 20 2 2 2 2 2 3 4" xfId="8638" xr:uid="{00000000-0005-0000-0000-000046150000}"/>
    <cellStyle name="표준 20 2 2 2 2 2 3 5" xfId="6108" xr:uid="{00000000-0005-0000-0000-000047150000}"/>
    <cellStyle name="표준 20 2 2 2 2 2 4" xfId="5050" xr:uid="{00000000-0005-0000-0000-000048150000}"/>
    <cellStyle name="표준 20 2 2 2 2 2 4 2" xfId="6956" xr:uid="{00000000-0005-0000-0000-000049150000}"/>
    <cellStyle name="표준 20 2 2 2 2 2 4 2 2" xfId="9479" xr:uid="{00000000-0005-0000-0000-00004A150000}"/>
    <cellStyle name="표준 20 2 2 2 2 2 4 3" xfId="7797" xr:uid="{00000000-0005-0000-0000-00004B150000}"/>
    <cellStyle name="표준 20 2 2 2 2 2 4 4" xfId="8639" xr:uid="{00000000-0005-0000-0000-00004C150000}"/>
    <cellStyle name="표준 20 2 2 2 2 2 4 5" xfId="6109" xr:uid="{00000000-0005-0000-0000-00004D150000}"/>
    <cellStyle name="표준 20 2 2 2 2 2 5" xfId="6953" xr:uid="{00000000-0005-0000-0000-00004E150000}"/>
    <cellStyle name="표준 20 2 2 2 2 2 5 2" xfId="9476" xr:uid="{00000000-0005-0000-0000-00004F150000}"/>
    <cellStyle name="표준 20 2 2 2 2 2 6" xfId="7794" xr:uid="{00000000-0005-0000-0000-000050150000}"/>
    <cellStyle name="표준 20 2 2 2 2 2 7" xfId="8636" xr:uid="{00000000-0005-0000-0000-000051150000}"/>
    <cellStyle name="표준 20 2 2 2 2 2 8" xfId="6106" xr:uid="{00000000-0005-0000-0000-000052150000}"/>
    <cellStyle name="표준 20 2 2 2 2 3" xfId="5051" xr:uid="{00000000-0005-0000-0000-000053150000}"/>
    <cellStyle name="표준 20 2 2 2 2 3 2" xfId="6957" xr:uid="{00000000-0005-0000-0000-000054150000}"/>
    <cellStyle name="표준 20 2 2 2 2 3 2 2" xfId="9480" xr:uid="{00000000-0005-0000-0000-000055150000}"/>
    <cellStyle name="표준 20 2 2 2 2 3 3" xfId="7798" xr:uid="{00000000-0005-0000-0000-000056150000}"/>
    <cellStyle name="표준 20 2 2 2 2 3 4" xfId="8640" xr:uid="{00000000-0005-0000-0000-000057150000}"/>
    <cellStyle name="표준 20 2 2 2 2 3 5" xfId="6110" xr:uid="{00000000-0005-0000-0000-000058150000}"/>
    <cellStyle name="표준 20 2 2 2 2 4" xfId="5052" xr:uid="{00000000-0005-0000-0000-000059150000}"/>
    <cellStyle name="표준 20 2 2 2 2 4 2" xfId="6958" xr:uid="{00000000-0005-0000-0000-00005A150000}"/>
    <cellStyle name="표준 20 2 2 2 2 4 2 2" xfId="9481" xr:uid="{00000000-0005-0000-0000-00005B150000}"/>
    <cellStyle name="표준 20 2 2 2 2 4 3" xfId="7799" xr:uid="{00000000-0005-0000-0000-00005C150000}"/>
    <cellStyle name="표준 20 2 2 2 2 4 4" xfId="8641" xr:uid="{00000000-0005-0000-0000-00005D150000}"/>
    <cellStyle name="표준 20 2 2 2 2 4 5" xfId="6111" xr:uid="{00000000-0005-0000-0000-00005E150000}"/>
    <cellStyle name="표준 20 2 2 2 2 5" xfId="5053" xr:uid="{00000000-0005-0000-0000-00005F150000}"/>
    <cellStyle name="표준 20 2 2 2 2 5 2" xfId="6959" xr:uid="{00000000-0005-0000-0000-000060150000}"/>
    <cellStyle name="표준 20 2 2 2 2 5 2 2" xfId="9482" xr:uid="{00000000-0005-0000-0000-000061150000}"/>
    <cellStyle name="표준 20 2 2 2 2 5 3" xfId="7800" xr:uid="{00000000-0005-0000-0000-000062150000}"/>
    <cellStyle name="표준 20 2 2 2 2 5 4" xfId="8642" xr:uid="{00000000-0005-0000-0000-000063150000}"/>
    <cellStyle name="표준 20 2 2 2 2 5 5" xfId="6112" xr:uid="{00000000-0005-0000-0000-000064150000}"/>
    <cellStyle name="표준 20 2 2 2 2 6" xfId="6952" xr:uid="{00000000-0005-0000-0000-000065150000}"/>
    <cellStyle name="표준 20 2 2 2 2 6 2" xfId="9475" xr:uid="{00000000-0005-0000-0000-000066150000}"/>
    <cellStyle name="표준 20 2 2 2 2 7" xfId="7793" xr:uid="{00000000-0005-0000-0000-000067150000}"/>
    <cellStyle name="표준 20 2 2 2 2 8" xfId="8635" xr:uid="{00000000-0005-0000-0000-000068150000}"/>
    <cellStyle name="표준 20 2 2 2 2 9" xfId="6105" xr:uid="{00000000-0005-0000-0000-000069150000}"/>
    <cellStyle name="표준 20 2 2 2 3" xfId="5054" xr:uid="{00000000-0005-0000-0000-00006A150000}"/>
    <cellStyle name="표준 20 2 2 2 3 2" xfId="5055" xr:uid="{00000000-0005-0000-0000-00006B150000}"/>
    <cellStyle name="표준 20 2 2 2 3 2 2" xfId="6961" xr:uid="{00000000-0005-0000-0000-00006C150000}"/>
    <cellStyle name="표준 20 2 2 2 3 2 2 2" xfId="9484" xr:uid="{00000000-0005-0000-0000-00006D150000}"/>
    <cellStyle name="표준 20 2 2 2 3 2 3" xfId="7802" xr:uid="{00000000-0005-0000-0000-00006E150000}"/>
    <cellStyle name="표준 20 2 2 2 3 2 4" xfId="8644" xr:uid="{00000000-0005-0000-0000-00006F150000}"/>
    <cellStyle name="표준 20 2 2 2 3 2 5" xfId="6114" xr:uid="{00000000-0005-0000-0000-000070150000}"/>
    <cellStyle name="표준 20 2 2 2 3 3" xfId="5056" xr:uid="{00000000-0005-0000-0000-000071150000}"/>
    <cellStyle name="표준 20 2 2 2 3 3 2" xfId="6962" xr:uid="{00000000-0005-0000-0000-000072150000}"/>
    <cellStyle name="표준 20 2 2 2 3 3 2 2" xfId="9485" xr:uid="{00000000-0005-0000-0000-000073150000}"/>
    <cellStyle name="표준 20 2 2 2 3 3 3" xfId="7803" xr:uid="{00000000-0005-0000-0000-000074150000}"/>
    <cellStyle name="표준 20 2 2 2 3 3 4" xfId="8645" xr:uid="{00000000-0005-0000-0000-000075150000}"/>
    <cellStyle name="표준 20 2 2 2 3 3 5" xfId="6115" xr:uid="{00000000-0005-0000-0000-000076150000}"/>
    <cellStyle name="표준 20 2 2 2 3 4" xfId="5057" xr:uid="{00000000-0005-0000-0000-000077150000}"/>
    <cellStyle name="표준 20 2 2 2 3 4 2" xfId="6963" xr:uid="{00000000-0005-0000-0000-000078150000}"/>
    <cellStyle name="표준 20 2 2 2 3 4 2 2" xfId="9486" xr:uid="{00000000-0005-0000-0000-000079150000}"/>
    <cellStyle name="표준 20 2 2 2 3 4 3" xfId="7804" xr:uid="{00000000-0005-0000-0000-00007A150000}"/>
    <cellStyle name="표준 20 2 2 2 3 4 4" xfId="8646" xr:uid="{00000000-0005-0000-0000-00007B150000}"/>
    <cellStyle name="표준 20 2 2 2 3 4 5" xfId="6116" xr:uid="{00000000-0005-0000-0000-00007C150000}"/>
    <cellStyle name="표준 20 2 2 2 3 5" xfId="6960" xr:uid="{00000000-0005-0000-0000-00007D150000}"/>
    <cellStyle name="표준 20 2 2 2 3 5 2" xfId="9483" xr:uid="{00000000-0005-0000-0000-00007E150000}"/>
    <cellStyle name="표준 20 2 2 2 3 6" xfId="7801" xr:uid="{00000000-0005-0000-0000-00007F150000}"/>
    <cellStyle name="표준 20 2 2 2 3 7" xfId="8643" xr:uid="{00000000-0005-0000-0000-000080150000}"/>
    <cellStyle name="표준 20 2 2 2 3 8" xfId="6113" xr:uid="{00000000-0005-0000-0000-000081150000}"/>
    <cellStyle name="표준 20 2 2 2 4" xfId="5058" xr:uid="{00000000-0005-0000-0000-000082150000}"/>
    <cellStyle name="표준 20 2 2 2 4 2" xfId="6964" xr:uid="{00000000-0005-0000-0000-000083150000}"/>
    <cellStyle name="표준 20 2 2 2 4 2 2" xfId="9487" xr:uid="{00000000-0005-0000-0000-000084150000}"/>
    <cellStyle name="표준 20 2 2 2 4 3" xfId="7805" xr:uid="{00000000-0005-0000-0000-000085150000}"/>
    <cellStyle name="표준 20 2 2 2 4 4" xfId="8647" xr:uid="{00000000-0005-0000-0000-000086150000}"/>
    <cellStyle name="표준 20 2 2 2 4 5" xfId="6117" xr:uid="{00000000-0005-0000-0000-000087150000}"/>
    <cellStyle name="표준 20 2 2 2 5" xfId="5059" xr:uid="{00000000-0005-0000-0000-000088150000}"/>
    <cellStyle name="표준 20 2 2 2 5 2" xfId="6965" xr:uid="{00000000-0005-0000-0000-000089150000}"/>
    <cellStyle name="표준 20 2 2 2 5 2 2" xfId="9488" xr:uid="{00000000-0005-0000-0000-00008A150000}"/>
    <cellStyle name="표준 20 2 2 2 5 3" xfId="7806" xr:uid="{00000000-0005-0000-0000-00008B150000}"/>
    <cellStyle name="표준 20 2 2 2 5 4" xfId="8648" xr:uid="{00000000-0005-0000-0000-00008C150000}"/>
    <cellStyle name="표준 20 2 2 2 5 5" xfId="6118" xr:uid="{00000000-0005-0000-0000-00008D150000}"/>
    <cellStyle name="표준 20 2 2 2 6" xfId="5060" xr:uid="{00000000-0005-0000-0000-00008E150000}"/>
    <cellStyle name="표준 20 2 2 2 6 2" xfId="6966" xr:uid="{00000000-0005-0000-0000-00008F150000}"/>
    <cellStyle name="표준 20 2 2 2 6 2 2" xfId="9489" xr:uid="{00000000-0005-0000-0000-000090150000}"/>
    <cellStyle name="표준 20 2 2 2 6 3" xfId="7807" xr:uid="{00000000-0005-0000-0000-000091150000}"/>
    <cellStyle name="표준 20 2 2 2 6 4" xfId="8649" xr:uid="{00000000-0005-0000-0000-000092150000}"/>
    <cellStyle name="표준 20 2 2 2 6 5" xfId="6119" xr:uid="{00000000-0005-0000-0000-000093150000}"/>
    <cellStyle name="표준 20 2 2 2 7" xfId="6951" xr:uid="{00000000-0005-0000-0000-000094150000}"/>
    <cellStyle name="표준 20 2 2 2 7 2" xfId="9474" xr:uid="{00000000-0005-0000-0000-000095150000}"/>
    <cellStyle name="표준 20 2 2 2 8" xfId="7792" xr:uid="{00000000-0005-0000-0000-000096150000}"/>
    <cellStyle name="표준 20 2 2 2 9" xfId="8634" xr:uid="{00000000-0005-0000-0000-000097150000}"/>
    <cellStyle name="표준 20 2 2 3" xfId="5061" xr:uid="{00000000-0005-0000-0000-000098150000}"/>
    <cellStyle name="표준 20 2 2 3 10" xfId="6120" xr:uid="{00000000-0005-0000-0000-000099150000}"/>
    <cellStyle name="표준 20 2 2 3 2" xfId="5062" xr:uid="{00000000-0005-0000-0000-00009A150000}"/>
    <cellStyle name="표준 20 2 2 3 2 2" xfId="5063" xr:uid="{00000000-0005-0000-0000-00009B150000}"/>
    <cellStyle name="표준 20 2 2 3 2 2 2" xfId="5064" xr:uid="{00000000-0005-0000-0000-00009C150000}"/>
    <cellStyle name="표준 20 2 2 3 2 2 2 2" xfId="6970" xr:uid="{00000000-0005-0000-0000-00009D150000}"/>
    <cellStyle name="표준 20 2 2 3 2 2 2 2 2" xfId="9493" xr:uid="{00000000-0005-0000-0000-00009E150000}"/>
    <cellStyle name="표준 20 2 2 3 2 2 2 3" xfId="7811" xr:uid="{00000000-0005-0000-0000-00009F150000}"/>
    <cellStyle name="표준 20 2 2 3 2 2 2 4" xfId="8653" xr:uid="{00000000-0005-0000-0000-0000A0150000}"/>
    <cellStyle name="표준 20 2 2 3 2 2 2 5" xfId="6123" xr:uid="{00000000-0005-0000-0000-0000A1150000}"/>
    <cellStyle name="표준 20 2 2 3 2 2 3" xfId="5065" xr:uid="{00000000-0005-0000-0000-0000A2150000}"/>
    <cellStyle name="표준 20 2 2 3 2 2 3 2" xfId="6971" xr:uid="{00000000-0005-0000-0000-0000A3150000}"/>
    <cellStyle name="표준 20 2 2 3 2 2 3 2 2" xfId="9494" xr:uid="{00000000-0005-0000-0000-0000A4150000}"/>
    <cellStyle name="표준 20 2 2 3 2 2 3 3" xfId="7812" xr:uid="{00000000-0005-0000-0000-0000A5150000}"/>
    <cellStyle name="표준 20 2 2 3 2 2 3 4" xfId="8654" xr:uid="{00000000-0005-0000-0000-0000A6150000}"/>
    <cellStyle name="표준 20 2 2 3 2 2 3 5" xfId="6124" xr:uid="{00000000-0005-0000-0000-0000A7150000}"/>
    <cellStyle name="표준 20 2 2 3 2 2 4" xfId="5066" xr:uid="{00000000-0005-0000-0000-0000A8150000}"/>
    <cellStyle name="표준 20 2 2 3 2 2 4 2" xfId="6972" xr:uid="{00000000-0005-0000-0000-0000A9150000}"/>
    <cellStyle name="표준 20 2 2 3 2 2 4 2 2" xfId="9495" xr:uid="{00000000-0005-0000-0000-0000AA150000}"/>
    <cellStyle name="표준 20 2 2 3 2 2 4 3" xfId="7813" xr:uid="{00000000-0005-0000-0000-0000AB150000}"/>
    <cellStyle name="표준 20 2 2 3 2 2 4 4" xfId="8655" xr:uid="{00000000-0005-0000-0000-0000AC150000}"/>
    <cellStyle name="표준 20 2 2 3 2 2 4 5" xfId="6125" xr:uid="{00000000-0005-0000-0000-0000AD150000}"/>
    <cellStyle name="표준 20 2 2 3 2 2 5" xfId="6969" xr:uid="{00000000-0005-0000-0000-0000AE150000}"/>
    <cellStyle name="표준 20 2 2 3 2 2 5 2" xfId="9492" xr:uid="{00000000-0005-0000-0000-0000AF150000}"/>
    <cellStyle name="표준 20 2 2 3 2 2 6" xfId="7810" xr:uid="{00000000-0005-0000-0000-0000B0150000}"/>
    <cellStyle name="표준 20 2 2 3 2 2 7" xfId="8652" xr:uid="{00000000-0005-0000-0000-0000B1150000}"/>
    <cellStyle name="표준 20 2 2 3 2 2 8" xfId="6122" xr:uid="{00000000-0005-0000-0000-0000B2150000}"/>
    <cellStyle name="표준 20 2 2 3 2 3" xfId="5067" xr:uid="{00000000-0005-0000-0000-0000B3150000}"/>
    <cellStyle name="표준 20 2 2 3 2 3 2" xfId="6973" xr:uid="{00000000-0005-0000-0000-0000B4150000}"/>
    <cellStyle name="표준 20 2 2 3 2 3 2 2" xfId="9496" xr:uid="{00000000-0005-0000-0000-0000B5150000}"/>
    <cellStyle name="표준 20 2 2 3 2 3 3" xfId="7814" xr:uid="{00000000-0005-0000-0000-0000B6150000}"/>
    <cellStyle name="표준 20 2 2 3 2 3 4" xfId="8656" xr:uid="{00000000-0005-0000-0000-0000B7150000}"/>
    <cellStyle name="표준 20 2 2 3 2 3 5" xfId="6126" xr:uid="{00000000-0005-0000-0000-0000B8150000}"/>
    <cellStyle name="표준 20 2 2 3 2 4" xfId="5068" xr:uid="{00000000-0005-0000-0000-0000B9150000}"/>
    <cellStyle name="표준 20 2 2 3 2 4 2" xfId="6974" xr:uid="{00000000-0005-0000-0000-0000BA150000}"/>
    <cellStyle name="표준 20 2 2 3 2 4 2 2" xfId="9497" xr:uid="{00000000-0005-0000-0000-0000BB150000}"/>
    <cellStyle name="표준 20 2 2 3 2 4 3" xfId="7815" xr:uid="{00000000-0005-0000-0000-0000BC150000}"/>
    <cellStyle name="표준 20 2 2 3 2 4 4" xfId="8657" xr:uid="{00000000-0005-0000-0000-0000BD150000}"/>
    <cellStyle name="표준 20 2 2 3 2 4 5" xfId="6127" xr:uid="{00000000-0005-0000-0000-0000BE150000}"/>
    <cellStyle name="표준 20 2 2 3 2 5" xfId="5069" xr:uid="{00000000-0005-0000-0000-0000BF150000}"/>
    <cellStyle name="표준 20 2 2 3 2 5 2" xfId="6975" xr:uid="{00000000-0005-0000-0000-0000C0150000}"/>
    <cellStyle name="표준 20 2 2 3 2 5 2 2" xfId="9498" xr:uid="{00000000-0005-0000-0000-0000C1150000}"/>
    <cellStyle name="표준 20 2 2 3 2 5 3" xfId="7816" xr:uid="{00000000-0005-0000-0000-0000C2150000}"/>
    <cellStyle name="표준 20 2 2 3 2 5 4" xfId="8658" xr:uid="{00000000-0005-0000-0000-0000C3150000}"/>
    <cellStyle name="표준 20 2 2 3 2 5 5" xfId="6128" xr:uid="{00000000-0005-0000-0000-0000C4150000}"/>
    <cellStyle name="표준 20 2 2 3 2 6" xfId="6968" xr:uid="{00000000-0005-0000-0000-0000C5150000}"/>
    <cellStyle name="표준 20 2 2 3 2 6 2" xfId="9491" xr:uid="{00000000-0005-0000-0000-0000C6150000}"/>
    <cellStyle name="표준 20 2 2 3 2 7" xfId="7809" xr:uid="{00000000-0005-0000-0000-0000C7150000}"/>
    <cellStyle name="표준 20 2 2 3 2 8" xfId="8651" xr:uid="{00000000-0005-0000-0000-0000C8150000}"/>
    <cellStyle name="표준 20 2 2 3 2 9" xfId="6121" xr:uid="{00000000-0005-0000-0000-0000C9150000}"/>
    <cellStyle name="표준 20 2 2 3 3" xfId="5070" xr:uid="{00000000-0005-0000-0000-0000CA150000}"/>
    <cellStyle name="표준 20 2 2 3 3 2" xfId="5071" xr:uid="{00000000-0005-0000-0000-0000CB150000}"/>
    <cellStyle name="표준 20 2 2 3 3 2 2" xfId="6977" xr:uid="{00000000-0005-0000-0000-0000CC150000}"/>
    <cellStyle name="표준 20 2 2 3 3 2 2 2" xfId="9500" xr:uid="{00000000-0005-0000-0000-0000CD150000}"/>
    <cellStyle name="표준 20 2 2 3 3 2 3" xfId="7818" xr:uid="{00000000-0005-0000-0000-0000CE150000}"/>
    <cellStyle name="표준 20 2 2 3 3 2 4" xfId="8660" xr:uid="{00000000-0005-0000-0000-0000CF150000}"/>
    <cellStyle name="표준 20 2 2 3 3 2 5" xfId="6130" xr:uid="{00000000-0005-0000-0000-0000D0150000}"/>
    <cellStyle name="표준 20 2 2 3 3 3" xfId="5072" xr:uid="{00000000-0005-0000-0000-0000D1150000}"/>
    <cellStyle name="표준 20 2 2 3 3 3 2" xfId="6978" xr:uid="{00000000-0005-0000-0000-0000D2150000}"/>
    <cellStyle name="표준 20 2 2 3 3 3 2 2" xfId="9501" xr:uid="{00000000-0005-0000-0000-0000D3150000}"/>
    <cellStyle name="표준 20 2 2 3 3 3 3" xfId="7819" xr:uid="{00000000-0005-0000-0000-0000D4150000}"/>
    <cellStyle name="표준 20 2 2 3 3 3 4" xfId="8661" xr:uid="{00000000-0005-0000-0000-0000D5150000}"/>
    <cellStyle name="표준 20 2 2 3 3 3 5" xfId="6131" xr:uid="{00000000-0005-0000-0000-0000D6150000}"/>
    <cellStyle name="표준 20 2 2 3 3 4" xfId="5073" xr:uid="{00000000-0005-0000-0000-0000D7150000}"/>
    <cellStyle name="표준 20 2 2 3 3 4 2" xfId="6979" xr:uid="{00000000-0005-0000-0000-0000D8150000}"/>
    <cellStyle name="표준 20 2 2 3 3 4 2 2" xfId="9502" xr:uid="{00000000-0005-0000-0000-0000D9150000}"/>
    <cellStyle name="표준 20 2 2 3 3 4 3" xfId="7820" xr:uid="{00000000-0005-0000-0000-0000DA150000}"/>
    <cellStyle name="표준 20 2 2 3 3 4 4" xfId="8662" xr:uid="{00000000-0005-0000-0000-0000DB150000}"/>
    <cellStyle name="표준 20 2 2 3 3 4 5" xfId="6132" xr:uid="{00000000-0005-0000-0000-0000DC150000}"/>
    <cellStyle name="표준 20 2 2 3 3 5" xfId="6976" xr:uid="{00000000-0005-0000-0000-0000DD150000}"/>
    <cellStyle name="표준 20 2 2 3 3 5 2" xfId="9499" xr:uid="{00000000-0005-0000-0000-0000DE150000}"/>
    <cellStyle name="표준 20 2 2 3 3 6" xfId="7817" xr:uid="{00000000-0005-0000-0000-0000DF150000}"/>
    <cellStyle name="표준 20 2 2 3 3 7" xfId="8659" xr:uid="{00000000-0005-0000-0000-0000E0150000}"/>
    <cellStyle name="표준 20 2 2 3 3 8" xfId="6129" xr:uid="{00000000-0005-0000-0000-0000E1150000}"/>
    <cellStyle name="표준 20 2 2 3 4" xfId="5074" xr:uid="{00000000-0005-0000-0000-0000E2150000}"/>
    <cellStyle name="표준 20 2 2 3 4 2" xfId="6980" xr:uid="{00000000-0005-0000-0000-0000E3150000}"/>
    <cellStyle name="표준 20 2 2 3 4 2 2" xfId="9503" xr:uid="{00000000-0005-0000-0000-0000E4150000}"/>
    <cellStyle name="표준 20 2 2 3 4 3" xfId="7821" xr:uid="{00000000-0005-0000-0000-0000E5150000}"/>
    <cellStyle name="표준 20 2 2 3 4 4" xfId="8663" xr:uid="{00000000-0005-0000-0000-0000E6150000}"/>
    <cellStyle name="표준 20 2 2 3 4 5" xfId="6133" xr:uid="{00000000-0005-0000-0000-0000E7150000}"/>
    <cellStyle name="표준 20 2 2 3 5" xfId="5075" xr:uid="{00000000-0005-0000-0000-0000E8150000}"/>
    <cellStyle name="표준 20 2 2 3 5 2" xfId="6981" xr:uid="{00000000-0005-0000-0000-0000E9150000}"/>
    <cellStyle name="표준 20 2 2 3 5 2 2" xfId="9504" xr:uid="{00000000-0005-0000-0000-0000EA150000}"/>
    <cellStyle name="표준 20 2 2 3 5 3" xfId="7822" xr:uid="{00000000-0005-0000-0000-0000EB150000}"/>
    <cellStyle name="표준 20 2 2 3 5 4" xfId="8664" xr:uid="{00000000-0005-0000-0000-0000EC150000}"/>
    <cellStyle name="표준 20 2 2 3 5 5" xfId="6134" xr:uid="{00000000-0005-0000-0000-0000ED150000}"/>
    <cellStyle name="표준 20 2 2 3 6" xfId="5076" xr:uid="{00000000-0005-0000-0000-0000EE150000}"/>
    <cellStyle name="표준 20 2 2 3 6 2" xfId="6982" xr:uid="{00000000-0005-0000-0000-0000EF150000}"/>
    <cellStyle name="표준 20 2 2 3 6 2 2" xfId="9505" xr:uid="{00000000-0005-0000-0000-0000F0150000}"/>
    <cellStyle name="표준 20 2 2 3 6 3" xfId="7823" xr:uid="{00000000-0005-0000-0000-0000F1150000}"/>
    <cellStyle name="표준 20 2 2 3 6 4" xfId="8665" xr:uid="{00000000-0005-0000-0000-0000F2150000}"/>
    <cellStyle name="표준 20 2 2 3 6 5" xfId="6135" xr:uid="{00000000-0005-0000-0000-0000F3150000}"/>
    <cellStyle name="표준 20 2 2 3 7" xfId="6967" xr:uid="{00000000-0005-0000-0000-0000F4150000}"/>
    <cellStyle name="표준 20 2 2 3 7 2" xfId="9490" xr:uid="{00000000-0005-0000-0000-0000F5150000}"/>
    <cellStyle name="표준 20 2 2 3 8" xfId="7808" xr:uid="{00000000-0005-0000-0000-0000F6150000}"/>
    <cellStyle name="표준 20 2 2 3 9" xfId="8650" xr:uid="{00000000-0005-0000-0000-0000F7150000}"/>
    <cellStyle name="표준 20 2 2 4" xfId="5077" xr:uid="{00000000-0005-0000-0000-0000F8150000}"/>
    <cellStyle name="표준 20 2 2 4 2" xfId="5078" xr:uid="{00000000-0005-0000-0000-0000F9150000}"/>
    <cellStyle name="표준 20 2 2 4 2 2" xfId="5079" xr:uid="{00000000-0005-0000-0000-0000FA150000}"/>
    <cellStyle name="표준 20 2 2 4 2 2 2" xfId="6985" xr:uid="{00000000-0005-0000-0000-0000FB150000}"/>
    <cellStyle name="표준 20 2 2 4 2 2 2 2" xfId="9508" xr:uid="{00000000-0005-0000-0000-0000FC150000}"/>
    <cellStyle name="표준 20 2 2 4 2 2 3" xfId="7826" xr:uid="{00000000-0005-0000-0000-0000FD150000}"/>
    <cellStyle name="표준 20 2 2 4 2 2 4" xfId="8668" xr:uid="{00000000-0005-0000-0000-0000FE150000}"/>
    <cellStyle name="표준 20 2 2 4 2 2 5" xfId="6138" xr:uid="{00000000-0005-0000-0000-0000FF150000}"/>
    <cellStyle name="표준 20 2 2 4 2 3" xfId="5080" xr:uid="{00000000-0005-0000-0000-000000160000}"/>
    <cellStyle name="표준 20 2 2 4 2 3 2" xfId="6986" xr:uid="{00000000-0005-0000-0000-000001160000}"/>
    <cellStyle name="표준 20 2 2 4 2 3 2 2" xfId="9509" xr:uid="{00000000-0005-0000-0000-000002160000}"/>
    <cellStyle name="표준 20 2 2 4 2 3 3" xfId="7827" xr:uid="{00000000-0005-0000-0000-000003160000}"/>
    <cellStyle name="표준 20 2 2 4 2 3 4" xfId="8669" xr:uid="{00000000-0005-0000-0000-000004160000}"/>
    <cellStyle name="표준 20 2 2 4 2 3 5" xfId="6139" xr:uid="{00000000-0005-0000-0000-000005160000}"/>
    <cellStyle name="표준 20 2 2 4 2 4" xfId="5081" xr:uid="{00000000-0005-0000-0000-000006160000}"/>
    <cellStyle name="표준 20 2 2 4 2 4 2" xfId="6987" xr:uid="{00000000-0005-0000-0000-000007160000}"/>
    <cellStyle name="표준 20 2 2 4 2 4 2 2" xfId="9510" xr:uid="{00000000-0005-0000-0000-000008160000}"/>
    <cellStyle name="표준 20 2 2 4 2 4 3" xfId="7828" xr:uid="{00000000-0005-0000-0000-000009160000}"/>
    <cellStyle name="표준 20 2 2 4 2 4 4" xfId="8670" xr:uid="{00000000-0005-0000-0000-00000A160000}"/>
    <cellStyle name="표준 20 2 2 4 2 4 5" xfId="6140" xr:uid="{00000000-0005-0000-0000-00000B160000}"/>
    <cellStyle name="표준 20 2 2 4 2 5" xfId="6984" xr:uid="{00000000-0005-0000-0000-00000C160000}"/>
    <cellStyle name="표준 20 2 2 4 2 5 2" xfId="9507" xr:uid="{00000000-0005-0000-0000-00000D160000}"/>
    <cellStyle name="표준 20 2 2 4 2 6" xfId="7825" xr:uid="{00000000-0005-0000-0000-00000E160000}"/>
    <cellStyle name="표준 20 2 2 4 2 7" xfId="8667" xr:uid="{00000000-0005-0000-0000-00000F160000}"/>
    <cellStyle name="표준 20 2 2 4 2 8" xfId="6137" xr:uid="{00000000-0005-0000-0000-000010160000}"/>
    <cellStyle name="표준 20 2 2 4 3" xfId="5082" xr:uid="{00000000-0005-0000-0000-000011160000}"/>
    <cellStyle name="표준 20 2 2 4 3 2" xfId="6988" xr:uid="{00000000-0005-0000-0000-000012160000}"/>
    <cellStyle name="표준 20 2 2 4 3 2 2" xfId="9511" xr:uid="{00000000-0005-0000-0000-000013160000}"/>
    <cellStyle name="표준 20 2 2 4 3 3" xfId="7829" xr:uid="{00000000-0005-0000-0000-000014160000}"/>
    <cellStyle name="표준 20 2 2 4 3 4" xfId="8671" xr:uid="{00000000-0005-0000-0000-000015160000}"/>
    <cellStyle name="표준 20 2 2 4 3 5" xfId="6141" xr:uid="{00000000-0005-0000-0000-000016160000}"/>
    <cellStyle name="표준 20 2 2 4 4" xfId="5083" xr:uid="{00000000-0005-0000-0000-000017160000}"/>
    <cellStyle name="표준 20 2 2 4 4 2" xfId="6989" xr:uid="{00000000-0005-0000-0000-000018160000}"/>
    <cellStyle name="표준 20 2 2 4 4 2 2" xfId="9512" xr:uid="{00000000-0005-0000-0000-000019160000}"/>
    <cellStyle name="표준 20 2 2 4 4 3" xfId="7830" xr:uid="{00000000-0005-0000-0000-00001A160000}"/>
    <cellStyle name="표준 20 2 2 4 4 4" xfId="8672" xr:uid="{00000000-0005-0000-0000-00001B160000}"/>
    <cellStyle name="표준 20 2 2 4 4 5" xfId="6142" xr:uid="{00000000-0005-0000-0000-00001C160000}"/>
    <cellStyle name="표준 20 2 2 4 5" xfId="5084" xr:uid="{00000000-0005-0000-0000-00001D160000}"/>
    <cellStyle name="표준 20 2 2 4 5 2" xfId="6990" xr:uid="{00000000-0005-0000-0000-00001E160000}"/>
    <cellStyle name="표준 20 2 2 4 5 2 2" xfId="9513" xr:uid="{00000000-0005-0000-0000-00001F160000}"/>
    <cellStyle name="표준 20 2 2 4 5 3" xfId="7831" xr:uid="{00000000-0005-0000-0000-000020160000}"/>
    <cellStyle name="표준 20 2 2 4 5 4" xfId="8673" xr:uid="{00000000-0005-0000-0000-000021160000}"/>
    <cellStyle name="표준 20 2 2 4 5 5" xfId="6143" xr:uid="{00000000-0005-0000-0000-000022160000}"/>
    <cellStyle name="표준 20 2 2 4 6" xfId="6983" xr:uid="{00000000-0005-0000-0000-000023160000}"/>
    <cellStyle name="표준 20 2 2 4 6 2" xfId="9506" xr:uid="{00000000-0005-0000-0000-000024160000}"/>
    <cellStyle name="표준 20 2 2 4 7" xfId="7824" xr:uid="{00000000-0005-0000-0000-000025160000}"/>
    <cellStyle name="표준 20 2 2 4 8" xfId="8666" xr:uid="{00000000-0005-0000-0000-000026160000}"/>
    <cellStyle name="표준 20 2 2 4 9" xfId="6136" xr:uid="{00000000-0005-0000-0000-000027160000}"/>
    <cellStyle name="표준 20 2 2 5" xfId="5085" xr:uid="{00000000-0005-0000-0000-000028160000}"/>
    <cellStyle name="표준 20 2 2 5 2" xfId="5086" xr:uid="{00000000-0005-0000-0000-000029160000}"/>
    <cellStyle name="표준 20 2 2 5 2 2" xfId="6992" xr:uid="{00000000-0005-0000-0000-00002A160000}"/>
    <cellStyle name="표준 20 2 2 5 2 2 2" xfId="9515" xr:uid="{00000000-0005-0000-0000-00002B160000}"/>
    <cellStyle name="표준 20 2 2 5 2 3" xfId="7833" xr:uid="{00000000-0005-0000-0000-00002C160000}"/>
    <cellStyle name="표준 20 2 2 5 2 4" xfId="8675" xr:uid="{00000000-0005-0000-0000-00002D160000}"/>
    <cellStyle name="표준 20 2 2 5 2 5" xfId="6145" xr:uid="{00000000-0005-0000-0000-00002E160000}"/>
    <cellStyle name="표준 20 2 2 5 3" xfId="5087" xr:uid="{00000000-0005-0000-0000-00002F160000}"/>
    <cellStyle name="표준 20 2 2 5 3 2" xfId="6993" xr:uid="{00000000-0005-0000-0000-000030160000}"/>
    <cellStyle name="표준 20 2 2 5 3 2 2" xfId="9516" xr:uid="{00000000-0005-0000-0000-000031160000}"/>
    <cellStyle name="표준 20 2 2 5 3 3" xfId="7834" xr:uid="{00000000-0005-0000-0000-000032160000}"/>
    <cellStyle name="표준 20 2 2 5 3 4" xfId="8676" xr:uid="{00000000-0005-0000-0000-000033160000}"/>
    <cellStyle name="표준 20 2 2 5 3 5" xfId="6146" xr:uid="{00000000-0005-0000-0000-000034160000}"/>
    <cellStyle name="표준 20 2 2 5 4" xfId="5088" xr:uid="{00000000-0005-0000-0000-000035160000}"/>
    <cellStyle name="표준 20 2 2 5 4 2" xfId="6994" xr:uid="{00000000-0005-0000-0000-000036160000}"/>
    <cellStyle name="표준 20 2 2 5 4 2 2" xfId="9517" xr:uid="{00000000-0005-0000-0000-000037160000}"/>
    <cellStyle name="표준 20 2 2 5 4 3" xfId="7835" xr:uid="{00000000-0005-0000-0000-000038160000}"/>
    <cellStyle name="표준 20 2 2 5 4 4" xfId="8677" xr:uid="{00000000-0005-0000-0000-000039160000}"/>
    <cellStyle name="표준 20 2 2 5 4 5" xfId="6147" xr:uid="{00000000-0005-0000-0000-00003A160000}"/>
    <cellStyle name="표준 20 2 2 5 5" xfId="6991" xr:uid="{00000000-0005-0000-0000-00003B160000}"/>
    <cellStyle name="표준 20 2 2 5 5 2" xfId="9514" xr:uid="{00000000-0005-0000-0000-00003C160000}"/>
    <cellStyle name="표준 20 2 2 5 6" xfId="7832" xr:uid="{00000000-0005-0000-0000-00003D160000}"/>
    <cellStyle name="표준 20 2 2 5 7" xfId="8674" xr:uid="{00000000-0005-0000-0000-00003E160000}"/>
    <cellStyle name="표준 20 2 2 5 8" xfId="6144" xr:uid="{00000000-0005-0000-0000-00003F160000}"/>
    <cellStyle name="표준 20 2 2 6" xfId="5089" xr:uid="{00000000-0005-0000-0000-000040160000}"/>
    <cellStyle name="표준 20 2 2 6 2" xfId="6995" xr:uid="{00000000-0005-0000-0000-000041160000}"/>
    <cellStyle name="표준 20 2 2 6 2 2" xfId="9518" xr:uid="{00000000-0005-0000-0000-000042160000}"/>
    <cellStyle name="표준 20 2 2 6 3" xfId="7836" xr:uid="{00000000-0005-0000-0000-000043160000}"/>
    <cellStyle name="표준 20 2 2 6 4" xfId="8678" xr:uid="{00000000-0005-0000-0000-000044160000}"/>
    <cellStyle name="표준 20 2 2 6 5" xfId="6148" xr:uid="{00000000-0005-0000-0000-000045160000}"/>
    <cellStyle name="표준 20 2 2 7" xfId="5090" xr:uid="{00000000-0005-0000-0000-000046160000}"/>
    <cellStyle name="표준 20 2 2 7 2" xfId="6996" xr:uid="{00000000-0005-0000-0000-000047160000}"/>
    <cellStyle name="표준 20 2 2 7 2 2" xfId="9519" xr:uid="{00000000-0005-0000-0000-000048160000}"/>
    <cellStyle name="표준 20 2 2 7 3" xfId="7837" xr:uid="{00000000-0005-0000-0000-000049160000}"/>
    <cellStyle name="표준 20 2 2 7 4" xfId="8679" xr:uid="{00000000-0005-0000-0000-00004A160000}"/>
    <cellStyle name="표준 20 2 2 7 5" xfId="6149" xr:uid="{00000000-0005-0000-0000-00004B160000}"/>
    <cellStyle name="표준 20 2 2 8" xfId="5091" xr:uid="{00000000-0005-0000-0000-00004C160000}"/>
    <cellStyle name="표준 20 2 2 8 2" xfId="6997" xr:uid="{00000000-0005-0000-0000-00004D160000}"/>
    <cellStyle name="표준 20 2 2 8 2 2" xfId="9520" xr:uid="{00000000-0005-0000-0000-00004E160000}"/>
    <cellStyle name="표준 20 2 2 8 3" xfId="7838" xr:uid="{00000000-0005-0000-0000-00004F160000}"/>
    <cellStyle name="표준 20 2 2 8 4" xfId="8680" xr:uid="{00000000-0005-0000-0000-000050160000}"/>
    <cellStyle name="표준 20 2 2 8 5" xfId="6150" xr:uid="{00000000-0005-0000-0000-000051160000}"/>
    <cellStyle name="표준 20 2 2 9" xfId="6950" xr:uid="{00000000-0005-0000-0000-000052160000}"/>
    <cellStyle name="표준 20 2 2 9 2" xfId="9473" xr:uid="{00000000-0005-0000-0000-000053160000}"/>
    <cellStyle name="표준 20 2 3" xfId="5092" xr:uid="{00000000-0005-0000-0000-000054160000}"/>
    <cellStyle name="표준 20 2 3 10" xfId="7839" xr:uid="{00000000-0005-0000-0000-000055160000}"/>
    <cellStyle name="표준 20 2 3 11" xfId="8681" xr:uid="{00000000-0005-0000-0000-000056160000}"/>
    <cellStyle name="표준 20 2 3 12" xfId="6151" xr:uid="{00000000-0005-0000-0000-000057160000}"/>
    <cellStyle name="표준 20 2 3 2" xfId="5093" xr:uid="{00000000-0005-0000-0000-000058160000}"/>
    <cellStyle name="표준 20 2 3 2 10" xfId="6152" xr:uid="{00000000-0005-0000-0000-000059160000}"/>
    <cellStyle name="표준 20 2 3 2 2" xfId="5094" xr:uid="{00000000-0005-0000-0000-00005A160000}"/>
    <cellStyle name="표준 20 2 3 2 2 2" xfId="5095" xr:uid="{00000000-0005-0000-0000-00005B160000}"/>
    <cellStyle name="표준 20 2 3 2 2 2 2" xfId="5096" xr:uid="{00000000-0005-0000-0000-00005C160000}"/>
    <cellStyle name="표준 20 2 3 2 2 2 2 2" xfId="7002" xr:uid="{00000000-0005-0000-0000-00005D160000}"/>
    <cellStyle name="표준 20 2 3 2 2 2 2 2 2" xfId="9525" xr:uid="{00000000-0005-0000-0000-00005E160000}"/>
    <cellStyle name="표준 20 2 3 2 2 2 2 3" xfId="7843" xr:uid="{00000000-0005-0000-0000-00005F160000}"/>
    <cellStyle name="표준 20 2 3 2 2 2 2 4" xfId="8685" xr:uid="{00000000-0005-0000-0000-000060160000}"/>
    <cellStyle name="표준 20 2 3 2 2 2 2 5" xfId="6155" xr:uid="{00000000-0005-0000-0000-000061160000}"/>
    <cellStyle name="표준 20 2 3 2 2 2 3" xfId="5097" xr:uid="{00000000-0005-0000-0000-000062160000}"/>
    <cellStyle name="표준 20 2 3 2 2 2 3 2" xfId="7003" xr:uid="{00000000-0005-0000-0000-000063160000}"/>
    <cellStyle name="표준 20 2 3 2 2 2 3 2 2" xfId="9526" xr:uid="{00000000-0005-0000-0000-000064160000}"/>
    <cellStyle name="표준 20 2 3 2 2 2 3 3" xfId="7844" xr:uid="{00000000-0005-0000-0000-000065160000}"/>
    <cellStyle name="표준 20 2 3 2 2 2 3 4" xfId="8686" xr:uid="{00000000-0005-0000-0000-000066160000}"/>
    <cellStyle name="표준 20 2 3 2 2 2 3 5" xfId="6156" xr:uid="{00000000-0005-0000-0000-000067160000}"/>
    <cellStyle name="표준 20 2 3 2 2 2 4" xfId="5098" xr:uid="{00000000-0005-0000-0000-000068160000}"/>
    <cellStyle name="표준 20 2 3 2 2 2 4 2" xfId="7004" xr:uid="{00000000-0005-0000-0000-000069160000}"/>
    <cellStyle name="표준 20 2 3 2 2 2 4 2 2" xfId="9527" xr:uid="{00000000-0005-0000-0000-00006A160000}"/>
    <cellStyle name="표준 20 2 3 2 2 2 4 3" xfId="7845" xr:uid="{00000000-0005-0000-0000-00006B160000}"/>
    <cellStyle name="표준 20 2 3 2 2 2 4 4" xfId="8687" xr:uid="{00000000-0005-0000-0000-00006C160000}"/>
    <cellStyle name="표준 20 2 3 2 2 2 4 5" xfId="6157" xr:uid="{00000000-0005-0000-0000-00006D160000}"/>
    <cellStyle name="표준 20 2 3 2 2 2 5" xfId="7001" xr:uid="{00000000-0005-0000-0000-00006E160000}"/>
    <cellStyle name="표준 20 2 3 2 2 2 5 2" xfId="9524" xr:uid="{00000000-0005-0000-0000-00006F160000}"/>
    <cellStyle name="표준 20 2 3 2 2 2 6" xfId="7842" xr:uid="{00000000-0005-0000-0000-000070160000}"/>
    <cellStyle name="표준 20 2 3 2 2 2 7" xfId="8684" xr:uid="{00000000-0005-0000-0000-000071160000}"/>
    <cellStyle name="표준 20 2 3 2 2 2 8" xfId="6154" xr:uid="{00000000-0005-0000-0000-000072160000}"/>
    <cellStyle name="표준 20 2 3 2 2 3" xfId="5099" xr:uid="{00000000-0005-0000-0000-000073160000}"/>
    <cellStyle name="표준 20 2 3 2 2 3 2" xfId="7005" xr:uid="{00000000-0005-0000-0000-000074160000}"/>
    <cellStyle name="표준 20 2 3 2 2 3 2 2" xfId="9528" xr:uid="{00000000-0005-0000-0000-000075160000}"/>
    <cellStyle name="표준 20 2 3 2 2 3 3" xfId="7846" xr:uid="{00000000-0005-0000-0000-000076160000}"/>
    <cellStyle name="표준 20 2 3 2 2 3 4" xfId="8688" xr:uid="{00000000-0005-0000-0000-000077160000}"/>
    <cellStyle name="표준 20 2 3 2 2 3 5" xfId="6158" xr:uid="{00000000-0005-0000-0000-000078160000}"/>
    <cellStyle name="표준 20 2 3 2 2 4" xfId="5100" xr:uid="{00000000-0005-0000-0000-000079160000}"/>
    <cellStyle name="표준 20 2 3 2 2 4 2" xfId="7006" xr:uid="{00000000-0005-0000-0000-00007A160000}"/>
    <cellStyle name="표준 20 2 3 2 2 4 2 2" xfId="9529" xr:uid="{00000000-0005-0000-0000-00007B160000}"/>
    <cellStyle name="표준 20 2 3 2 2 4 3" xfId="7847" xr:uid="{00000000-0005-0000-0000-00007C160000}"/>
    <cellStyle name="표준 20 2 3 2 2 4 4" xfId="8689" xr:uid="{00000000-0005-0000-0000-00007D160000}"/>
    <cellStyle name="표준 20 2 3 2 2 4 5" xfId="6159" xr:uid="{00000000-0005-0000-0000-00007E160000}"/>
    <cellStyle name="표준 20 2 3 2 2 5" xfId="5101" xr:uid="{00000000-0005-0000-0000-00007F160000}"/>
    <cellStyle name="표준 20 2 3 2 2 5 2" xfId="7007" xr:uid="{00000000-0005-0000-0000-000080160000}"/>
    <cellStyle name="표준 20 2 3 2 2 5 2 2" xfId="9530" xr:uid="{00000000-0005-0000-0000-000081160000}"/>
    <cellStyle name="표준 20 2 3 2 2 5 3" xfId="7848" xr:uid="{00000000-0005-0000-0000-000082160000}"/>
    <cellStyle name="표준 20 2 3 2 2 5 4" xfId="8690" xr:uid="{00000000-0005-0000-0000-000083160000}"/>
    <cellStyle name="표준 20 2 3 2 2 5 5" xfId="6160" xr:uid="{00000000-0005-0000-0000-000084160000}"/>
    <cellStyle name="표준 20 2 3 2 2 6" xfId="7000" xr:uid="{00000000-0005-0000-0000-000085160000}"/>
    <cellStyle name="표준 20 2 3 2 2 6 2" xfId="9523" xr:uid="{00000000-0005-0000-0000-000086160000}"/>
    <cellStyle name="표준 20 2 3 2 2 7" xfId="7841" xr:uid="{00000000-0005-0000-0000-000087160000}"/>
    <cellStyle name="표준 20 2 3 2 2 8" xfId="8683" xr:uid="{00000000-0005-0000-0000-000088160000}"/>
    <cellStyle name="표준 20 2 3 2 2 9" xfId="6153" xr:uid="{00000000-0005-0000-0000-000089160000}"/>
    <cellStyle name="표준 20 2 3 2 3" xfId="5102" xr:uid="{00000000-0005-0000-0000-00008A160000}"/>
    <cellStyle name="표준 20 2 3 2 3 2" xfId="5103" xr:uid="{00000000-0005-0000-0000-00008B160000}"/>
    <cellStyle name="표준 20 2 3 2 3 2 2" xfId="7009" xr:uid="{00000000-0005-0000-0000-00008C160000}"/>
    <cellStyle name="표준 20 2 3 2 3 2 2 2" xfId="9532" xr:uid="{00000000-0005-0000-0000-00008D160000}"/>
    <cellStyle name="표준 20 2 3 2 3 2 3" xfId="7850" xr:uid="{00000000-0005-0000-0000-00008E160000}"/>
    <cellStyle name="표준 20 2 3 2 3 2 4" xfId="8692" xr:uid="{00000000-0005-0000-0000-00008F160000}"/>
    <cellStyle name="표준 20 2 3 2 3 2 5" xfId="6162" xr:uid="{00000000-0005-0000-0000-000090160000}"/>
    <cellStyle name="표준 20 2 3 2 3 3" xfId="5104" xr:uid="{00000000-0005-0000-0000-000091160000}"/>
    <cellStyle name="표준 20 2 3 2 3 3 2" xfId="7010" xr:uid="{00000000-0005-0000-0000-000092160000}"/>
    <cellStyle name="표준 20 2 3 2 3 3 2 2" xfId="9533" xr:uid="{00000000-0005-0000-0000-000093160000}"/>
    <cellStyle name="표준 20 2 3 2 3 3 3" xfId="7851" xr:uid="{00000000-0005-0000-0000-000094160000}"/>
    <cellStyle name="표준 20 2 3 2 3 3 4" xfId="8693" xr:uid="{00000000-0005-0000-0000-000095160000}"/>
    <cellStyle name="표준 20 2 3 2 3 3 5" xfId="6163" xr:uid="{00000000-0005-0000-0000-000096160000}"/>
    <cellStyle name="표준 20 2 3 2 3 4" xfId="5105" xr:uid="{00000000-0005-0000-0000-000097160000}"/>
    <cellStyle name="표준 20 2 3 2 3 4 2" xfId="7011" xr:uid="{00000000-0005-0000-0000-000098160000}"/>
    <cellStyle name="표준 20 2 3 2 3 4 2 2" xfId="9534" xr:uid="{00000000-0005-0000-0000-000099160000}"/>
    <cellStyle name="표준 20 2 3 2 3 4 3" xfId="7852" xr:uid="{00000000-0005-0000-0000-00009A160000}"/>
    <cellStyle name="표준 20 2 3 2 3 4 4" xfId="8694" xr:uid="{00000000-0005-0000-0000-00009B160000}"/>
    <cellStyle name="표준 20 2 3 2 3 4 5" xfId="6164" xr:uid="{00000000-0005-0000-0000-00009C160000}"/>
    <cellStyle name="표준 20 2 3 2 3 5" xfId="7008" xr:uid="{00000000-0005-0000-0000-00009D160000}"/>
    <cellStyle name="표준 20 2 3 2 3 5 2" xfId="9531" xr:uid="{00000000-0005-0000-0000-00009E160000}"/>
    <cellStyle name="표준 20 2 3 2 3 6" xfId="7849" xr:uid="{00000000-0005-0000-0000-00009F160000}"/>
    <cellStyle name="표준 20 2 3 2 3 7" xfId="8691" xr:uid="{00000000-0005-0000-0000-0000A0160000}"/>
    <cellStyle name="표준 20 2 3 2 3 8" xfId="6161" xr:uid="{00000000-0005-0000-0000-0000A1160000}"/>
    <cellStyle name="표준 20 2 3 2 4" xfId="5106" xr:uid="{00000000-0005-0000-0000-0000A2160000}"/>
    <cellStyle name="표준 20 2 3 2 4 2" xfId="7012" xr:uid="{00000000-0005-0000-0000-0000A3160000}"/>
    <cellStyle name="표준 20 2 3 2 4 2 2" xfId="9535" xr:uid="{00000000-0005-0000-0000-0000A4160000}"/>
    <cellStyle name="표준 20 2 3 2 4 3" xfId="7853" xr:uid="{00000000-0005-0000-0000-0000A5160000}"/>
    <cellStyle name="표준 20 2 3 2 4 4" xfId="8695" xr:uid="{00000000-0005-0000-0000-0000A6160000}"/>
    <cellStyle name="표준 20 2 3 2 4 5" xfId="6165" xr:uid="{00000000-0005-0000-0000-0000A7160000}"/>
    <cellStyle name="표준 20 2 3 2 5" xfId="5107" xr:uid="{00000000-0005-0000-0000-0000A8160000}"/>
    <cellStyle name="표준 20 2 3 2 5 2" xfId="7013" xr:uid="{00000000-0005-0000-0000-0000A9160000}"/>
    <cellStyle name="표준 20 2 3 2 5 2 2" xfId="9536" xr:uid="{00000000-0005-0000-0000-0000AA160000}"/>
    <cellStyle name="표준 20 2 3 2 5 3" xfId="7854" xr:uid="{00000000-0005-0000-0000-0000AB160000}"/>
    <cellStyle name="표준 20 2 3 2 5 4" xfId="8696" xr:uid="{00000000-0005-0000-0000-0000AC160000}"/>
    <cellStyle name="표준 20 2 3 2 5 5" xfId="6166" xr:uid="{00000000-0005-0000-0000-0000AD160000}"/>
    <cellStyle name="표준 20 2 3 2 6" xfId="5108" xr:uid="{00000000-0005-0000-0000-0000AE160000}"/>
    <cellStyle name="표준 20 2 3 2 6 2" xfId="7014" xr:uid="{00000000-0005-0000-0000-0000AF160000}"/>
    <cellStyle name="표준 20 2 3 2 6 2 2" xfId="9537" xr:uid="{00000000-0005-0000-0000-0000B0160000}"/>
    <cellStyle name="표준 20 2 3 2 6 3" xfId="7855" xr:uid="{00000000-0005-0000-0000-0000B1160000}"/>
    <cellStyle name="표준 20 2 3 2 6 4" xfId="8697" xr:uid="{00000000-0005-0000-0000-0000B2160000}"/>
    <cellStyle name="표준 20 2 3 2 6 5" xfId="6167" xr:uid="{00000000-0005-0000-0000-0000B3160000}"/>
    <cellStyle name="표준 20 2 3 2 7" xfId="6999" xr:uid="{00000000-0005-0000-0000-0000B4160000}"/>
    <cellStyle name="표준 20 2 3 2 7 2" xfId="9522" xr:uid="{00000000-0005-0000-0000-0000B5160000}"/>
    <cellStyle name="표준 20 2 3 2 8" xfId="7840" xr:uid="{00000000-0005-0000-0000-0000B6160000}"/>
    <cellStyle name="표준 20 2 3 2 9" xfId="8682" xr:uid="{00000000-0005-0000-0000-0000B7160000}"/>
    <cellStyle name="표준 20 2 3 3" xfId="5109" xr:uid="{00000000-0005-0000-0000-0000B8160000}"/>
    <cellStyle name="표준 20 2 3 3 10" xfId="6168" xr:uid="{00000000-0005-0000-0000-0000B9160000}"/>
    <cellStyle name="표준 20 2 3 3 2" xfId="5110" xr:uid="{00000000-0005-0000-0000-0000BA160000}"/>
    <cellStyle name="표준 20 2 3 3 2 2" xfId="5111" xr:uid="{00000000-0005-0000-0000-0000BB160000}"/>
    <cellStyle name="표준 20 2 3 3 2 2 2" xfId="5112" xr:uid="{00000000-0005-0000-0000-0000BC160000}"/>
    <cellStyle name="표준 20 2 3 3 2 2 2 2" xfId="7018" xr:uid="{00000000-0005-0000-0000-0000BD160000}"/>
    <cellStyle name="표준 20 2 3 3 2 2 2 2 2" xfId="9541" xr:uid="{00000000-0005-0000-0000-0000BE160000}"/>
    <cellStyle name="표준 20 2 3 3 2 2 2 3" xfId="7859" xr:uid="{00000000-0005-0000-0000-0000BF160000}"/>
    <cellStyle name="표준 20 2 3 3 2 2 2 4" xfId="8701" xr:uid="{00000000-0005-0000-0000-0000C0160000}"/>
    <cellStyle name="표준 20 2 3 3 2 2 2 5" xfId="6171" xr:uid="{00000000-0005-0000-0000-0000C1160000}"/>
    <cellStyle name="표준 20 2 3 3 2 2 3" xfId="5113" xr:uid="{00000000-0005-0000-0000-0000C2160000}"/>
    <cellStyle name="표준 20 2 3 3 2 2 3 2" xfId="7019" xr:uid="{00000000-0005-0000-0000-0000C3160000}"/>
    <cellStyle name="표준 20 2 3 3 2 2 3 2 2" xfId="9542" xr:uid="{00000000-0005-0000-0000-0000C4160000}"/>
    <cellStyle name="표준 20 2 3 3 2 2 3 3" xfId="7860" xr:uid="{00000000-0005-0000-0000-0000C5160000}"/>
    <cellStyle name="표준 20 2 3 3 2 2 3 4" xfId="8702" xr:uid="{00000000-0005-0000-0000-0000C6160000}"/>
    <cellStyle name="표준 20 2 3 3 2 2 3 5" xfId="6172" xr:uid="{00000000-0005-0000-0000-0000C7160000}"/>
    <cellStyle name="표준 20 2 3 3 2 2 4" xfId="5114" xr:uid="{00000000-0005-0000-0000-0000C8160000}"/>
    <cellStyle name="표준 20 2 3 3 2 2 4 2" xfId="7020" xr:uid="{00000000-0005-0000-0000-0000C9160000}"/>
    <cellStyle name="표준 20 2 3 3 2 2 4 2 2" xfId="9543" xr:uid="{00000000-0005-0000-0000-0000CA160000}"/>
    <cellStyle name="표준 20 2 3 3 2 2 4 3" xfId="7861" xr:uid="{00000000-0005-0000-0000-0000CB160000}"/>
    <cellStyle name="표준 20 2 3 3 2 2 4 4" xfId="8703" xr:uid="{00000000-0005-0000-0000-0000CC160000}"/>
    <cellStyle name="표준 20 2 3 3 2 2 4 5" xfId="6173" xr:uid="{00000000-0005-0000-0000-0000CD160000}"/>
    <cellStyle name="표준 20 2 3 3 2 2 5" xfId="7017" xr:uid="{00000000-0005-0000-0000-0000CE160000}"/>
    <cellStyle name="표준 20 2 3 3 2 2 5 2" xfId="9540" xr:uid="{00000000-0005-0000-0000-0000CF160000}"/>
    <cellStyle name="표준 20 2 3 3 2 2 6" xfId="7858" xr:uid="{00000000-0005-0000-0000-0000D0160000}"/>
    <cellStyle name="표준 20 2 3 3 2 2 7" xfId="8700" xr:uid="{00000000-0005-0000-0000-0000D1160000}"/>
    <cellStyle name="표준 20 2 3 3 2 2 8" xfId="6170" xr:uid="{00000000-0005-0000-0000-0000D2160000}"/>
    <cellStyle name="표준 20 2 3 3 2 3" xfId="5115" xr:uid="{00000000-0005-0000-0000-0000D3160000}"/>
    <cellStyle name="표준 20 2 3 3 2 3 2" xfId="7021" xr:uid="{00000000-0005-0000-0000-0000D4160000}"/>
    <cellStyle name="표준 20 2 3 3 2 3 2 2" xfId="9544" xr:uid="{00000000-0005-0000-0000-0000D5160000}"/>
    <cellStyle name="표준 20 2 3 3 2 3 3" xfId="7862" xr:uid="{00000000-0005-0000-0000-0000D6160000}"/>
    <cellStyle name="표준 20 2 3 3 2 3 4" xfId="8704" xr:uid="{00000000-0005-0000-0000-0000D7160000}"/>
    <cellStyle name="표준 20 2 3 3 2 3 5" xfId="6174" xr:uid="{00000000-0005-0000-0000-0000D8160000}"/>
    <cellStyle name="표준 20 2 3 3 2 4" xfId="5116" xr:uid="{00000000-0005-0000-0000-0000D9160000}"/>
    <cellStyle name="표준 20 2 3 3 2 4 2" xfId="7022" xr:uid="{00000000-0005-0000-0000-0000DA160000}"/>
    <cellStyle name="표준 20 2 3 3 2 4 2 2" xfId="9545" xr:uid="{00000000-0005-0000-0000-0000DB160000}"/>
    <cellStyle name="표준 20 2 3 3 2 4 3" xfId="7863" xr:uid="{00000000-0005-0000-0000-0000DC160000}"/>
    <cellStyle name="표준 20 2 3 3 2 4 4" xfId="8705" xr:uid="{00000000-0005-0000-0000-0000DD160000}"/>
    <cellStyle name="표준 20 2 3 3 2 4 5" xfId="6175" xr:uid="{00000000-0005-0000-0000-0000DE160000}"/>
    <cellStyle name="표준 20 2 3 3 2 5" xfId="5117" xr:uid="{00000000-0005-0000-0000-0000DF160000}"/>
    <cellStyle name="표준 20 2 3 3 2 5 2" xfId="7023" xr:uid="{00000000-0005-0000-0000-0000E0160000}"/>
    <cellStyle name="표준 20 2 3 3 2 5 2 2" xfId="9546" xr:uid="{00000000-0005-0000-0000-0000E1160000}"/>
    <cellStyle name="표준 20 2 3 3 2 5 3" xfId="7864" xr:uid="{00000000-0005-0000-0000-0000E2160000}"/>
    <cellStyle name="표준 20 2 3 3 2 5 4" xfId="8706" xr:uid="{00000000-0005-0000-0000-0000E3160000}"/>
    <cellStyle name="표준 20 2 3 3 2 5 5" xfId="6176" xr:uid="{00000000-0005-0000-0000-0000E4160000}"/>
    <cellStyle name="표준 20 2 3 3 2 6" xfId="7016" xr:uid="{00000000-0005-0000-0000-0000E5160000}"/>
    <cellStyle name="표준 20 2 3 3 2 6 2" xfId="9539" xr:uid="{00000000-0005-0000-0000-0000E6160000}"/>
    <cellStyle name="표준 20 2 3 3 2 7" xfId="7857" xr:uid="{00000000-0005-0000-0000-0000E7160000}"/>
    <cellStyle name="표준 20 2 3 3 2 8" xfId="8699" xr:uid="{00000000-0005-0000-0000-0000E8160000}"/>
    <cellStyle name="표준 20 2 3 3 2 9" xfId="6169" xr:uid="{00000000-0005-0000-0000-0000E9160000}"/>
    <cellStyle name="표준 20 2 3 3 3" xfId="5118" xr:uid="{00000000-0005-0000-0000-0000EA160000}"/>
    <cellStyle name="표준 20 2 3 3 3 2" xfId="5119" xr:uid="{00000000-0005-0000-0000-0000EB160000}"/>
    <cellStyle name="표준 20 2 3 3 3 2 2" xfId="7025" xr:uid="{00000000-0005-0000-0000-0000EC160000}"/>
    <cellStyle name="표준 20 2 3 3 3 2 2 2" xfId="9548" xr:uid="{00000000-0005-0000-0000-0000ED160000}"/>
    <cellStyle name="표준 20 2 3 3 3 2 3" xfId="7866" xr:uid="{00000000-0005-0000-0000-0000EE160000}"/>
    <cellStyle name="표준 20 2 3 3 3 2 4" xfId="8708" xr:uid="{00000000-0005-0000-0000-0000EF160000}"/>
    <cellStyle name="표준 20 2 3 3 3 2 5" xfId="6178" xr:uid="{00000000-0005-0000-0000-0000F0160000}"/>
    <cellStyle name="표준 20 2 3 3 3 3" xfId="5120" xr:uid="{00000000-0005-0000-0000-0000F1160000}"/>
    <cellStyle name="표준 20 2 3 3 3 3 2" xfId="7026" xr:uid="{00000000-0005-0000-0000-0000F2160000}"/>
    <cellStyle name="표준 20 2 3 3 3 3 2 2" xfId="9549" xr:uid="{00000000-0005-0000-0000-0000F3160000}"/>
    <cellStyle name="표준 20 2 3 3 3 3 3" xfId="7867" xr:uid="{00000000-0005-0000-0000-0000F4160000}"/>
    <cellStyle name="표준 20 2 3 3 3 3 4" xfId="8709" xr:uid="{00000000-0005-0000-0000-0000F5160000}"/>
    <cellStyle name="표준 20 2 3 3 3 3 5" xfId="6179" xr:uid="{00000000-0005-0000-0000-0000F6160000}"/>
    <cellStyle name="표준 20 2 3 3 3 4" xfId="5121" xr:uid="{00000000-0005-0000-0000-0000F7160000}"/>
    <cellStyle name="표준 20 2 3 3 3 4 2" xfId="7027" xr:uid="{00000000-0005-0000-0000-0000F8160000}"/>
    <cellStyle name="표준 20 2 3 3 3 4 2 2" xfId="9550" xr:uid="{00000000-0005-0000-0000-0000F9160000}"/>
    <cellStyle name="표준 20 2 3 3 3 4 3" xfId="7868" xr:uid="{00000000-0005-0000-0000-0000FA160000}"/>
    <cellStyle name="표준 20 2 3 3 3 4 4" xfId="8710" xr:uid="{00000000-0005-0000-0000-0000FB160000}"/>
    <cellStyle name="표준 20 2 3 3 3 4 5" xfId="6180" xr:uid="{00000000-0005-0000-0000-0000FC160000}"/>
    <cellStyle name="표준 20 2 3 3 3 5" xfId="7024" xr:uid="{00000000-0005-0000-0000-0000FD160000}"/>
    <cellStyle name="표준 20 2 3 3 3 5 2" xfId="9547" xr:uid="{00000000-0005-0000-0000-0000FE160000}"/>
    <cellStyle name="표준 20 2 3 3 3 6" xfId="7865" xr:uid="{00000000-0005-0000-0000-0000FF160000}"/>
    <cellStyle name="표준 20 2 3 3 3 7" xfId="8707" xr:uid="{00000000-0005-0000-0000-000000170000}"/>
    <cellStyle name="표준 20 2 3 3 3 8" xfId="6177" xr:uid="{00000000-0005-0000-0000-000001170000}"/>
    <cellStyle name="표준 20 2 3 3 4" xfId="5122" xr:uid="{00000000-0005-0000-0000-000002170000}"/>
    <cellStyle name="표준 20 2 3 3 4 2" xfId="7028" xr:uid="{00000000-0005-0000-0000-000003170000}"/>
    <cellStyle name="표준 20 2 3 3 4 2 2" xfId="9551" xr:uid="{00000000-0005-0000-0000-000004170000}"/>
    <cellStyle name="표준 20 2 3 3 4 3" xfId="7869" xr:uid="{00000000-0005-0000-0000-000005170000}"/>
    <cellStyle name="표준 20 2 3 3 4 4" xfId="8711" xr:uid="{00000000-0005-0000-0000-000006170000}"/>
    <cellStyle name="표준 20 2 3 3 4 5" xfId="6181" xr:uid="{00000000-0005-0000-0000-000007170000}"/>
    <cellStyle name="표준 20 2 3 3 5" xfId="5123" xr:uid="{00000000-0005-0000-0000-000008170000}"/>
    <cellStyle name="표준 20 2 3 3 5 2" xfId="7029" xr:uid="{00000000-0005-0000-0000-000009170000}"/>
    <cellStyle name="표준 20 2 3 3 5 2 2" xfId="9552" xr:uid="{00000000-0005-0000-0000-00000A170000}"/>
    <cellStyle name="표준 20 2 3 3 5 3" xfId="7870" xr:uid="{00000000-0005-0000-0000-00000B170000}"/>
    <cellStyle name="표준 20 2 3 3 5 4" xfId="8712" xr:uid="{00000000-0005-0000-0000-00000C170000}"/>
    <cellStyle name="표준 20 2 3 3 5 5" xfId="6182" xr:uid="{00000000-0005-0000-0000-00000D170000}"/>
    <cellStyle name="표준 20 2 3 3 6" xfId="5124" xr:uid="{00000000-0005-0000-0000-00000E170000}"/>
    <cellStyle name="표준 20 2 3 3 6 2" xfId="7030" xr:uid="{00000000-0005-0000-0000-00000F170000}"/>
    <cellStyle name="표준 20 2 3 3 6 2 2" xfId="9553" xr:uid="{00000000-0005-0000-0000-000010170000}"/>
    <cellStyle name="표준 20 2 3 3 6 3" xfId="7871" xr:uid="{00000000-0005-0000-0000-000011170000}"/>
    <cellStyle name="표준 20 2 3 3 6 4" xfId="8713" xr:uid="{00000000-0005-0000-0000-000012170000}"/>
    <cellStyle name="표준 20 2 3 3 6 5" xfId="6183" xr:uid="{00000000-0005-0000-0000-000013170000}"/>
    <cellStyle name="표준 20 2 3 3 7" xfId="7015" xr:uid="{00000000-0005-0000-0000-000014170000}"/>
    <cellStyle name="표준 20 2 3 3 7 2" xfId="9538" xr:uid="{00000000-0005-0000-0000-000015170000}"/>
    <cellStyle name="표준 20 2 3 3 8" xfId="7856" xr:uid="{00000000-0005-0000-0000-000016170000}"/>
    <cellStyle name="표준 20 2 3 3 9" xfId="8698" xr:uid="{00000000-0005-0000-0000-000017170000}"/>
    <cellStyle name="표준 20 2 3 4" xfId="5125" xr:uid="{00000000-0005-0000-0000-000018170000}"/>
    <cellStyle name="표준 20 2 3 4 2" xfId="5126" xr:uid="{00000000-0005-0000-0000-000019170000}"/>
    <cellStyle name="표준 20 2 3 4 2 2" xfId="5127" xr:uid="{00000000-0005-0000-0000-00001A170000}"/>
    <cellStyle name="표준 20 2 3 4 2 2 2" xfId="7033" xr:uid="{00000000-0005-0000-0000-00001B170000}"/>
    <cellStyle name="표준 20 2 3 4 2 2 2 2" xfId="9556" xr:uid="{00000000-0005-0000-0000-00001C170000}"/>
    <cellStyle name="표준 20 2 3 4 2 2 3" xfId="7874" xr:uid="{00000000-0005-0000-0000-00001D170000}"/>
    <cellStyle name="표준 20 2 3 4 2 2 4" xfId="8716" xr:uid="{00000000-0005-0000-0000-00001E170000}"/>
    <cellStyle name="표준 20 2 3 4 2 2 5" xfId="6186" xr:uid="{00000000-0005-0000-0000-00001F170000}"/>
    <cellStyle name="표준 20 2 3 4 2 3" xfId="5128" xr:uid="{00000000-0005-0000-0000-000020170000}"/>
    <cellStyle name="표준 20 2 3 4 2 3 2" xfId="7034" xr:uid="{00000000-0005-0000-0000-000021170000}"/>
    <cellStyle name="표준 20 2 3 4 2 3 2 2" xfId="9557" xr:uid="{00000000-0005-0000-0000-000022170000}"/>
    <cellStyle name="표준 20 2 3 4 2 3 3" xfId="7875" xr:uid="{00000000-0005-0000-0000-000023170000}"/>
    <cellStyle name="표준 20 2 3 4 2 3 4" xfId="8717" xr:uid="{00000000-0005-0000-0000-000024170000}"/>
    <cellStyle name="표준 20 2 3 4 2 3 5" xfId="6187" xr:uid="{00000000-0005-0000-0000-000025170000}"/>
    <cellStyle name="표준 20 2 3 4 2 4" xfId="5129" xr:uid="{00000000-0005-0000-0000-000026170000}"/>
    <cellStyle name="표준 20 2 3 4 2 4 2" xfId="7035" xr:uid="{00000000-0005-0000-0000-000027170000}"/>
    <cellStyle name="표준 20 2 3 4 2 4 2 2" xfId="9558" xr:uid="{00000000-0005-0000-0000-000028170000}"/>
    <cellStyle name="표준 20 2 3 4 2 4 3" xfId="7876" xr:uid="{00000000-0005-0000-0000-000029170000}"/>
    <cellStyle name="표준 20 2 3 4 2 4 4" xfId="8718" xr:uid="{00000000-0005-0000-0000-00002A170000}"/>
    <cellStyle name="표준 20 2 3 4 2 4 5" xfId="6188" xr:uid="{00000000-0005-0000-0000-00002B170000}"/>
    <cellStyle name="표준 20 2 3 4 2 5" xfId="7032" xr:uid="{00000000-0005-0000-0000-00002C170000}"/>
    <cellStyle name="표준 20 2 3 4 2 5 2" xfId="9555" xr:uid="{00000000-0005-0000-0000-00002D170000}"/>
    <cellStyle name="표준 20 2 3 4 2 6" xfId="7873" xr:uid="{00000000-0005-0000-0000-00002E170000}"/>
    <cellStyle name="표준 20 2 3 4 2 7" xfId="8715" xr:uid="{00000000-0005-0000-0000-00002F170000}"/>
    <cellStyle name="표준 20 2 3 4 2 8" xfId="6185" xr:uid="{00000000-0005-0000-0000-000030170000}"/>
    <cellStyle name="표준 20 2 3 4 3" xfId="5130" xr:uid="{00000000-0005-0000-0000-000031170000}"/>
    <cellStyle name="표준 20 2 3 4 3 2" xfId="7036" xr:uid="{00000000-0005-0000-0000-000032170000}"/>
    <cellStyle name="표준 20 2 3 4 3 2 2" xfId="9559" xr:uid="{00000000-0005-0000-0000-000033170000}"/>
    <cellStyle name="표준 20 2 3 4 3 3" xfId="7877" xr:uid="{00000000-0005-0000-0000-000034170000}"/>
    <cellStyle name="표준 20 2 3 4 3 4" xfId="8719" xr:uid="{00000000-0005-0000-0000-000035170000}"/>
    <cellStyle name="표준 20 2 3 4 3 5" xfId="6189" xr:uid="{00000000-0005-0000-0000-000036170000}"/>
    <cellStyle name="표준 20 2 3 4 4" xfId="5131" xr:uid="{00000000-0005-0000-0000-000037170000}"/>
    <cellStyle name="표준 20 2 3 4 4 2" xfId="7037" xr:uid="{00000000-0005-0000-0000-000038170000}"/>
    <cellStyle name="표준 20 2 3 4 4 2 2" xfId="9560" xr:uid="{00000000-0005-0000-0000-000039170000}"/>
    <cellStyle name="표준 20 2 3 4 4 3" xfId="7878" xr:uid="{00000000-0005-0000-0000-00003A170000}"/>
    <cellStyle name="표준 20 2 3 4 4 4" xfId="8720" xr:uid="{00000000-0005-0000-0000-00003B170000}"/>
    <cellStyle name="표준 20 2 3 4 4 5" xfId="6190" xr:uid="{00000000-0005-0000-0000-00003C170000}"/>
    <cellStyle name="표준 20 2 3 4 5" xfId="5132" xr:uid="{00000000-0005-0000-0000-00003D170000}"/>
    <cellStyle name="표준 20 2 3 4 5 2" xfId="7038" xr:uid="{00000000-0005-0000-0000-00003E170000}"/>
    <cellStyle name="표준 20 2 3 4 5 2 2" xfId="9561" xr:uid="{00000000-0005-0000-0000-00003F170000}"/>
    <cellStyle name="표준 20 2 3 4 5 3" xfId="7879" xr:uid="{00000000-0005-0000-0000-000040170000}"/>
    <cellStyle name="표준 20 2 3 4 5 4" xfId="8721" xr:uid="{00000000-0005-0000-0000-000041170000}"/>
    <cellStyle name="표준 20 2 3 4 5 5" xfId="6191" xr:uid="{00000000-0005-0000-0000-000042170000}"/>
    <cellStyle name="표준 20 2 3 4 6" xfId="7031" xr:uid="{00000000-0005-0000-0000-000043170000}"/>
    <cellStyle name="표준 20 2 3 4 6 2" xfId="9554" xr:uid="{00000000-0005-0000-0000-000044170000}"/>
    <cellStyle name="표준 20 2 3 4 7" xfId="7872" xr:uid="{00000000-0005-0000-0000-000045170000}"/>
    <cellStyle name="표준 20 2 3 4 8" xfId="8714" xr:uid="{00000000-0005-0000-0000-000046170000}"/>
    <cellStyle name="표준 20 2 3 4 9" xfId="6184" xr:uid="{00000000-0005-0000-0000-000047170000}"/>
    <cellStyle name="표준 20 2 3 5" xfId="5133" xr:uid="{00000000-0005-0000-0000-000048170000}"/>
    <cellStyle name="표준 20 2 3 5 2" xfId="5134" xr:uid="{00000000-0005-0000-0000-000049170000}"/>
    <cellStyle name="표준 20 2 3 5 2 2" xfId="7040" xr:uid="{00000000-0005-0000-0000-00004A170000}"/>
    <cellStyle name="표준 20 2 3 5 2 2 2" xfId="9563" xr:uid="{00000000-0005-0000-0000-00004B170000}"/>
    <cellStyle name="표준 20 2 3 5 2 3" xfId="7881" xr:uid="{00000000-0005-0000-0000-00004C170000}"/>
    <cellStyle name="표준 20 2 3 5 2 4" xfId="8723" xr:uid="{00000000-0005-0000-0000-00004D170000}"/>
    <cellStyle name="표준 20 2 3 5 2 5" xfId="6193" xr:uid="{00000000-0005-0000-0000-00004E170000}"/>
    <cellStyle name="표준 20 2 3 5 3" xfId="5135" xr:uid="{00000000-0005-0000-0000-00004F170000}"/>
    <cellStyle name="표준 20 2 3 5 3 2" xfId="7041" xr:uid="{00000000-0005-0000-0000-000050170000}"/>
    <cellStyle name="표준 20 2 3 5 3 2 2" xfId="9564" xr:uid="{00000000-0005-0000-0000-000051170000}"/>
    <cellStyle name="표준 20 2 3 5 3 3" xfId="7882" xr:uid="{00000000-0005-0000-0000-000052170000}"/>
    <cellStyle name="표준 20 2 3 5 3 4" xfId="8724" xr:uid="{00000000-0005-0000-0000-000053170000}"/>
    <cellStyle name="표준 20 2 3 5 3 5" xfId="6194" xr:uid="{00000000-0005-0000-0000-000054170000}"/>
    <cellStyle name="표준 20 2 3 5 4" xfId="5136" xr:uid="{00000000-0005-0000-0000-000055170000}"/>
    <cellStyle name="표준 20 2 3 5 4 2" xfId="7042" xr:uid="{00000000-0005-0000-0000-000056170000}"/>
    <cellStyle name="표준 20 2 3 5 4 2 2" xfId="9565" xr:uid="{00000000-0005-0000-0000-000057170000}"/>
    <cellStyle name="표준 20 2 3 5 4 3" xfId="7883" xr:uid="{00000000-0005-0000-0000-000058170000}"/>
    <cellStyle name="표준 20 2 3 5 4 4" xfId="8725" xr:uid="{00000000-0005-0000-0000-000059170000}"/>
    <cellStyle name="표준 20 2 3 5 4 5" xfId="6195" xr:uid="{00000000-0005-0000-0000-00005A170000}"/>
    <cellStyle name="표준 20 2 3 5 5" xfId="7039" xr:uid="{00000000-0005-0000-0000-00005B170000}"/>
    <cellStyle name="표준 20 2 3 5 5 2" xfId="9562" xr:uid="{00000000-0005-0000-0000-00005C170000}"/>
    <cellStyle name="표준 20 2 3 5 6" xfId="7880" xr:uid="{00000000-0005-0000-0000-00005D170000}"/>
    <cellStyle name="표준 20 2 3 5 7" xfId="8722" xr:uid="{00000000-0005-0000-0000-00005E170000}"/>
    <cellStyle name="표준 20 2 3 5 8" xfId="6192" xr:uid="{00000000-0005-0000-0000-00005F170000}"/>
    <cellStyle name="표준 20 2 3 6" xfId="5137" xr:uid="{00000000-0005-0000-0000-000060170000}"/>
    <cellStyle name="표준 20 2 3 6 2" xfId="7043" xr:uid="{00000000-0005-0000-0000-000061170000}"/>
    <cellStyle name="표준 20 2 3 6 2 2" xfId="9566" xr:uid="{00000000-0005-0000-0000-000062170000}"/>
    <cellStyle name="표준 20 2 3 6 3" xfId="7884" xr:uid="{00000000-0005-0000-0000-000063170000}"/>
    <cellStyle name="표준 20 2 3 6 4" xfId="8726" xr:uid="{00000000-0005-0000-0000-000064170000}"/>
    <cellStyle name="표준 20 2 3 6 5" xfId="6196" xr:uid="{00000000-0005-0000-0000-000065170000}"/>
    <cellStyle name="표준 20 2 3 7" xfId="5138" xr:uid="{00000000-0005-0000-0000-000066170000}"/>
    <cellStyle name="표준 20 2 3 7 2" xfId="7044" xr:uid="{00000000-0005-0000-0000-000067170000}"/>
    <cellStyle name="표준 20 2 3 7 2 2" xfId="9567" xr:uid="{00000000-0005-0000-0000-000068170000}"/>
    <cellStyle name="표준 20 2 3 7 3" xfId="7885" xr:uid="{00000000-0005-0000-0000-000069170000}"/>
    <cellStyle name="표준 20 2 3 7 4" xfId="8727" xr:uid="{00000000-0005-0000-0000-00006A170000}"/>
    <cellStyle name="표준 20 2 3 7 5" xfId="6197" xr:uid="{00000000-0005-0000-0000-00006B170000}"/>
    <cellStyle name="표준 20 2 3 8" xfId="5139" xr:uid="{00000000-0005-0000-0000-00006C170000}"/>
    <cellStyle name="표준 20 2 3 8 2" xfId="7045" xr:uid="{00000000-0005-0000-0000-00006D170000}"/>
    <cellStyle name="표준 20 2 3 8 2 2" xfId="9568" xr:uid="{00000000-0005-0000-0000-00006E170000}"/>
    <cellStyle name="표준 20 2 3 8 3" xfId="7886" xr:uid="{00000000-0005-0000-0000-00006F170000}"/>
    <cellStyle name="표준 20 2 3 8 4" xfId="8728" xr:uid="{00000000-0005-0000-0000-000070170000}"/>
    <cellStyle name="표준 20 2 3 8 5" xfId="6198" xr:uid="{00000000-0005-0000-0000-000071170000}"/>
    <cellStyle name="표준 20 2 3 9" xfId="6998" xr:uid="{00000000-0005-0000-0000-000072170000}"/>
    <cellStyle name="표준 20 2 3 9 2" xfId="9521" xr:uid="{00000000-0005-0000-0000-000073170000}"/>
    <cellStyle name="표준 20 2 4" xfId="5140" xr:uid="{00000000-0005-0000-0000-000074170000}"/>
    <cellStyle name="표준 20 2 4 10" xfId="6199" xr:uid="{00000000-0005-0000-0000-000075170000}"/>
    <cellStyle name="표준 20 2 4 2" xfId="5141" xr:uid="{00000000-0005-0000-0000-000076170000}"/>
    <cellStyle name="표준 20 2 4 2 2" xfId="5142" xr:uid="{00000000-0005-0000-0000-000077170000}"/>
    <cellStyle name="표준 20 2 4 2 2 2" xfId="5143" xr:uid="{00000000-0005-0000-0000-000078170000}"/>
    <cellStyle name="표준 20 2 4 2 2 2 2" xfId="7049" xr:uid="{00000000-0005-0000-0000-000079170000}"/>
    <cellStyle name="표준 20 2 4 2 2 2 2 2" xfId="9572" xr:uid="{00000000-0005-0000-0000-00007A170000}"/>
    <cellStyle name="표준 20 2 4 2 2 2 3" xfId="7890" xr:uid="{00000000-0005-0000-0000-00007B170000}"/>
    <cellStyle name="표준 20 2 4 2 2 2 4" xfId="8732" xr:uid="{00000000-0005-0000-0000-00007C170000}"/>
    <cellStyle name="표준 20 2 4 2 2 2 5" xfId="6202" xr:uid="{00000000-0005-0000-0000-00007D170000}"/>
    <cellStyle name="표준 20 2 4 2 2 3" xfId="5144" xr:uid="{00000000-0005-0000-0000-00007E170000}"/>
    <cellStyle name="표준 20 2 4 2 2 3 2" xfId="7050" xr:uid="{00000000-0005-0000-0000-00007F170000}"/>
    <cellStyle name="표준 20 2 4 2 2 3 2 2" xfId="9573" xr:uid="{00000000-0005-0000-0000-000080170000}"/>
    <cellStyle name="표준 20 2 4 2 2 3 3" xfId="7891" xr:uid="{00000000-0005-0000-0000-000081170000}"/>
    <cellStyle name="표준 20 2 4 2 2 3 4" xfId="8733" xr:uid="{00000000-0005-0000-0000-000082170000}"/>
    <cellStyle name="표준 20 2 4 2 2 3 5" xfId="6203" xr:uid="{00000000-0005-0000-0000-000083170000}"/>
    <cellStyle name="표준 20 2 4 2 2 4" xfId="5145" xr:uid="{00000000-0005-0000-0000-000084170000}"/>
    <cellStyle name="표준 20 2 4 2 2 4 2" xfId="7051" xr:uid="{00000000-0005-0000-0000-000085170000}"/>
    <cellStyle name="표준 20 2 4 2 2 4 2 2" xfId="9574" xr:uid="{00000000-0005-0000-0000-000086170000}"/>
    <cellStyle name="표준 20 2 4 2 2 4 3" xfId="7892" xr:uid="{00000000-0005-0000-0000-000087170000}"/>
    <cellStyle name="표준 20 2 4 2 2 4 4" xfId="8734" xr:uid="{00000000-0005-0000-0000-000088170000}"/>
    <cellStyle name="표준 20 2 4 2 2 4 5" xfId="6204" xr:uid="{00000000-0005-0000-0000-000089170000}"/>
    <cellStyle name="표준 20 2 4 2 2 5" xfId="7048" xr:uid="{00000000-0005-0000-0000-00008A170000}"/>
    <cellStyle name="표준 20 2 4 2 2 5 2" xfId="9571" xr:uid="{00000000-0005-0000-0000-00008B170000}"/>
    <cellStyle name="표준 20 2 4 2 2 6" xfId="7889" xr:uid="{00000000-0005-0000-0000-00008C170000}"/>
    <cellStyle name="표준 20 2 4 2 2 7" xfId="8731" xr:uid="{00000000-0005-0000-0000-00008D170000}"/>
    <cellStyle name="표준 20 2 4 2 2 8" xfId="6201" xr:uid="{00000000-0005-0000-0000-00008E170000}"/>
    <cellStyle name="표준 20 2 4 2 3" xfId="5146" xr:uid="{00000000-0005-0000-0000-00008F170000}"/>
    <cellStyle name="표준 20 2 4 2 3 2" xfId="7052" xr:uid="{00000000-0005-0000-0000-000090170000}"/>
    <cellStyle name="표준 20 2 4 2 3 2 2" xfId="9575" xr:uid="{00000000-0005-0000-0000-000091170000}"/>
    <cellStyle name="표준 20 2 4 2 3 3" xfId="7893" xr:uid="{00000000-0005-0000-0000-000092170000}"/>
    <cellStyle name="표준 20 2 4 2 3 4" xfId="8735" xr:uid="{00000000-0005-0000-0000-000093170000}"/>
    <cellStyle name="표준 20 2 4 2 3 5" xfId="6205" xr:uid="{00000000-0005-0000-0000-000094170000}"/>
    <cellStyle name="표준 20 2 4 2 4" xfId="5147" xr:uid="{00000000-0005-0000-0000-000095170000}"/>
    <cellStyle name="표준 20 2 4 2 4 2" xfId="7053" xr:uid="{00000000-0005-0000-0000-000096170000}"/>
    <cellStyle name="표준 20 2 4 2 4 2 2" xfId="9576" xr:uid="{00000000-0005-0000-0000-000097170000}"/>
    <cellStyle name="표준 20 2 4 2 4 3" xfId="7894" xr:uid="{00000000-0005-0000-0000-000098170000}"/>
    <cellStyle name="표준 20 2 4 2 4 4" xfId="8736" xr:uid="{00000000-0005-0000-0000-000099170000}"/>
    <cellStyle name="표준 20 2 4 2 4 5" xfId="6206" xr:uid="{00000000-0005-0000-0000-00009A170000}"/>
    <cellStyle name="표준 20 2 4 2 5" xfId="5148" xr:uid="{00000000-0005-0000-0000-00009B170000}"/>
    <cellStyle name="표준 20 2 4 2 5 2" xfId="7054" xr:uid="{00000000-0005-0000-0000-00009C170000}"/>
    <cellStyle name="표준 20 2 4 2 5 2 2" xfId="9577" xr:uid="{00000000-0005-0000-0000-00009D170000}"/>
    <cellStyle name="표준 20 2 4 2 5 3" xfId="7895" xr:uid="{00000000-0005-0000-0000-00009E170000}"/>
    <cellStyle name="표준 20 2 4 2 5 4" xfId="8737" xr:uid="{00000000-0005-0000-0000-00009F170000}"/>
    <cellStyle name="표준 20 2 4 2 5 5" xfId="6207" xr:uid="{00000000-0005-0000-0000-0000A0170000}"/>
    <cellStyle name="표준 20 2 4 2 6" xfId="7047" xr:uid="{00000000-0005-0000-0000-0000A1170000}"/>
    <cellStyle name="표준 20 2 4 2 6 2" xfId="9570" xr:uid="{00000000-0005-0000-0000-0000A2170000}"/>
    <cellStyle name="표준 20 2 4 2 7" xfId="7888" xr:uid="{00000000-0005-0000-0000-0000A3170000}"/>
    <cellStyle name="표준 20 2 4 2 8" xfId="8730" xr:uid="{00000000-0005-0000-0000-0000A4170000}"/>
    <cellStyle name="표준 20 2 4 2 9" xfId="6200" xr:uid="{00000000-0005-0000-0000-0000A5170000}"/>
    <cellStyle name="표준 20 2 4 3" xfId="5149" xr:uid="{00000000-0005-0000-0000-0000A6170000}"/>
    <cellStyle name="표준 20 2 4 3 2" xfId="5150" xr:uid="{00000000-0005-0000-0000-0000A7170000}"/>
    <cellStyle name="표준 20 2 4 3 2 2" xfId="7056" xr:uid="{00000000-0005-0000-0000-0000A8170000}"/>
    <cellStyle name="표준 20 2 4 3 2 2 2" xfId="9579" xr:uid="{00000000-0005-0000-0000-0000A9170000}"/>
    <cellStyle name="표준 20 2 4 3 2 3" xfId="7897" xr:uid="{00000000-0005-0000-0000-0000AA170000}"/>
    <cellStyle name="표준 20 2 4 3 2 4" xfId="8739" xr:uid="{00000000-0005-0000-0000-0000AB170000}"/>
    <cellStyle name="표준 20 2 4 3 2 5" xfId="6209" xr:uid="{00000000-0005-0000-0000-0000AC170000}"/>
    <cellStyle name="표준 20 2 4 3 3" xfId="5151" xr:uid="{00000000-0005-0000-0000-0000AD170000}"/>
    <cellStyle name="표준 20 2 4 3 3 2" xfId="7057" xr:uid="{00000000-0005-0000-0000-0000AE170000}"/>
    <cellStyle name="표준 20 2 4 3 3 2 2" xfId="9580" xr:uid="{00000000-0005-0000-0000-0000AF170000}"/>
    <cellStyle name="표준 20 2 4 3 3 3" xfId="7898" xr:uid="{00000000-0005-0000-0000-0000B0170000}"/>
    <cellStyle name="표준 20 2 4 3 3 4" xfId="8740" xr:uid="{00000000-0005-0000-0000-0000B1170000}"/>
    <cellStyle name="표준 20 2 4 3 3 5" xfId="6210" xr:uid="{00000000-0005-0000-0000-0000B2170000}"/>
    <cellStyle name="표준 20 2 4 3 4" xfId="5152" xr:uid="{00000000-0005-0000-0000-0000B3170000}"/>
    <cellStyle name="표준 20 2 4 3 4 2" xfId="7058" xr:uid="{00000000-0005-0000-0000-0000B4170000}"/>
    <cellStyle name="표준 20 2 4 3 4 2 2" xfId="9581" xr:uid="{00000000-0005-0000-0000-0000B5170000}"/>
    <cellStyle name="표준 20 2 4 3 4 3" xfId="7899" xr:uid="{00000000-0005-0000-0000-0000B6170000}"/>
    <cellStyle name="표준 20 2 4 3 4 4" xfId="8741" xr:uid="{00000000-0005-0000-0000-0000B7170000}"/>
    <cellStyle name="표준 20 2 4 3 4 5" xfId="6211" xr:uid="{00000000-0005-0000-0000-0000B8170000}"/>
    <cellStyle name="표준 20 2 4 3 5" xfId="7055" xr:uid="{00000000-0005-0000-0000-0000B9170000}"/>
    <cellStyle name="표준 20 2 4 3 5 2" xfId="9578" xr:uid="{00000000-0005-0000-0000-0000BA170000}"/>
    <cellStyle name="표준 20 2 4 3 6" xfId="7896" xr:uid="{00000000-0005-0000-0000-0000BB170000}"/>
    <cellStyle name="표준 20 2 4 3 7" xfId="8738" xr:uid="{00000000-0005-0000-0000-0000BC170000}"/>
    <cellStyle name="표준 20 2 4 3 8" xfId="6208" xr:uid="{00000000-0005-0000-0000-0000BD170000}"/>
    <cellStyle name="표준 20 2 4 4" xfId="5153" xr:uid="{00000000-0005-0000-0000-0000BE170000}"/>
    <cellStyle name="표준 20 2 4 4 2" xfId="7059" xr:uid="{00000000-0005-0000-0000-0000BF170000}"/>
    <cellStyle name="표준 20 2 4 4 2 2" xfId="9582" xr:uid="{00000000-0005-0000-0000-0000C0170000}"/>
    <cellStyle name="표준 20 2 4 4 3" xfId="7900" xr:uid="{00000000-0005-0000-0000-0000C1170000}"/>
    <cellStyle name="표준 20 2 4 4 4" xfId="8742" xr:uid="{00000000-0005-0000-0000-0000C2170000}"/>
    <cellStyle name="표준 20 2 4 4 5" xfId="6212" xr:uid="{00000000-0005-0000-0000-0000C3170000}"/>
    <cellStyle name="표준 20 2 4 5" xfId="5154" xr:uid="{00000000-0005-0000-0000-0000C4170000}"/>
    <cellStyle name="표준 20 2 4 5 2" xfId="7060" xr:uid="{00000000-0005-0000-0000-0000C5170000}"/>
    <cellStyle name="표준 20 2 4 5 2 2" xfId="9583" xr:uid="{00000000-0005-0000-0000-0000C6170000}"/>
    <cellStyle name="표준 20 2 4 5 3" xfId="7901" xr:uid="{00000000-0005-0000-0000-0000C7170000}"/>
    <cellStyle name="표준 20 2 4 5 4" xfId="8743" xr:uid="{00000000-0005-0000-0000-0000C8170000}"/>
    <cellStyle name="표준 20 2 4 5 5" xfId="6213" xr:uid="{00000000-0005-0000-0000-0000C9170000}"/>
    <cellStyle name="표준 20 2 4 6" xfId="5155" xr:uid="{00000000-0005-0000-0000-0000CA170000}"/>
    <cellStyle name="표준 20 2 4 6 2" xfId="7061" xr:uid="{00000000-0005-0000-0000-0000CB170000}"/>
    <cellStyle name="표준 20 2 4 6 2 2" xfId="9584" xr:uid="{00000000-0005-0000-0000-0000CC170000}"/>
    <cellStyle name="표준 20 2 4 6 3" xfId="7902" xr:uid="{00000000-0005-0000-0000-0000CD170000}"/>
    <cellStyle name="표준 20 2 4 6 4" xfId="8744" xr:uid="{00000000-0005-0000-0000-0000CE170000}"/>
    <cellStyle name="표준 20 2 4 6 5" xfId="6214" xr:uid="{00000000-0005-0000-0000-0000CF170000}"/>
    <cellStyle name="표준 20 2 4 7" xfId="7046" xr:uid="{00000000-0005-0000-0000-0000D0170000}"/>
    <cellStyle name="표준 20 2 4 7 2" xfId="9569" xr:uid="{00000000-0005-0000-0000-0000D1170000}"/>
    <cellStyle name="표준 20 2 4 8" xfId="7887" xr:uid="{00000000-0005-0000-0000-0000D2170000}"/>
    <cellStyle name="표준 20 2 4 9" xfId="8729" xr:uid="{00000000-0005-0000-0000-0000D3170000}"/>
    <cellStyle name="표준 20 2 5" xfId="5156" xr:uid="{00000000-0005-0000-0000-0000D4170000}"/>
    <cellStyle name="표준 20 2 5 10" xfId="6215" xr:uid="{00000000-0005-0000-0000-0000D5170000}"/>
    <cellStyle name="표준 20 2 5 2" xfId="5157" xr:uid="{00000000-0005-0000-0000-0000D6170000}"/>
    <cellStyle name="표준 20 2 5 2 2" xfId="5158" xr:uid="{00000000-0005-0000-0000-0000D7170000}"/>
    <cellStyle name="표준 20 2 5 2 2 2" xfId="5159" xr:uid="{00000000-0005-0000-0000-0000D8170000}"/>
    <cellStyle name="표준 20 2 5 2 2 2 2" xfId="7065" xr:uid="{00000000-0005-0000-0000-0000D9170000}"/>
    <cellStyle name="표준 20 2 5 2 2 2 2 2" xfId="9588" xr:uid="{00000000-0005-0000-0000-0000DA170000}"/>
    <cellStyle name="표준 20 2 5 2 2 2 3" xfId="7906" xr:uid="{00000000-0005-0000-0000-0000DB170000}"/>
    <cellStyle name="표준 20 2 5 2 2 2 4" xfId="8748" xr:uid="{00000000-0005-0000-0000-0000DC170000}"/>
    <cellStyle name="표준 20 2 5 2 2 2 5" xfId="6218" xr:uid="{00000000-0005-0000-0000-0000DD170000}"/>
    <cellStyle name="표준 20 2 5 2 2 3" xfId="5160" xr:uid="{00000000-0005-0000-0000-0000DE170000}"/>
    <cellStyle name="표준 20 2 5 2 2 3 2" xfId="7066" xr:uid="{00000000-0005-0000-0000-0000DF170000}"/>
    <cellStyle name="표준 20 2 5 2 2 3 2 2" xfId="9589" xr:uid="{00000000-0005-0000-0000-0000E0170000}"/>
    <cellStyle name="표준 20 2 5 2 2 3 3" xfId="7907" xr:uid="{00000000-0005-0000-0000-0000E1170000}"/>
    <cellStyle name="표준 20 2 5 2 2 3 4" xfId="8749" xr:uid="{00000000-0005-0000-0000-0000E2170000}"/>
    <cellStyle name="표준 20 2 5 2 2 3 5" xfId="6219" xr:uid="{00000000-0005-0000-0000-0000E3170000}"/>
    <cellStyle name="표준 20 2 5 2 2 4" xfId="5161" xr:uid="{00000000-0005-0000-0000-0000E4170000}"/>
    <cellStyle name="표준 20 2 5 2 2 4 2" xfId="7067" xr:uid="{00000000-0005-0000-0000-0000E5170000}"/>
    <cellStyle name="표준 20 2 5 2 2 4 2 2" xfId="9590" xr:uid="{00000000-0005-0000-0000-0000E6170000}"/>
    <cellStyle name="표준 20 2 5 2 2 4 3" xfId="7908" xr:uid="{00000000-0005-0000-0000-0000E7170000}"/>
    <cellStyle name="표준 20 2 5 2 2 4 4" xfId="8750" xr:uid="{00000000-0005-0000-0000-0000E8170000}"/>
    <cellStyle name="표준 20 2 5 2 2 4 5" xfId="6220" xr:uid="{00000000-0005-0000-0000-0000E9170000}"/>
    <cellStyle name="표준 20 2 5 2 2 5" xfId="7064" xr:uid="{00000000-0005-0000-0000-0000EA170000}"/>
    <cellStyle name="표준 20 2 5 2 2 5 2" xfId="9587" xr:uid="{00000000-0005-0000-0000-0000EB170000}"/>
    <cellStyle name="표준 20 2 5 2 2 6" xfId="7905" xr:uid="{00000000-0005-0000-0000-0000EC170000}"/>
    <cellStyle name="표준 20 2 5 2 2 7" xfId="8747" xr:uid="{00000000-0005-0000-0000-0000ED170000}"/>
    <cellStyle name="표준 20 2 5 2 2 8" xfId="6217" xr:uid="{00000000-0005-0000-0000-0000EE170000}"/>
    <cellStyle name="표준 20 2 5 2 3" xfId="5162" xr:uid="{00000000-0005-0000-0000-0000EF170000}"/>
    <cellStyle name="표준 20 2 5 2 3 2" xfId="7068" xr:uid="{00000000-0005-0000-0000-0000F0170000}"/>
    <cellStyle name="표준 20 2 5 2 3 2 2" xfId="9591" xr:uid="{00000000-0005-0000-0000-0000F1170000}"/>
    <cellStyle name="표준 20 2 5 2 3 3" xfId="7909" xr:uid="{00000000-0005-0000-0000-0000F2170000}"/>
    <cellStyle name="표준 20 2 5 2 3 4" xfId="8751" xr:uid="{00000000-0005-0000-0000-0000F3170000}"/>
    <cellStyle name="표준 20 2 5 2 3 5" xfId="6221" xr:uid="{00000000-0005-0000-0000-0000F4170000}"/>
    <cellStyle name="표준 20 2 5 2 4" xfId="5163" xr:uid="{00000000-0005-0000-0000-0000F5170000}"/>
    <cellStyle name="표준 20 2 5 2 4 2" xfId="7069" xr:uid="{00000000-0005-0000-0000-0000F6170000}"/>
    <cellStyle name="표준 20 2 5 2 4 2 2" xfId="9592" xr:uid="{00000000-0005-0000-0000-0000F7170000}"/>
    <cellStyle name="표준 20 2 5 2 4 3" xfId="7910" xr:uid="{00000000-0005-0000-0000-0000F8170000}"/>
    <cellStyle name="표준 20 2 5 2 4 4" xfId="8752" xr:uid="{00000000-0005-0000-0000-0000F9170000}"/>
    <cellStyle name="표준 20 2 5 2 4 5" xfId="6222" xr:uid="{00000000-0005-0000-0000-0000FA170000}"/>
    <cellStyle name="표준 20 2 5 2 5" xfId="5164" xr:uid="{00000000-0005-0000-0000-0000FB170000}"/>
    <cellStyle name="표준 20 2 5 2 5 2" xfId="7070" xr:uid="{00000000-0005-0000-0000-0000FC170000}"/>
    <cellStyle name="표준 20 2 5 2 5 2 2" xfId="9593" xr:uid="{00000000-0005-0000-0000-0000FD170000}"/>
    <cellStyle name="표준 20 2 5 2 5 3" xfId="7911" xr:uid="{00000000-0005-0000-0000-0000FE170000}"/>
    <cellStyle name="표준 20 2 5 2 5 4" xfId="8753" xr:uid="{00000000-0005-0000-0000-0000FF170000}"/>
    <cellStyle name="표준 20 2 5 2 5 5" xfId="6223" xr:uid="{00000000-0005-0000-0000-000000180000}"/>
    <cellStyle name="표준 20 2 5 2 6" xfId="7063" xr:uid="{00000000-0005-0000-0000-000001180000}"/>
    <cellStyle name="표준 20 2 5 2 6 2" xfId="9586" xr:uid="{00000000-0005-0000-0000-000002180000}"/>
    <cellStyle name="표준 20 2 5 2 7" xfId="7904" xr:uid="{00000000-0005-0000-0000-000003180000}"/>
    <cellStyle name="표준 20 2 5 2 8" xfId="8746" xr:uid="{00000000-0005-0000-0000-000004180000}"/>
    <cellStyle name="표준 20 2 5 2 9" xfId="6216" xr:uid="{00000000-0005-0000-0000-000005180000}"/>
    <cellStyle name="표준 20 2 5 3" xfId="5165" xr:uid="{00000000-0005-0000-0000-000006180000}"/>
    <cellStyle name="표준 20 2 5 3 2" xfId="5166" xr:uid="{00000000-0005-0000-0000-000007180000}"/>
    <cellStyle name="표준 20 2 5 3 2 2" xfId="7072" xr:uid="{00000000-0005-0000-0000-000008180000}"/>
    <cellStyle name="표준 20 2 5 3 2 2 2" xfId="9595" xr:uid="{00000000-0005-0000-0000-000009180000}"/>
    <cellStyle name="표준 20 2 5 3 2 3" xfId="7913" xr:uid="{00000000-0005-0000-0000-00000A180000}"/>
    <cellStyle name="표준 20 2 5 3 2 4" xfId="8755" xr:uid="{00000000-0005-0000-0000-00000B180000}"/>
    <cellStyle name="표준 20 2 5 3 2 5" xfId="6225" xr:uid="{00000000-0005-0000-0000-00000C180000}"/>
    <cellStyle name="표준 20 2 5 3 3" xfId="5167" xr:uid="{00000000-0005-0000-0000-00000D180000}"/>
    <cellStyle name="표준 20 2 5 3 3 2" xfId="7073" xr:uid="{00000000-0005-0000-0000-00000E180000}"/>
    <cellStyle name="표준 20 2 5 3 3 2 2" xfId="9596" xr:uid="{00000000-0005-0000-0000-00000F180000}"/>
    <cellStyle name="표준 20 2 5 3 3 3" xfId="7914" xr:uid="{00000000-0005-0000-0000-000010180000}"/>
    <cellStyle name="표준 20 2 5 3 3 4" xfId="8756" xr:uid="{00000000-0005-0000-0000-000011180000}"/>
    <cellStyle name="표준 20 2 5 3 3 5" xfId="6226" xr:uid="{00000000-0005-0000-0000-000012180000}"/>
    <cellStyle name="표준 20 2 5 3 4" xfId="5168" xr:uid="{00000000-0005-0000-0000-000013180000}"/>
    <cellStyle name="표준 20 2 5 3 4 2" xfId="7074" xr:uid="{00000000-0005-0000-0000-000014180000}"/>
    <cellStyle name="표준 20 2 5 3 4 2 2" xfId="9597" xr:uid="{00000000-0005-0000-0000-000015180000}"/>
    <cellStyle name="표준 20 2 5 3 4 3" xfId="7915" xr:uid="{00000000-0005-0000-0000-000016180000}"/>
    <cellStyle name="표준 20 2 5 3 4 4" xfId="8757" xr:uid="{00000000-0005-0000-0000-000017180000}"/>
    <cellStyle name="표준 20 2 5 3 4 5" xfId="6227" xr:uid="{00000000-0005-0000-0000-000018180000}"/>
    <cellStyle name="표준 20 2 5 3 5" xfId="7071" xr:uid="{00000000-0005-0000-0000-000019180000}"/>
    <cellStyle name="표준 20 2 5 3 5 2" xfId="9594" xr:uid="{00000000-0005-0000-0000-00001A180000}"/>
    <cellStyle name="표준 20 2 5 3 6" xfId="7912" xr:uid="{00000000-0005-0000-0000-00001B180000}"/>
    <cellStyle name="표준 20 2 5 3 7" xfId="8754" xr:uid="{00000000-0005-0000-0000-00001C180000}"/>
    <cellStyle name="표준 20 2 5 3 8" xfId="6224" xr:uid="{00000000-0005-0000-0000-00001D180000}"/>
    <cellStyle name="표준 20 2 5 4" xfId="5169" xr:uid="{00000000-0005-0000-0000-00001E180000}"/>
    <cellStyle name="표준 20 2 5 4 2" xfId="7075" xr:uid="{00000000-0005-0000-0000-00001F180000}"/>
    <cellStyle name="표준 20 2 5 4 2 2" xfId="9598" xr:uid="{00000000-0005-0000-0000-000020180000}"/>
    <cellStyle name="표준 20 2 5 4 3" xfId="7916" xr:uid="{00000000-0005-0000-0000-000021180000}"/>
    <cellStyle name="표준 20 2 5 4 4" xfId="8758" xr:uid="{00000000-0005-0000-0000-000022180000}"/>
    <cellStyle name="표준 20 2 5 4 5" xfId="6228" xr:uid="{00000000-0005-0000-0000-000023180000}"/>
    <cellStyle name="표준 20 2 5 5" xfId="5170" xr:uid="{00000000-0005-0000-0000-000024180000}"/>
    <cellStyle name="표준 20 2 5 5 2" xfId="7076" xr:uid="{00000000-0005-0000-0000-000025180000}"/>
    <cellStyle name="표준 20 2 5 5 2 2" xfId="9599" xr:uid="{00000000-0005-0000-0000-000026180000}"/>
    <cellStyle name="표준 20 2 5 5 3" xfId="7917" xr:uid="{00000000-0005-0000-0000-000027180000}"/>
    <cellStyle name="표준 20 2 5 5 4" xfId="8759" xr:uid="{00000000-0005-0000-0000-000028180000}"/>
    <cellStyle name="표준 20 2 5 5 5" xfId="6229" xr:uid="{00000000-0005-0000-0000-000029180000}"/>
    <cellStyle name="표준 20 2 5 6" xfId="5171" xr:uid="{00000000-0005-0000-0000-00002A180000}"/>
    <cellStyle name="표준 20 2 5 6 2" xfId="7077" xr:uid="{00000000-0005-0000-0000-00002B180000}"/>
    <cellStyle name="표준 20 2 5 6 2 2" xfId="9600" xr:uid="{00000000-0005-0000-0000-00002C180000}"/>
    <cellStyle name="표준 20 2 5 6 3" xfId="7918" xr:uid="{00000000-0005-0000-0000-00002D180000}"/>
    <cellStyle name="표준 20 2 5 6 4" xfId="8760" xr:uid="{00000000-0005-0000-0000-00002E180000}"/>
    <cellStyle name="표준 20 2 5 6 5" xfId="6230" xr:uid="{00000000-0005-0000-0000-00002F180000}"/>
    <cellStyle name="표준 20 2 5 7" xfId="7062" xr:uid="{00000000-0005-0000-0000-000030180000}"/>
    <cellStyle name="표준 20 2 5 7 2" xfId="9585" xr:uid="{00000000-0005-0000-0000-000031180000}"/>
    <cellStyle name="표준 20 2 5 8" xfId="7903" xr:uid="{00000000-0005-0000-0000-000032180000}"/>
    <cellStyle name="표준 20 2 5 9" xfId="8745" xr:uid="{00000000-0005-0000-0000-000033180000}"/>
    <cellStyle name="표준 20 2 6" xfId="5172" xr:uid="{00000000-0005-0000-0000-000034180000}"/>
    <cellStyle name="표준 20 2 6 2" xfId="5173" xr:uid="{00000000-0005-0000-0000-000035180000}"/>
    <cellStyle name="표준 20 2 6 2 2" xfId="5174" xr:uid="{00000000-0005-0000-0000-000036180000}"/>
    <cellStyle name="표준 20 2 6 2 2 2" xfId="7080" xr:uid="{00000000-0005-0000-0000-000037180000}"/>
    <cellStyle name="표준 20 2 6 2 2 2 2" xfId="9603" xr:uid="{00000000-0005-0000-0000-000038180000}"/>
    <cellStyle name="표준 20 2 6 2 2 3" xfId="7921" xr:uid="{00000000-0005-0000-0000-000039180000}"/>
    <cellStyle name="표준 20 2 6 2 2 4" xfId="8763" xr:uid="{00000000-0005-0000-0000-00003A180000}"/>
    <cellStyle name="표준 20 2 6 2 2 5" xfId="6233" xr:uid="{00000000-0005-0000-0000-00003B180000}"/>
    <cellStyle name="표준 20 2 6 2 3" xfId="5175" xr:uid="{00000000-0005-0000-0000-00003C180000}"/>
    <cellStyle name="표준 20 2 6 2 3 2" xfId="7081" xr:uid="{00000000-0005-0000-0000-00003D180000}"/>
    <cellStyle name="표준 20 2 6 2 3 2 2" xfId="9604" xr:uid="{00000000-0005-0000-0000-00003E180000}"/>
    <cellStyle name="표준 20 2 6 2 3 3" xfId="7922" xr:uid="{00000000-0005-0000-0000-00003F180000}"/>
    <cellStyle name="표준 20 2 6 2 3 4" xfId="8764" xr:uid="{00000000-0005-0000-0000-000040180000}"/>
    <cellStyle name="표준 20 2 6 2 3 5" xfId="6234" xr:uid="{00000000-0005-0000-0000-000041180000}"/>
    <cellStyle name="표준 20 2 6 2 4" xfId="5176" xr:uid="{00000000-0005-0000-0000-000042180000}"/>
    <cellStyle name="표준 20 2 6 2 4 2" xfId="7082" xr:uid="{00000000-0005-0000-0000-000043180000}"/>
    <cellStyle name="표준 20 2 6 2 4 2 2" xfId="9605" xr:uid="{00000000-0005-0000-0000-000044180000}"/>
    <cellStyle name="표준 20 2 6 2 4 3" xfId="7923" xr:uid="{00000000-0005-0000-0000-000045180000}"/>
    <cellStyle name="표준 20 2 6 2 4 4" xfId="8765" xr:uid="{00000000-0005-0000-0000-000046180000}"/>
    <cellStyle name="표준 20 2 6 2 4 5" xfId="6235" xr:uid="{00000000-0005-0000-0000-000047180000}"/>
    <cellStyle name="표준 20 2 6 2 5" xfId="7079" xr:uid="{00000000-0005-0000-0000-000048180000}"/>
    <cellStyle name="표준 20 2 6 2 5 2" xfId="9602" xr:uid="{00000000-0005-0000-0000-000049180000}"/>
    <cellStyle name="표준 20 2 6 2 6" xfId="7920" xr:uid="{00000000-0005-0000-0000-00004A180000}"/>
    <cellStyle name="표준 20 2 6 2 7" xfId="8762" xr:uid="{00000000-0005-0000-0000-00004B180000}"/>
    <cellStyle name="표준 20 2 6 2 8" xfId="6232" xr:uid="{00000000-0005-0000-0000-00004C180000}"/>
    <cellStyle name="표준 20 2 6 3" xfId="5177" xr:uid="{00000000-0005-0000-0000-00004D180000}"/>
    <cellStyle name="표준 20 2 6 3 2" xfId="7083" xr:uid="{00000000-0005-0000-0000-00004E180000}"/>
    <cellStyle name="표준 20 2 6 3 2 2" xfId="9606" xr:uid="{00000000-0005-0000-0000-00004F180000}"/>
    <cellStyle name="표준 20 2 6 3 3" xfId="7924" xr:uid="{00000000-0005-0000-0000-000050180000}"/>
    <cellStyle name="표준 20 2 6 3 4" xfId="8766" xr:uid="{00000000-0005-0000-0000-000051180000}"/>
    <cellStyle name="표준 20 2 6 3 5" xfId="6236" xr:uid="{00000000-0005-0000-0000-000052180000}"/>
    <cellStyle name="표준 20 2 6 4" xfId="5178" xr:uid="{00000000-0005-0000-0000-000053180000}"/>
    <cellStyle name="표준 20 2 6 4 2" xfId="7084" xr:uid="{00000000-0005-0000-0000-000054180000}"/>
    <cellStyle name="표준 20 2 6 4 2 2" xfId="9607" xr:uid="{00000000-0005-0000-0000-000055180000}"/>
    <cellStyle name="표준 20 2 6 4 3" xfId="7925" xr:uid="{00000000-0005-0000-0000-000056180000}"/>
    <cellStyle name="표준 20 2 6 4 4" xfId="8767" xr:uid="{00000000-0005-0000-0000-000057180000}"/>
    <cellStyle name="표준 20 2 6 4 5" xfId="6237" xr:uid="{00000000-0005-0000-0000-000058180000}"/>
    <cellStyle name="표준 20 2 6 5" xfId="5179" xr:uid="{00000000-0005-0000-0000-000059180000}"/>
    <cellStyle name="표준 20 2 6 5 2" xfId="7085" xr:uid="{00000000-0005-0000-0000-00005A180000}"/>
    <cellStyle name="표준 20 2 6 5 2 2" xfId="9608" xr:uid="{00000000-0005-0000-0000-00005B180000}"/>
    <cellStyle name="표준 20 2 6 5 3" xfId="7926" xr:uid="{00000000-0005-0000-0000-00005C180000}"/>
    <cellStyle name="표준 20 2 6 5 4" xfId="8768" xr:uid="{00000000-0005-0000-0000-00005D180000}"/>
    <cellStyle name="표준 20 2 6 5 5" xfId="6238" xr:uid="{00000000-0005-0000-0000-00005E180000}"/>
    <cellStyle name="표준 20 2 6 6" xfId="7078" xr:uid="{00000000-0005-0000-0000-00005F180000}"/>
    <cellStyle name="표준 20 2 6 6 2" xfId="9601" xr:uid="{00000000-0005-0000-0000-000060180000}"/>
    <cellStyle name="표준 20 2 6 7" xfId="7919" xr:uid="{00000000-0005-0000-0000-000061180000}"/>
    <cellStyle name="표준 20 2 6 8" xfId="8761" xr:uid="{00000000-0005-0000-0000-000062180000}"/>
    <cellStyle name="표준 20 2 6 9" xfId="6231" xr:uid="{00000000-0005-0000-0000-000063180000}"/>
    <cellStyle name="표준 20 2 7" xfId="5180" xr:uid="{00000000-0005-0000-0000-000064180000}"/>
    <cellStyle name="표준 20 2 7 2" xfId="5181" xr:uid="{00000000-0005-0000-0000-000065180000}"/>
    <cellStyle name="표준 20 2 7 2 2" xfId="7087" xr:uid="{00000000-0005-0000-0000-000066180000}"/>
    <cellStyle name="표준 20 2 7 2 2 2" xfId="9610" xr:uid="{00000000-0005-0000-0000-000067180000}"/>
    <cellStyle name="표준 20 2 7 2 3" xfId="7928" xr:uid="{00000000-0005-0000-0000-000068180000}"/>
    <cellStyle name="표준 20 2 7 2 4" xfId="8770" xr:uid="{00000000-0005-0000-0000-000069180000}"/>
    <cellStyle name="표준 20 2 7 2 5" xfId="6240" xr:uid="{00000000-0005-0000-0000-00006A180000}"/>
    <cellStyle name="표준 20 2 7 3" xfId="5182" xr:uid="{00000000-0005-0000-0000-00006B180000}"/>
    <cellStyle name="표준 20 2 7 3 2" xfId="7088" xr:uid="{00000000-0005-0000-0000-00006C180000}"/>
    <cellStyle name="표준 20 2 7 3 2 2" xfId="9611" xr:uid="{00000000-0005-0000-0000-00006D180000}"/>
    <cellStyle name="표준 20 2 7 3 3" xfId="7929" xr:uid="{00000000-0005-0000-0000-00006E180000}"/>
    <cellStyle name="표준 20 2 7 3 4" xfId="8771" xr:uid="{00000000-0005-0000-0000-00006F180000}"/>
    <cellStyle name="표준 20 2 7 3 5" xfId="6241" xr:uid="{00000000-0005-0000-0000-000070180000}"/>
    <cellStyle name="표준 20 2 7 4" xfId="5183" xr:uid="{00000000-0005-0000-0000-000071180000}"/>
    <cellStyle name="표준 20 2 7 4 2" xfId="7089" xr:uid="{00000000-0005-0000-0000-000072180000}"/>
    <cellStyle name="표준 20 2 7 4 2 2" xfId="9612" xr:uid="{00000000-0005-0000-0000-000073180000}"/>
    <cellStyle name="표준 20 2 7 4 3" xfId="7930" xr:uid="{00000000-0005-0000-0000-000074180000}"/>
    <cellStyle name="표준 20 2 7 4 4" xfId="8772" xr:uid="{00000000-0005-0000-0000-000075180000}"/>
    <cellStyle name="표준 20 2 7 4 5" xfId="6242" xr:uid="{00000000-0005-0000-0000-000076180000}"/>
    <cellStyle name="표준 20 2 7 5" xfId="7086" xr:uid="{00000000-0005-0000-0000-000077180000}"/>
    <cellStyle name="표준 20 2 7 5 2" xfId="9609" xr:uid="{00000000-0005-0000-0000-000078180000}"/>
    <cellStyle name="표준 20 2 7 6" xfId="7927" xr:uid="{00000000-0005-0000-0000-000079180000}"/>
    <cellStyle name="표준 20 2 7 7" xfId="8769" xr:uid="{00000000-0005-0000-0000-00007A180000}"/>
    <cellStyle name="표준 20 2 7 8" xfId="6239" xr:uid="{00000000-0005-0000-0000-00007B180000}"/>
    <cellStyle name="표준 20 2 8" xfId="5184" xr:uid="{00000000-0005-0000-0000-00007C180000}"/>
    <cellStyle name="표준 20 2 8 2" xfId="7090" xr:uid="{00000000-0005-0000-0000-00007D180000}"/>
    <cellStyle name="표준 20 2 8 2 2" xfId="9613" xr:uid="{00000000-0005-0000-0000-00007E180000}"/>
    <cellStyle name="표준 20 2 8 3" xfId="7931" xr:uid="{00000000-0005-0000-0000-00007F180000}"/>
    <cellStyle name="표준 20 2 8 4" xfId="8773" xr:uid="{00000000-0005-0000-0000-000080180000}"/>
    <cellStyle name="표준 20 2 8 5" xfId="6243" xr:uid="{00000000-0005-0000-0000-000081180000}"/>
    <cellStyle name="표준 20 2 9" xfId="5185" xr:uid="{00000000-0005-0000-0000-000082180000}"/>
    <cellStyle name="표준 20 2 9 2" xfId="7091" xr:uid="{00000000-0005-0000-0000-000083180000}"/>
    <cellStyle name="표준 20 2 9 2 2" xfId="9614" xr:uid="{00000000-0005-0000-0000-000084180000}"/>
    <cellStyle name="표준 20 2 9 3" xfId="7932" xr:uid="{00000000-0005-0000-0000-000085180000}"/>
    <cellStyle name="표준 20 2 9 4" xfId="8774" xr:uid="{00000000-0005-0000-0000-000086180000}"/>
    <cellStyle name="표준 20 2 9 5" xfId="6244" xr:uid="{00000000-0005-0000-0000-000087180000}"/>
    <cellStyle name="표준 20 3" xfId="5186" xr:uid="{00000000-0005-0000-0000-000088180000}"/>
    <cellStyle name="표준 20 3 10" xfId="7933" xr:uid="{00000000-0005-0000-0000-000089180000}"/>
    <cellStyle name="표준 20 3 11" xfId="8775" xr:uid="{00000000-0005-0000-0000-00008A180000}"/>
    <cellStyle name="표준 20 3 12" xfId="6245" xr:uid="{00000000-0005-0000-0000-00008B180000}"/>
    <cellStyle name="표준 20 3 2" xfId="5187" xr:uid="{00000000-0005-0000-0000-00008C180000}"/>
    <cellStyle name="표준 20 3 2 10" xfId="6246" xr:uid="{00000000-0005-0000-0000-00008D180000}"/>
    <cellStyle name="표준 20 3 2 2" xfId="5188" xr:uid="{00000000-0005-0000-0000-00008E180000}"/>
    <cellStyle name="표준 20 3 2 2 2" xfId="5189" xr:uid="{00000000-0005-0000-0000-00008F180000}"/>
    <cellStyle name="표준 20 3 2 2 2 2" xfId="5190" xr:uid="{00000000-0005-0000-0000-000090180000}"/>
    <cellStyle name="표준 20 3 2 2 2 2 2" xfId="7096" xr:uid="{00000000-0005-0000-0000-000091180000}"/>
    <cellStyle name="표준 20 3 2 2 2 2 2 2" xfId="9619" xr:uid="{00000000-0005-0000-0000-000092180000}"/>
    <cellStyle name="표준 20 3 2 2 2 2 3" xfId="7937" xr:uid="{00000000-0005-0000-0000-000093180000}"/>
    <cellStyle name="표준 20 3 2 2 2 2 4" xfId="8779" xr:uid="{00000000-0005-0000-0000-000094180000}"/>
    <cellStyle name="표준 20 3 2 2 2 2 5" xfId="6249" xr:uid="{00000000-0005-0000-0000-000095180000}"/>
    <cellStyle name="표준 20 3 2 2 2 3" xfId="5191" xr:uid="{00000000-0005-0000-0000-000096180000}"/>
    <cellStyle name="표준 20 3 2 2 2 3 2" xfId="7097" xr:uid="{00000000-0005-0000-0000-000097180000}"/>
    <cellStyle name="표준 20 3 2 2 2 3 2 2" xfId="9620" xr:uid="{00000000-0005-0000-0000-000098180000}"/>
    <cellStyle name="표준 20 3 2 2 2 3 3" xfId="7938" xr:uid="{00000000-0005-0000-0000-000099180000}"/>
    <cellStyle name="표준 20 3 2 2 2 3 4" xfId="8780" xr:uid="{00000000-0005-0000-0000-00009A180000}"/>
    <cellStyle name="표준 20 3 2 2 2 3 5" xfId="6250" xr:uid="{00000000-0005-0000-0000-00009B180000}"/>
    <cellStyle name="표준 20 3 2 2 2 4" xfId="5192" xr:uid="{00000000-0005-0000-0000-00009C180000}"/>
    <cellStyle name="표준 20 3 2 2 2 4 2" xfId="7098" xr:uid="{00000000-0005-0000-0000-00009D180000}"/>
    <cellStyle name="표준 20 3 2 2 2 4 2 2" xfId="9621" xr:uid="{00000000-0005-0000-0000-00009E180000}"/>
    <cellStyle name="표준 20 3 2 2 2 4 3" xfId="7939" xr:uid="{00000000-0005-0000-0000-00009F180000}"/>
    <cellStyle name="표준 20 3 2 2 2 4 4" xfId="8781" xr:uid="{00000000-0005-0000-0000-0000A0180000}"/>
    <cellStyle name="표준 20 3 2 2 2 4 5" xfId="6251" xr:uid="{00000000-0005-0000-0000-0000A1180000}"/>
    <cellStyle name="표준 20 3 2 2 2 5" xfId="7095" xr:uid="{00000000-0005-0000-0000-0000A2180000}"/>
    <cellStyle name="표준 20 3 2 2 2 5 2" xfId="9618" xr:uid="{00000000-0005-0000-0000-0000A3180000}"/>
    <cellStyle name="표준 20 3 2 2 2 6" xfId="7936" xr:uid="{00000000-0005-0000-0000-0000A4180000}"/>
    <cellStyle name="표준 20 3 2 2 2 7" xfId="8778" xr:uid="{00000000-0005-0000-0000-0000A5180000}"/>
    <cellStyle name="표준 20 3 2 2 2 8" xfId="6248" xr:uid="{00000000-0005-0000-0000-0000A6180000}"/>
    <cellStyle name="표준 20 3 2 2 3" xfId="5193" xr:uid="{00000000-0005-0000-0000-0000A7180000}"/>
    <cellStyle name="표준 20 3 2 2 3 2" xfId="7099" xr:uid="{00000000-0005-0000-0000-0000A8180000}"/>
    <cellStyle name="표준 20 3 2 2 3 2 2" xfId="9622" xr:uid="{00000000-0005-0000-0000-0000A9180000}"/>
    <cellStyle name="표준 20 3 2 2 3 3" xfId="7940" xr:uid="{00000000-0005-0000-0000-0000AA180000}"/>
    <cellStyle name="표준 20 3 2 2 3 4" xfId="8782" xr:uid="{00000000-0005-0000-0000-0000AB180000}"/>
    <cellStyle name="표준 20 3 2 2 3 5" xfId="6252" xr:uid="{00000000-0005-0000-0000-0000AC180000}"/>
    <cellStyle name="표준 20 3 2 2 4" xfId="5194" xr:uid="{00000000-0005-0000-0000-0000AD180000}"/>
    <cellStyle name="표준 20 3 2 2 4 2" xfId="7100" xr:uid="{00000000-0005-0000-0000-0000AE180000}"/>
    <cellStyle name="표준 20 3 2 2 4 2 2" xfId="9623" xr:uid="{00000000-0005-0000-0000-0000AF180000}"/>
    <cellStyle name="표준 20 3 2 2 4 3" xfId="7941" xr:uid="{00000000-0005-0000-0000-0000B0180000}"/>
    <cellStyle name="표준 20 3 2 2 4 4" xfId="8783" xr:uid="{00000000-0005-0000-0000-0000B1180000}"/>
    <cellStyle name="표준 20 3 2 2 4 5" xfId="6253" xr:uid="{00000000-0005-0000-0000-0000B2180000}"/>
    <cellStyle name="표준 20 3 2 2 5" xfId="5195" xr:uid="{00000000-0005-0000-0000-0000B3180000}"/>
    <cellStyle name="표준 20 3 2 2 5 2" xfId="7101" xr:uid="{00000000-0005-0000-0000-0000B4180000}"/>
    <cellStyle name="표준 20 3 2 2 5 2 2" xfId="9624" xr:uid="{00000000-0005-0000-0000-0000B5180000}"/>
    <cellStyle name="표준 20 3 2 2 5 3" xfId="7942" xr:uid="{00000000-0005-0000-0000-0000B6180000}"/>
    <cellStyle name="표준 20 3 2 2 5 4" xfId="8784" xr:uid="{00000000-0005-0000-0000-0000B7180000}"/>
    <cellStyle name="표준 20 3 2 2 5 5" xfId="6254" xr:uid="{00000000-0005-0000-0000-0000B8180000}"/>
    <cellStyle name="표준 20 3 2 2 6" xfId="7094" xr:uid="{00000000-0005-0000-0000-0000B9180000}"/>
    <cellStyle name="표준 20 3 2 2 6 2" xfId="9617" xr:uid="{00000000-0005-0000-0000-0000BA180000}"/>
    <cellStyle name="표준 20 3 2 2 7" xfId="7935" xr:uid="{00000000-0005-0000-0000-0000BB180000}"/>
    <cellStyle name="표준 20 3 2 2 8" xfId="8777" xr:uid="{00000000-0005-0000-0000-0000BC180000}"/>
    <cellStyle name="표준 20 3 2 2 9" xfId="6247" xr:uid="{00000000-0005-0000-0000-0000BD180000}"/>
    <cellStyle name="표준 20 3 2 3" xfId="5196" xr:uid="{00000000-0005-0000-0000-0000BE180000}"/>
    <cellStyle name="표준 20 3 2 3 2" xfId="5197" xr:uid="{00000000-0005-0000-0000-0000BF180000}"/>
    <cellStyle name="표준 20 3 2 3 2 2" xfId="7103" xr:uid="{00000000-0005-0000-0000-0000C0180000}"/>
    <cellStyle name="표준 20 3 2 3 2 2 2" xfId="9626" xr:uid="{00000000-0005-0000-0000-0000C1180000}"/>
    <cellStyle name="표준 20 3 2 3 2 3" xfId="7944" xr:uid="{00000000-0005-0000-0000-0000C2180000}"/>
    <cellStyle name="표준 20 3 2 3 2 4" xfId="8786" xr:uid="{00000000-0005-0000-0000-0000C3180000}"/>
    <cellStyle name="표준 20 3 2 3 2 5" xfId="6256" xr:uid="{00000000-0005-0000-0000-0000C4180000}"/>
    <cellStyle name="표준 20 3 2 3 3" xfId="5198" xr:uid="{00000000-0005-0000-0000-0000C5180000}"/>
    <cellStyle name="표준 20 3 2 3 3 2" xfId="7104" xr:uid="{00000000-0005-0000-0000-0000C6180000}"/>
    <cellStyle name="표준 20 3 2 3 3 2 2" xfId="9627" xr:uid="{00000000-0005-0000-0000-0000C7180000}"/>
    <cellStyle name="표준 20 3 2 3 3 3" xfId="7945" xr:uid="{00000000-0005-0000-0000-0000C8180000}"/>
    <cellStyle name="표준 20 3 2 3 3 4" xfId="8787" xr:uid="{00000000-0005-0000-0000-0000C9180000}"/>
    <cellStyle name="표준 20 3 2 3 3 5" xfId="6257" xr:uid="{00000000-0005-0000-0000-0000CA180000}"/>
    <cellStyle name="표준 20 3 2 3 4" xfId="5199" xr:uid="{00000000-0005-0000-0000-0000CB180000}"/>
    <cellStyle name="표준 20 3 2 3 4 2" xfId="7105" xr:uid="{00000000-0005-0000-0000-0000CC180000}"/>
    <cellStyle name="표준 20 3 2 3 4 2 2" xfId="9628" xr:uid="{00000000-0005-0000-0000-0000CD180000}"/>
    <cellStyle name="표준 20 3 2 3 4 3" xfId="7946" xr:uid="{00000000-0005-0000-0000-0000CE180000}"/>
    <cellStyle name="표준 20 3 2 3 4 4" xfId="8788" xr:uid="{00000000-0005-0000-0000-0000CF180000}"/>
    <cellStyle name="표준 20 3 2 3 4 5" xfId="6258" xr:uid="{00000000-0005-0000-0000-0000D0180000}"/>
    <cellStyle name="표준 20 3 2 3 5" xfId="7102" xr:uid="{00000000-0005-0000-0000-0000D1180000}"/>
    <cellStyle name="표준 20 3 2 3 5 2" xfId="9625" xr:uid="{00000000-0005-0000-0000-0000D2180000}"/>
    <cellStyle name="표준 20 3 2 3 6" xfId="7943" xr:uid="{00000000-0005-0000-0000-0000D3180000}"/>
    <cellStyle name="표준 20 3 2 3 7" xfId="8785" xr:uid="{00000000-0005-0000-0000-0000D4180000}"/>
    <cellStyle name="표준 20 3 2 3 8" xfId="6255" xr:uid="{00000000-0005-0000-0000-0000D5180000}"/>
    <cellStyle name="표준 20 3 2 4" xfId="5200" xr:uid="{00000000-0005-0000-0000-0000D6180000}"/>
    <cellStyle name="표준 20 3 2 4 2" xfId="7106" xr:uid="{00000000-0005-0000-0000-0000D7180000}"/>
    <cellStyle name="표준 20 3 2 4 2 2" xfId="9629" xr:uid="{00000000-0005-0000-0000-0000D8180000}"/>
    <cellStyle name="표준 20 3 2 4 3" xfId="7947" xr:uid="{00000000-0005-0000-0000-0000D9180000}"/>
    <cellStyle name="표준 20 3 2 4 4" xfId="8789" xr:uid="{00000000-0005-0000-0000-0000DA180000}"/>
    <cellStyle name="표준 20 3 2 4 5" xfId="6259" xr:uid="{00000000-0005-0000-0000-0000DB180000}"/>
    <cellStyle name="표준 20 3 2 5" xfId="5201" xr:uid="{00000000-0005-0000-0000-0000DC180000}"/>
    <cellStyle name="표준 20 3 2 5 2" xfId="7107" xr:uid="{00000000-0005-0000-0000-0000DD180000}"/>
    <cellStyle name="표준 20 3 2 5 2 2" xfId="9630" xr:uid="{00000000-0005-0000-0000-0000DE180000}"/>
    <cellStyle name="표준 20 3 2 5 3" xfId="7948" xr:uid="{00000000-0005-0000-0000-0000DF180000}"/>
    <cellStyle name="표준 20 3 2 5 4" xfId="8790" xr:uid="{00000000-0005-0000-0000-0000E0180000}"/>
    <cellStyle name="표준 20 3 2 5 5" xfId="6260" xr:uid="{00000000-0005-0000-0000-0000E1180000}"/>
    <cellStyle name="표준 20 3 2 6" xfId="5202" xr:uid="{00000000-0005-0000-0000-0000E2180000}"/>
    <cellStyle name="표준 20 3 2 6 2" xfId="7108" xr:uid="{00000000-0005-0000-0000-0000E3180000}"/>
    <cellStyle name="표준 20 3 2 6 2 2" xfId="9631" xr:uid="{00000000-0005-0000-0000-0000E4180000}"/>
    <cellStyle name="표준 20 3 2 6 3" xfId="7949" xr:uid="{00000000-0005-0000-0000-0000E5180000}"/>
    <cellStyle name="표준 20 3 2 6 4" xfId="8791" xr:uid="{00000000-0005-0000-0000-0000E6180000}"/>
    <cellStyle name="표준 20 3 2 6 5" xfId="6261" xr:uid="{00000000-0005-0000-0000-0000E7180000}"/>
    <cellStyle name="표준 20 3 2 7" xfId="7093" xr:uid="{00000000-0005-0000-0000-0000E8180000}"/>
    <cellStyle name="표준 20 3 2 7 2" xfId="9616" xr:uid="{00000000-0005-0000-0000-0000E9180000}"/>
    <cellStyle name="표준 20 3 2 8" xfId="7934" xr:uid="{00000000-0005-0000-0000-0000EA180000}"/>
    <cellStyle name="표준 20 3 2 9" xfId="8776" xr:uid="{00000000-0005-0000-0000-0000EB180000}"/>
    <cellStyle name="표준 20 3 3" xfId="5203" xr:uid="{00000000-0005-0000-0000-0000EC180000}"/>
    <cellStyle name="표준 20 3 3 10" xfId="6262" xr:uid="{00000000-0005-0000-0000-0000ED180000}"/>
    <cellStyle name="표준 20 3 3 2" xfId="5204" xr:uid="{00000000-0005-0000-0000-0000EE180000}"/>
    <cellStyle name="표준 20 3 3 2 2" xfId="5205" xr:uid="{00000000-0005-0000-0000-0000EF180000}"/>
    <cellStyle name="표준 20 3 3 2 2 2" xfId="5206" xr:uid="{00000000-0005-0000-0000-0000F0180000}"/>
    <cellStyle name="표준 20 3 3 2 2 2 2" xfId="7112" xr:uid="{00000000-0005-0000-0000-0000F1180000}"/>
    <cellStyle name="표준 20 3 3 2 2 2 2 2" xfId="9635" xr:uid="{00000000-0005-0000-0000-0000F2180000}"/>
    <cellStyle name="표준 20 3 3 2 2 2 3" xfId="7953" xr:uid="{00000000-0005-0000-0000-0000F3180000}"/>
    <cellStyle name="표준 20 3 3 2 2 2 4" xfId="8795" xr:uid="{00000000-0005-0000-0000-0000F4180000}"/>
    <cellStyle name="표준 20 3 3 2 2 2 5" xfId="6265" xr:uid="{00000000-0005-0000-0000-0000F5180000}"/>
    <cellStyle name="표준 20 3 3 2 2 3" xfId="5207" xr:uid="{00000000-0005-0000-0000-0000F6180000}"/>
    <cellStyle name="표준 20 3 3 2 2 3 2" xfId="7113" xr:uid="{00000000-0005-0000-0000-0000F7180000}"/>
    <cellStyle name="표준 20 3 3 2 2 3 2 2" xfId="9636" xr:uid="{00000000-0005-0000-0000-0000F8180000}"/>
    <cellStyle name="표준 20 3 3 2 2 3 3" xfId="7954" xr:uid="{00000000-0005-0000-0000-0000F9180000}"/>
    <cellStyle name="표준 20 3 3 2 2 3 4" xfId="8796" xr:uid="{00000000-0005-0000-0000-0000FA180000}"/>
    <cellStyle name="표준 20 3 3 2 2 3 5" xfId="6266" xr:uid="{00000000-0005-0000-0000-0000FB180000}"/>
    <cellStyle name="표준 20 3 3 2 2 4" xfId="5208" xr:uid="{00000000-0005-0000-0000-0000FC180000}"/>
    <cellStyle name="표준 20 3 3 2 2 4 2" xfId="7114" xr:uid="{00000000-0005-0000-0000-0000FD180000}"/>
    <cellStyle name="표준 20 3 3 2 2 4 2 2" xfId="9637" xr:uid="{00000000-0005-0000-0000-0000FE180000}"/>
    <cellStyle name="표준 20 3 3 2 2 4 3" xfId="7955" xr:uid="{00000000-0005-0000-0000-0000FF180000}"/>
    <cellStyle name="표준 20 3 3 2 2 4 4" xfId="8797" xr:uid="{00000000-0005-0000-0000-000000190000}"/>
    <cellStyle name="표준 20 3 3 2 2 4 5" xfId="6267" xr:uid="{00000000-0005-0000-0000-000001190000}"/>
    <cellStyle name="표준 20 3 3 2 2 5" xfId="7111" xr:uid="{00000000-0005-0000-0000-000002190000}"/>
    <cellStyle name="표준 20 3 3 2 2 5 2" xfId="9634" xr:uid="{00000000-0005-0000-0000-000003190000}"/>
    <cellStyle name="표준 20 3 3 2 2 6" xfId="7952" xr:uid="{00000000-0005-0000-0000-000004190000}"/>
    <cellStyle name="표준 20 3 3 2 2 7" xfId="8794" xr:uid="{00000000-0005-0000-0000-000005190000}"/>
    <cellStyle name="표준 20 3 3 2 2 8" xfId="6264" xr:uid="{00000000-0005-0000-0000-000006190000}"/>
    <cellStyle name="표준 20 3 3 2 3" xfId="5209" xr:uid="{00000000-0005-0000-0000-000007190000}"/>
    <cellStyle name="표준 20 3 3 2 3 2" xfId="7115" xr:uid="{00000000-0005-0000-0000-000008190000}"/>
    <cellStyle name="표준 20 3 3 2 3 2 2" xfId="9638" xr:uid="{00000000-0005-0000-0000-000009190000}"/>
    <cellStyle name="표준 20 3 3 2 3 3" xfId="7956" xr:uid="{00000000-0005-0000-0000-00000A190000}"/>
    <cellStyle name="표준 20 3 3 2 3 4" xfId="8798" xr:uid="{00000000-0005-0000-0000-00000B190000}"/>
    <cellStyle name="표준 20 3 3 2 3 5" xfId="6268" xr:uid="{00000000-0005-0000-0000-00000C190000}"/>
    <cellStyle name="표준 20 3 3 2 4" xfId="5210" xr:uid="{00000000-0005-0000-0000-00000D190000}"/>
    <cellStyle name="표준 20 3 3 2 4 2" xfId="7116" xr:uid="{00000000-0005-0000-0000-00000E190000}"/>
    <cellStyle name="표준 20 3 3 2 4 2 2" xfId="9639" xr:uid="{00000000-0005-0000-0000-00000F190000}"/>
    <cellStyle name="표준 20 3 3 2 4 3" xfId="7957" xr:uid="{00000000-0005-0000-0000-000010190000}"/>
    <cellStyle name="표준 20 3 3 2 4 4" xfId="8799" xr:uid="{00000000-0005-0000-0000-000011190000}"/>
    <cellStyle name="표준 20 3 3 2 4 5" xfId="6269" xr:uid="{00000000-0005-0000-0000-000012190000}"/>
    <cellStyle name="표준 20 3 3 2 5" xfId="5211" xr:uid="{00000000-0005-0000-0000-000013190000}"/>
    <cellStyle name="표준 20 3 3 2 5 2" xfId="7117" xr:uid="{00000000-0005-0000-0000-000014190000}"/>
    <cellStyle name="표준 20 3 3 2 5 2 2" xfId="9640" xr:uid="{00000000-0005-0000-0000-000015190000}"/>
    <cellStyle name="표준 20 3 3 2 5 3" xfId="7958" xr:uid="{00000000-0005-0000-0000-000016190000}"/>
    <cellStyle name="표준 20 3 3 2 5 4" xfId="8800" xr:uid="{00000000-0005-0000-0000-000017190000}"/>
    <cellStyle name="표준 20 3 3 2 5 5" xfId="6270" xr:uid="{00000000-0005-0000-0000-000018190000}"/>
    <cellStyle name="표준 20 3 3 2 6" xfId="7110" xr:uid="{00000000-0005-0000-0000-000019190000}"/>
    <cellStyle name="표준 20 3 3 2 6 2" xfId="9633" xr:uid="{00000000-0005-0000-0000-00001A190000}"/>
    <cellStyle name="표준 20 3 3 2 7" xfId="7951" xr:uid="{00000000-0005-0000-0000-00001B190000}"/>
    <cellStyle name="표준 20 3 3 2 8" xfId="8793" xr:uid="{00000000-0005-0000-0000-00001C190000}"/>
    <cellStyle name="표준 20 3 3 2 9" xfId="6263" xr:uid="{00000000-0005-0000-0000-00001D190000}"/>
    <cellStyle name="표준 20 3 3 3" xfId="5212" xr:uid="{00000000-0005-0000-0000-00001E190000}"/>
    <cellStyle name="표준 20 3 3 3 2" xfId="5213" xr:uid="{00000000-0005-0000-0000-00001F190000}"/>
    <cellStyle name="표준 20 3 3 3 2 2" xfId="7119" xr:uid="{00000000-0005-0000-0000-000020190000}"/>
    <cellStyle name="표준 20 3 3 3 2 2 2" xfId="9642" xr:uid="{00000000-0005-0000-0000-000021190000}"/>
    <cellStyle name="표준 20 3 3 3 2 3" xfId="7960" xr:uid="{00000000-0005-0000-0000-000022190000}"/>
    <cellStyle name="표준 20 3 3 3 2 4" xfId="8802" xr:uid="{00000000-0005-0000-0000-000023190000}"/>
    <cellStyle name="표준 20 3 3 3 2 5" xfId="6272" xr:uid="{00000000-0005-0000-0000-000024190000}"/>
    <cellStyle name="표준 20 3 3 3 3" xfId="5214" xr:uid="{00000000-0005-0000-0000-000025190000}"/>
    <cellStyle name="표준 20 3 3 3 3 2" xfId="7120" xr:uid="{00000000-0005-0000-0000-000026190000}"/>
    <cellStyle name="표준 20 3 3 3 3 2 2" xfId="9643" xr:uid="{00000000-0005-0000-0000-000027190000}"/>
    <cellStyle name="표준 20 3 3 3 3 3" xfId="7961" xr:uid="{00000000-0005-0000-0000-000028190000}"/>
    <cellStyle name="표준 20 3 3 3 3 4" xfId="8803" xr:uid="{00000000-0005-0000-0000-000029190000}"/>
    <cellStyle name="표준 20 3 3 3 3 5" xfId="6273" xr:uid="{00000000-0005-0000-0000-00002A190000}"/>
    <cellStyle name="표준 20 3 3 3 4" xfId="5215" xr:uid="{00000000-0005-0000-0000-00002B190000}"/>
    <cellStyle name="표준 20 3 3 3 4 2" xfId="7121" xr:uid="{00000000-0005-0000-0000-00002C190000}"/>
    <cellStyle name="표준 20 3 3 3 4 2 2" xfId="9644" xr:uid="{00000000-0005-0000-0000-00002D190000}"/>
    <cellStyle name="표준 20 3 3 3 4 3" xfId="7962" xr:uid="{00000000-0005-0000-0000-00002E190000}"/>
    <cellStyle name="표준 20 3 3 3 4 4" xfId="8804" xr:uid="{00000000-0005-0000-0000-00002F190000}"/>
    <cellStyle name="표준 20 3 3 3 4 5" xfId="6274" xr:uid="{00000000-0005-0000-0000-000030190000}"/>
    <cellStyle name="표준 20 3 3 3 5" xfId="7118" xr:uid="{00000000-0005-0000-0000-000031190000}"/>
    <cellStyle name="표준 20 3 3 3 5 2" xfId="9641" xr:uid="{00000000-0005-0000-0000-000032190000}"/>
    <cellStyle name="표준 20 3 3 3 6" xfId="7959" xr:uid="{00000000-0005-0000-0000-000033190000}"/>
    <cellStyle name="표준 20 3 3 3 7" xfId="8801" xr:uid="{00000000-0005-0000-0000-000034190000}"/>
    <cellStyle name="표준 20 3 3 3 8" xfId="6271" xr:uid="{00000000-0005-0000-0000-000035190000}"/>
    <cellStyle name="표준 20 3 3 4" xfId="5216" xr:uid="{00000000-0005-0000-0000-000036190000}"/>
    <cellStyle name="표준 20 3 3 4 2" xfId="7122" xr:uid="{00000000-0005-0000-0000-000037190000}"/>
    <cellStyle name="표준 20 3 3 4 2 2" xfId="9645" xr:uid="{00000000-0005-0000-0000-000038190000}"/>
    <cellStyle name="표준 20 3 3 4 3" xfId="7963" xr:uid="{00000000-0005-0000-0000-000039190000}"/>
    <cellStyle name="표준 20 3 3 4 4" xfId="8805" xr:uid="{00000000-0005-0000-0000-00003A190000}"/>
    <cellStyle name="표준 20 3 3 4 5" xfId="6275" xr:uid="{00000000-0005-0000-0000-00003B190000}"/>
    <cellStyle name="표준 20 3 3 5" xfId="5217" xr:uid="{00000000-0005-0000-0000-00003C190000}"/>
    <cellStyle name="표준 20 3 3 5 2" xfId="7123" xr:uid="{00000000-0005-0000-0000-00003D190000}"/>
    <cellStyle name="표준 20 3 3 5 2 2" xfId="9646" xr:uid="{00000000-0005-0000-0000-00003E190000}"/>
    <cellStyle name="표준 20 3 3 5 3" xfId="7964" xr:uid="{00000000-0005-0000-0000-00003F190000}"/>
    <cellStyle name="표준 20 3 3 5 4" xfId="8806" xr:uid="{00000000-0005-0000-0000-000040190000}"/>
    <cellStyle name="표준 20 3 3 5 5" xfId="6276" xr:uid="{00000000-0005-0000-0000-000041190000}"/>
    <cellStyle name="표준 20 3 3 6" xfId="5218" xr:uid="{00000000-0005-0000-0000-000042190000}"/>
    <cellStyle name="표준 20 3 3 6 2" xfId="7124" xr:uid="{00000000-0005-0000-0000-000043190000}"/>
    <cellStyle name="표준 20 3 3 6 2 2" xfId="9647" xr:uid="{00000000-0005-0000-0000-000044190000}"/>
    <cellStyle name="표준 20 3 3 6 3" xfId="7965" xr:uid="{00000000-0005-0000-0000-000045190000}"/>
    <cellStyle name="표준 20 3 3 6 4" xfId="8807" xr:uid="{00000000-0005-0000-0000-000046190000}"/>
    <cellStyle name="표준 20 3 3 6 5" xfId="6277" xr:uid="{00000000-0005-0000-0000-000047190000}"/>
    <cellStyle name="표준 20 3 3 7" xfId="7109" xr:uid="{00000000-0005-0000-0000-000048190000}"/>
    <cellStyle name="표준 20 3 3 7 2" xfId="9632" xr:uid="{00000000-0005-0000-0000-000049190000}"/>
    <cellStyle name="표준 20 3 3 8" xfId="7950" xr:uid="{00000000-0005-0000-0000-00004A190000}"/>
    <cellStyle name="표준 20 3 3 9" xfId="8792" xr:uid="{00000000-0005-0000-0000-00004B190000}"/>
    <cellStyle name="표준 20 3 4" xfId="5219" xr:uid="{00000000-0005-0000-0000-00004C190000}"/>
    <cellStyle name="표준 20 3 4 2" xfId="5220" xr:uid="{00000000-0005-0000-0000-00004D190000}"/>
    <cellStyle name="표준 20 3 4 2 2" xfId="5221" xr:uid="{00000000-0005-0000-0000-00004E190000}"/>
    <cellStyle name="표준 20 3 4 2 2 2" xfId="7127" xr:uid="{00000000-0005-0000-0000-00004F190000}"/>
    <cellStyle name="표준 20 3 4 2 2 2 2" xfId="9650" xr:uid="{00000000-0005-0000-0000-000050190000}"/>
    <cellStyle name="표준 20 3 4 2 2 3" xfId="7968" xr:uid="{00000000-0005-0000-0000-000051190000}"/>
    <cellStyle name="표준 20 3 4 2 2 4" xfId="8810" xr:uid="{00000000-0005-0000-0000-000052190000}"/>
    <cellStyle name="표준 20 3 4 2 2 5" xfId="6280" xr:uid="{00000000-0005-0000-0000-000053190000}"/>
    <cellStyle name="표준 20 3 4 2 3" xfId="5222" xr:uid="{00000000-0005-0000-0000-000054190000}"/>
    <cellStyle name="표준 20 3 4 2 3 2" xfId="7128" xr:uid="{00000000-0005-0000-0000-000055190000}"/>
    <cellStyle name="표준 20 3 4 2 3 2 2" xfId="9651" xr:uid="{00000000-0005-0000-0000-000056190000}"/>
    <cellStyle name="표준 20 3 4 2 3 3" xfId="7969" xr:uid="{00000000-0005-0000-0000-000057190000}"/>
    <cellStyle name="표준 20 3 4 2 3 4" xfId="8811" xr:uid="{00000000-0005-0000-0000-000058190000}"/>
    <cellStyle name="표준 20 3 4 2 3 5" xfId="6281" xr:uid="{00000000-0005-0000-0000-000059190000}"/>
    <cellStyle name="표준 20 3 4 2 4" xfId="5223" xr:uid="{00000000-0005-0000-0000-00005A190000}"/>
    <cellStyle name="표준 20 3 4 2 4 2" xfId="7129" xr:uid="{00000000-0005-0000-0000-00005B190000}"/>
    <cellStyle name="표준 20 3 4 2 4 2 2" xfId="9652" xr:uid="{00000000-0005-0000-0000-00005C190000}"/>
    <cellStyle name="표준 20 3 4 2 4 3" xfId="7970" xr:uid="{00000000-0005-0000-0000-00005D190000}"/>
    <cellStyle name="표준 20 3 4 2 4 4" xfId="8812" xr:uid="{00000000-0005-0000-0000-00005E190000}"/>
    <cellStyle name="표준 20 3 4 2 4 5" xfId="6282" xr:uid="{00000000-0005-0000-0000-00005F190000}"/>
    <cellStyle name="표준 20 3 4 2 5" xfId="7126" xr:uid="{00000000-0005-0000-0000-000060190000}"/>
    <cellStyle name="표준 20 3 4 2 5 2" xfId="9649" xr:uid="{00000000-0005-0000-0000-000061190000}"/>
    <cellStyle name="표준 20 3 4 2 6" xfId="7967" xr:uid="{00000000-0005-0000-0000-000062190000}"/>
    <cellStyle name="표준 20 3 4 2 7" xfId="8809" xr:uid="{00000000-0005-0000-0000-000063190000}"/>
    <cellStyle name="표준 20 3 4 2 8" xfId="6279" xr:uid="{00000000-0005-0000-0000-000064190000}"/>
    <cellStyle name="표준 20 3 4 3" xfId="5224" xr:uid="{00000000-0005-0000-0000-000065190000}"/>
    <cellStyle name="표준 20 3 4 3 2" xfId="7130" xr:uid="{00000000-0005-0000-0000-000066190000}"/>
    <cellStyle name="표준 20 3 4 3 2 2" xfId="9653" xr:uid="{00000000-0005-0000-0000-000067190000}"/>
    <cellStyle name="표준 20 3 4 3 3" xfId="7971" xr:uid="{00000000-0005-0000-0000-000068190000}"/>
    <cellStyle name="표준 20 3 4 3 4" xfId="8813" xr:uid="{00000000-0005-0000-0000-000069190000}"/>
    <cellStyle name="표준 20 3 4 3 5" xfId="6283" xr:uid="{00000000-0005-0000-0000-00006A190000}"/>
    <cellStyle name="표준 20 3 4 4" xfId="5225" xr:uid="{00000000-0005-0000-0000-00006B190000}"/>
    <cellStyle name="표준 20 3 4 4 2" xfId="7131" xr:uid="{00000000-0005-0000-0000-00006C190000}"/>
    <cellStyle name="표준 20 3 4 4 2 2" xfId="9654" xr:uid="{00000000-0005-0000-0000-00006D190000}"/>
    <cellStyle name="표준 20 3 4 4 3" xfId="7972" xr:uid="{00000000-0005-0000-0000-00006E190000}"/>
    <cellStyle name="표준 20 3 4 4 4" xfId="8814" xr:uid="{00000000-0005-0000-0000-00006F190000}"/>
    <cellStyle name="표준 20 3 4 4 5" xfId="6284" xr:uid="{00000000-0005-0000-0000-000070190000}"/>
    <cellStyle name="표준 20 3 4 5" xfId="5226" xr:uid="{00000000-0005-0000-0000-000071190000}"/>
    <cellStyle name="표준 20 3 4 5 2" xfId="7132" xr:uid="{00000000-0005-0000-0000-000072190000}"/>
    <cellStyle name="표준 20 3 4 5 2 2" xfId="9655" xr:uid="{00000000-0005-0000-0000-000073190000}"/>
    <cellStyle name="표준 20 3 4 5 3" xfId="7973" xr:uid="{00000000-0005-0000-0000-000074190000}"/>
    <cellStyle name="표준 20 3 4 5 4" xfId="8815" xr:uid="{00000000-0005-0000-0000-000075190000}"/>
    <cellStyle name="표준 20 3 4 5 5" xfId="6285" xr:uid="{00000000-0005-0000-0000-000076190000}"/>
    <cellStyle name="표준 20 3 4 6" xfId="7125" xr:uid="{00000000-0005-0000-0000-000077190000}"/>
    <cellStyle name="표준 20 3 4 6 2" xfId="9648" xr:uid="{00000000-0005-0000-0000-000078190000}"/>
    <cellStyle name="표준 20 3 4 7" xfId="7966" xr:uid="{00000000-0005-0000-0000-000079190000}"/>
    <cellStyle name="표준 20 3 4 8" xfId="8808" xr:uid="{00000000-0005-0000-0000-00007A190000}"/>
    <cellStyle name="표준 20 3 4 9" xfId="6278" xr:uid="{00000000-0005-0000-0000-00007B190000}"/>
    <cellStyle name="표준 20 3 5" xfId="5227" xr:uid="{00000000-0005-0000-0000-00007C190000}"/>
    <cellStyle name="표준 20 3 5 2" xfId="5228" xr:uid="{00000000-0005-0000-0000-00007D190000}"/>
    <cellStyle name="표준 20 3 5 2 2" xfId="7134" xr:uid="{00000000-0005-0000-0000-00007E190000}"/>
    <cellStyle name="표준 20 3 5 2 2 2" xfId="9657" xr:uid="{00000000-0005-0000-0000-00007F190000}"/>
    <cellStyle name="표준 20 3 5 2 3" xfId="7975" xr:uid="{00000000-0005-0000-0000-000080190000}"/>
    <cellStyle name="표준 20 3 5 2 4" xfId="8817" xr:uid="{00000000-0005-0000-0000-000081190000}"/>
    <cellStyle name="표준 20 3 5 2 5" xfId="6287" xr:uid="{00000000-0005-0000-0000-000082190000}"/>
    <cellStyle name="표준 20 3 5 3" xfId="5229" xr:uid="{00000000-0005-0000-0000-000083190000}"/>
    <cellStyle name="표준 20 3 5 3 2" xfId="7135" xr:uid="{00000000-0005-0000-0000-000084190000}"/>
    <cellStyle name="표준 20 3 5 3 2 2" xfId="9658" xr:uid="{00000000-0005-0000-0000-000085190000}"/>
    <cellStyle name="표준 20 3 5 3 3" xfId="7976" xr:uid="{00000000-0005-0000-0000-000086190000}"/>
    <cellStyle name="표준 20 3 5 3 4" xfId="8818" xr:uid="{00000000-0005-0000-0000-000087190000}"/>
    <cellStyle name="표준 20 3 5 3 5" xfId="6288" xr:uid="{00000000-0005-0000-0000-000088190000}"/>
    <cellStyle name="표준 20 3 5 4" xfId="5230" xr:uid="{00000000-0005-0000-0000-000089190000}"/>
    <cellStyle name="표준 20 3 5 4 2" xfId="7136" xr:uid="{00000000-0005-0000-0000-00008A190000}"/>
    <cellStyle name="표준 20 3 5 4 2 2" xfId="9659" xr:uid="{00000000-0005-0000-0000-00008B190000}"/>
    <cellStyle name="표준 20 3 5 4 3" xfId="7977" xr:uid="{00000000-0005-0000-0000-00008C190000}"/>
    <cellStyle name="표준 20 3 5 4 4" xfId="8819" xr:uid="{00000000-0005-0000-0000-00008D190000}"/>
    <cellStyle name="표준 20 3 5 4 5" xfId="6289" xr:uid="{00000000-0005-0000-0000-00008E190000}"/>
    <cellStyle name="표준 20 3 5 5" xfId="7133" xr:uid="{00000000-0005-0000-0000-00008F190000}"/>
    <cellStyle name="표준 20 3 5 5 2" xfId="9656" xr:uid="{00000000-0005-0000-0000-000090190000}"/>
    <cellStyle name="표준 20 3 5 6" xfId="7974" xr:uid="{00000000-0005-0000-0000-000091190000}"/>
    <cellStyle name="표준 20 3 5 7" xfId="8816" xr:uid="{00000000-0005-0000-0000-000092190000}"/>
    <cellStyle name="표준 20 3 5 8" xfId="6286" xr:uid="{00000000-0005-0000-0000-000093190000}"/>
    <cellStyle name="표준 20 3 6" xfId="5231" xr:uid="{00000000-0005-0000-0000-000094190000}"/>
    <cellStyle name="표준 20 3 6 2" xfId="7137" xr:uid="{00000000-0005-0000-0000-000095190000}"/>
    <cellStyle name="표준 20 3 6 2 2" xfId="9660" xr:uid="{00000000-0005-0000-0000-000096190000}"/>
    <cellStyle name="표준 20 3 6 3" xfId="7978" xr:uid="{00000000-0005-0000-0000-000097190000}"/>
    <cellStyle name="표준 20 3 6 4" xfId="8820" xr:uid="{00000000-0005-0000-0000-000098190000}"/>
    <cellStyle name="표준 20 3 6 5" xfId="6290" xr:uid="{00000000-0005-0000-0000-000099190000}"/>
    <cellStyle name="표준 20 3 7" xfId="5232" xr:uid="{00000000-0005-0000-0000-00009A190000}"/>
    <cellStyle name="표준 20 3 7 2" xfId="7138" xr:uid="{00000000-0005-0000-0000-00009B190000}"/>
    <cellStyle name="표준 20 3 7 2 2" xfId="9661" xr:uid="{00000000-0005-0000-0000-00009C190000}"/>
    <cellStyle name="표준 20 3 7 3" xfId="7979" xr:uid="{00000000-0005-0000-0000-00009D190000}"/>
    <cellStyle name="표준 20 3 7 4" xfId="8821" xr:uid="{00000000-0005-0000-0000-00009E190000}"/>
    <cellStyle name="표준 20 3 7 5" xfId="6291" xr:uid="{00000000-0005-0000-0000-00009F190000}"/>
    <cellStyle name="표준 20 3 8" xfId="5233" xr:uid="{00000000-0005-0000-0000-0000A0190000}"/>
    <cellStyle name="표준 20 3 8 2" xfId="7139" xr:uid="{00000000-0005-0000-0000-0000A1190000}"/>
    <cellStyle name="표준 20 3 8 2 2" xfId="9662" xr:uid="{00000000-0005-0000-0000-0000A2190000}"/>
    <cellStyle name="표준 20 3 8 3" xfId="7980" xr:uid="{00000000-0005-0000-0000-0000A3190000}"/>
    <cellStyle name="표준 20 3 8 4" xfId="8822" xr:uid="{00000000-0005-0000-0000-0000A4190000}"/>
    <cellStyle name="표준 20 3 8 5" xfId="6292" xr:uid="{00000000-0005-0000-0000-0000A5190000}"/>
    <cellStyle name="표준 20 3 9" xfId="7092" xr:uid="{00000000-0005-0000-0000-0000A6190000}"/>
    <cellStyle name="표준 20 3 9 2" xfId="9615" xr:uid="{00000000-0005-0000-0000-0000A7190000}"/>
    <cellStyle name="표준 20 4" xfId="5234" xr:uid="{00000000-0005-0000-0000-0000A8190000}"/>
    <cellStyle name="표준 20 4 10" xfId="7981" xr:uid="{00000000-0005-0000-0000-0000A9190000}"/>
    <cellStyle name="표준 20 4 11" xfId="8823" xr:uid="{00000000-0005-0000-0000-0000AA190000}"/>
    <cellStyle name="표준 20 4 12" xfId="6293" xr:uid="{00000000-0005-0000-0000-0000AB190000}"/>
    <cellStyle name="표준 20 4 2" xfId="5235" xr:uid="{00000000-0005-0000-0000-0000AC190000}"/>
    <cellStyle name="표준 20 4 2 10" xfId="6294" xr:uid="{00000000-0005-0000-0000-0000AD190000}"/>
    <cellStyle name="표준 20 4 2 2" xfId="5236" xr:uid="{00000000-0005-0000-0000-0000AE190000}"/>
    <cellStyle name="표준 20 4 2 2 2" xfId="5237" xr:uid="{00000000-0005-0000-0000-0000AF190000}"/>
    <cellStyle name="표준 20 4 2 2 2 2" xfId="5238" xr:uid="{00000000-0005-0000-0000-0000B0190000}"/>
    <cellStyle name="표준 20 4 2 2 2 2 2" xfId="7144" xr:uid="{00000000-0005-0000-0000-0000B1190000}"/>
    <cellStyle name="표준 20 4 2 2 2 2 2 2" xfId="9667" xr:uid="{00000000-0005-0000-0000-0000B2190000}"/>
    <cellStyle name="표준 20 4 2 2 2 2 3" xfId="7985" xr:uid="{00000000-0005-0000-0000-0000B3190000}"/>
    <cellStyle name="표준 20 4 2 2 2 2 4" xfId="8827" xr:uid="{00000000-0005-0000-0000-0000B4190000}"/>
    <cellStyle name="표준 20 4 2 2 2 2 5" xfId="6297" xr:uid="{00000000-0005-0000-0000-0000B5190000}"/>
    <cellStyle name="표준 20 4 2 2 2 3" xfId="5239" xr:uid="{00000000-0005-0000-0000-0000B6190000}"/>
    <cellStyle name="표준 20 4 2 2 2 3 2" xfId="7145" xr:uid="{00000000-0005-0000-0000-0000B7190000}"/>
    <cellStyle name="표준 20 4 2 2 2 3 2 2" xfId="9668" xr:uid="{00000000-0005-0000-0000-0000B8190000}"/>
    <cellStyle name="표준 20 4 2 2 2 3 3" xfId="7986" xr:uid="{00000000-0005-0000-0000-0000B9190000}"/>
    <cellStyle name="표준 20 4 2 2 2 3 4" xfId="8828" xr:uid="{00000000-0005-0000-0000-0000BA190000}"/>
    <cellStyle name="표준 20 4 2 2 2 3 5" xfId="6298" xr:uid="{00000000-0005-0000-0000-0000BB190000}"/>
    <cellStyle name="표준 20 4 2 2 2 4" xfId="5240" xr:uid="{00000000-0005-0000-0000-0000BC190000}"/>
    <cellStyle name="표준 20 4 2 2 2 4 2" xfId="7146" xr:uid="{00000000-0005-0000-0000-0000BD190000}"/>
    <cellStyle name="표준 20 4 2 2 2 4 2 2" xfId="9669" xr:uid="{00000000-0005-0000-0000-0000BE190000}"/>
    <cellStyle name="표준 20 4 2 2 2 4 3" xfId="7987" xr:uid="{00000000-0005-0000-0000-0000BF190000}"/>
    <cellStyle name="표준 20 4 2 2 2 4 4" xfId="8829" xr:uid="{00000000-0005-0000-0000-0000C0190000}"/>
    <cellStyle name="표준 20 4 2 2 2 4 5" xfId="6299" xr:uid="{00000000-0005-0000-0000-0000C1190000}"/>
    <cellStyle name="표준 20 4 2 2 2 5" xfId="7143" xr:uid="{00000000-0005-0000-0000-0000C2190000}"/>
    <cellStyle name="표준 20 4 2 2 2 5 2" xfId="9666" xr:uid="{00000000-0005-0000-0000-0000C3190000}"/>
    <cellStyle name="표준 20 4 2 2 2 6" xfId="7984" xr:uid="{00000000-0005-0000-0000-0000C4190000}"/>
    <cellStyle name="표준 20 4 2 2 2 7" xfId="8826" xr:uid="{00000000-0005-0000-0000-0000C5190000}"/>
    <cellStyle name="표준 20 4 2 2 2 8" xfId="6296" xr:uid="{00000000-0005-0000-0000-0000C6190000}"/>
    <cellStyle name="표준 20 4 2 2 3" xfId="5241" xr:uid="{00000000-0005-0000-0000-0000C7190000}"/>
    <cellStyle name="표준 20 4 2 2 3 2" xfId="7147" xr:uid="{00000000-0005-0000-0000-0000C8190000}"/>
    <cellStyle name="표준 20 4 2 2 3 2 2" xfId="9670" xr:uid="{00000000-0005-0000-0000-0000C9190000}"/>
    <cellStyle name="표준 20 4 2 2 3 3" xfId="7988" xr:uid="{00000000-0005-0000-0000-0000CA190000}"/>
    <cellStyle name="표준 20 4 2 2 3 4" xfId="8830" xr:uid="{00000000-0005-0000-0000-0000CB190000}"/>
    <cellStyle name="표준 20 4 2 2 3 5" xfId="6300" xr:uid="{00000000-0005-0000-0000-0000CC190000}"/>
    <cellStyle name="표준 20 4 2 2 4" xfId="5242" xr:uid="{00000000-0005-0000-0000-0000CD190000}"/>
    <cellStyle name="표준 20 4 2 2 4 2" xfId="7148" xr:uid="{00000000-0005-0000-0000-0000CE190000}"/>
    <cellStyle name="표준 20 4 2 2 4 2 2" xfId="9671" xr:uid="{00000000-0005-0000-0000-0000CF190000}"/>
    <cellStyle name="표준 20 4 2 2 4 3" xfId="7989" xr:uid="{00000000-0005-0000-0000-0000D0190000}"/>
    <cellStyle name="표준 20 4 2 2 4 4" xfId="8831" xr:uid="{00000000-0005-0000-0000-0000D1190000}"/>
    <cellStyle name="표준 20 4 2 2 4 5" xfId="6301" xr:uid="{00000000-0005-0000-0000-0000D2190000}"/>
    <cellStyle name="표준 20 4 2 2 5" xfId="5243" xr:uid="{00000000-0005-0000-0000-0000D3190000}"/>
    <cellStyle name="표준 20 4 2 2 5 2" xfId="7149" xr:uid="{00000000-0005-0000-0000-0000D4190000}"/>
    <cellStyle name="표준 20 4 2 2 5 2 2" xfId="9672" xr:uid="{00000000-0005-0000-0000-0000D5190000}"/>
    <cellStyle name="표준 20 4 2 2 5 3" xfId="7990" xr:uid="{00000000-0005-0000-0000-0000D6190000}"/>
    <cellStyle name="표준 20 4 2 2 5 4" xfId="8832" xr:uid="{00000000-0005-0000-0000-0000D7190000}"/>
    <cellStyle name="표준 20 4 2 2 5 5" xfId="6302" xr:uid="{00000000-0005-0000-0000-0000D8190000}"/>
    <cellStyle name="표준 20 4 2 2 6" xfId="7142" xr:uid="{00000000-0005-0000-0000-0000D9190000}"/>
    <cellStyle name="표준 20 4 2 2 6 2" xfId="9665" xr:uid="{00000000-0005-0000-0000-0000DA190000}"/>
    <cellStyle name="표준 20 4 2 2 7" xfId="7983" xr:uid="{00000000-0005-0000-0000-0000DB190000}"/>
    <cellStyle name="표준 20 4 2 2 8" xfId="8825" xr:uid="{00000000-0005-0000-0000-0000DC190000}"/>
    <cellStyle name="표준 20 4 2 2 9" xfId="6295" xr:uid="{00000000-0005-0000-0000-0000DD190000}"/>
    <cellStyle name="표준 20 4 2 3" xfId="5244" xr:uid="{00000000-0005-0000-0000-0000DE190000}"/>
    <cellStyle name="표준 20 4 2 3 2" xfId="5245" xr:uid="{00000000-0005-0000-0000-0000DF190000}"/>
    <cellStyle name="표준 20 4 2 3 2 2" xfId="7151" xr:uid="{00000000-0005-0000-0000-0000E0190000}"/>
    <cellStyle name="표준 20 4 2 3 2 2 2" xfId="9674" xr:uid="{00000000-0005-0000-0000-0000E1190000}"/>
    <cellStyle name="표준 20 4 2 3 2 3" xfId="7992" xr:uid="{00000000-0005-0000-0000-0000E2190000}"/>
    <cellStyle name="표준 20 4 2 3 2 4" xfId="8834" xr:uid="{00000000-0005-0000-0000-0000E3190000}"/>
    <cellStyle name="표준 20 4 2 3 2 5" xfId="6304" xr:uid="{00000000-0005-0000-0000-0000E4190000}"/>
    <cellStyle name="표준 20 4 2 3 3" xfId="5246" xr:uid="{00000000-0005-0000-0000-0000E5190000}"/>
    <cellStyle name="표준 20 4 2 3 3 2" xfId="7152" xr:uid="{00000000-0005-0000-0000-0000E6190000}"/>
    <cellStyle name="표준 20 4 2 3 3 2 2" xfId="9675" xr:uid="{00000000-0005-0000-0000-0000E7190000}"/>
    <cellStyle name="표준 20 4 2 3 3 3" xfId="7993" xr:uid="{00000000-0005-0000-0000-0000E8190000}"/>
    <cellStyle name="표준 20 4 2 3 3 4" xfId="8835" xr:uid="{00000000-0005-0000-0000-0000E9190000}"/>
    <cellStyle name="표준 20 4 2 3 3 5" xfId="6305" xr:uid="{00000000-0005-0000-0000-0000EA190000}"/>
    <cellStyle name="표준 20 4 2 3 4" xfId="5247" xr:uid="{00000000-0005-0000-0000-0000EB190000}"/>
    <cellStyle name="표준 20 4 2 3 4 2" xfId="7153" xr:uid="{00000000-0005-0000-0000-0000EC190000}"/>
    <cellStyle name="표준 20 4 2 3 4 2 2" xfId="9676" xr:uid="{00000000-0005-0000-0000-0000ED190000}"/>
    <cellStyle name="표준 20 4 2 3 4 3" xfId="7994" xr:uid="{00000000-0005-0000-0000-0000EE190000}"/>
    <cellStyle name="표준 20 4 2 3 4 4" xfId="8836" xr:uid="{00000000-0005-0000-0000-0000EF190000}"/>
    <cellStyle name="표준 20 4 2 3 4 5" xfId="6306" xr:uid="{00000000-0005-0000-0000-0000F0190000}"/>
    <cellStyle name="표준 20 4 2 3 5" xfId="7150" xr:uid="{00000000-0005-0000-0000-0000F1190000}"/>
    <cellStyle name="표준 20 4 2 3 5 2" xfId="9673" xr:uid="{00000000-0005-0000-0000-0000F2190000}"/>
    <cellStyle name="표준 20 4 2 3 6" xfId="7991" xr:uid="{00000000-0005-0000-0000-0000F3190000}"/>
    <cellStyle name="표준 20 4 2 3 7" xfId="8833" xr:uid="{00000000-0005-0000-0000-0000F4190000}"/>
    <cellStyle name="표준 20 4 2 3 8" xfId="6303" xr:uid="{00000000-0005-0000-0000-0000F5190000}"/>
    <cellStyle name="표준 20 4 2 4" xfId="5248" xr:uid="{00000000-0005-0000-0000-0000F6190000}"/>
    <cellStyle name="표준 20 4 2 4 2" xfId="7154" xr:uid="{00000000-0005-0000-0000-0000F7190000}"/>
    <cellStyle name="표준 20 4 2 4 2 2" xfId="9677" xr:uid="{00000000-0005-0000-0000-0000F8190000}"/>
    <cellStyle name="표준 20 4 2 4 3" xfId="7995" xr:uid="{00000000-0005-0000-0000-0000F9190000}"/>
    <cellStyle name="표준 20 4 2 4 4" xfId="8837" xr:uid="{00000000-0005-0000-0000-0000FA190000}"/>
    <cellStyle name="표준 20 4 2 4 5" xfId="6307" xr:uid="{00000000-0005-0000-0000-0000FB190000}"/>
    <cellStyle name="표준 20 4 2 5" xfId="5249" xr:uid="{00000000-0005-0000-0000-0000FC190000}"/>
    <cellStyle name="표준 20 4 2 5 2" xfId="7155" xr:uid="{00000000-0005-0000-0000-0000FD190000}"/>
    <cellStyle name="표준 20 4 2 5 2 2" xfId="9678" xr:uid="{00000000-0005-0000-0000-0000FE190000}"/>
    <cellStyle name="표준 20 4 2 5 3" xfId="7996" xr:uid="{00000000-0005-0000-0000-0000FF190000}"/>
    <cellStyle name="표준 20 4 2 5 4" xfId="8838" xr:uid="{00000000-0005-0000-0000-0000001A0000}"/>
    <cellStyle name="표준 20 4 2 5 5" xfId="6308" xr:uid="{00000000-0005-0000-0000-0000011A0000}"/>
    <cellStyle name="표준 20 4 2 6" xfId="5250" xr:uid="{00000000-0005-0000-0000-0000021A0000}"/>
    <cellStyle name="표준 20 4 2 6 2" xfId="7156" xr:uid="{00000000-0005-0000-0000-0000031A0000}"/>
    <cellStyle name="표준 20 4 2 6 2 2" xfId="9679" xr:uid="{00000000-0005-0000-0000-0000041A0000}"/>
    <cellStyle name="표준 20 4 2 6 3" xfId="7997" xr:uid="{00000000-0005-0000-0000-0000051A0000}"/>
    <cellStyle name="표준 20 4 2 6 4" xfId="8839" xr:uid="{00000000-0005-0000-0000-0000061A0000}"/>
    <cellStyle name="표준 20 4 2 6 5" xfId="6309" xr:uid="{00000000-0005-0000-0000-0000071A0000}"/>
    <cellStyle name="표준 20 4 2 7" xfId="7141" xr:uid="{00000000-0005-0000-0000-0000081A0000}"/>
    <cellStyle name="표준 20 4 2 7 2" xfId="9664" xr:uid="{00000000-0005-0000-0000-0000091A0000}"/>
    <cellStyle name="표준 20 4 2 8" xfId="7982" xr:uid="{00000000-0005-0000-0000-00000A1A0000}"/>
    <cellStyle name="표준 20 4 2 9" xfId="8824" xr:uid="{00000000-0005-0000-0000-00000B1A0000}"/>
    <cellStyle name="표준 20 4 3" xfId="5251" xr:uid="{00000000-0005-0000-0000-00000C1A0000}"/>
    <cellStyle name="표준 20 4 3 10" xfId="6310" xr:uid="{00000000-0005-0000-0000-00000D1A0000}"/>
    <cellStyle name="표준 20 4 3 2" xfId="5252" xr:uid="{00000000-0005-0000-0000-00000E1A0000}"/>
    <cellStyle name="표준 20 4 3 2 2" xfId="5253" xr:uid="{00000000-0005-0000-0000-00000F1A0000}"/>
    <cellStyle name="표준 20 4 3 2 2 2" xfId="5254" xr:uid="{00000000-0005-0000-0000-0000101A0000}"/>
    <cellStyle name="표준 20 4 3 2 2 2 2" xfId="7160" xr:uid="{00000000-0005-0000-0000-0000111A0000}"/>
    <cellStyle name="표준 20 4 3 2 2 2 2 2" xfId="9683" xr:uid="{00000000-0005-0000-0000-0000121A0000}"/>
    <cellStyle name="표준 20 4 3 2 2 2 3" xfId="8001" xr:uid="{00000000-0005-0000-0000-0000131A0000}"/>
    <cellStyle name="표준 20 4 3 2 2 2 4" xfId="8843" xr:uid="{00000000-0005-0000-0000-0000141A0000}"/>
    <cellStyle name="표준 20 4 3 2 2 2 5" xfId="6313" xr:uid="{00000000-0005-0000-0000-0000151A0000}"/>
    <cellStyle name="표준 20 4 3 2 2 3" xfId="5255" xr:uid="{00000000-0005-0000-0000-0000161A0000}"/>
    <cellStyle name="표준 20 4 3 2 2 3 2" xfId="7161" xr:uid="{00000000-0005-0000-0000-0000171A0000}"/>
    <cellStyle name="표준 20 4 3 2 2 3 2 2" xfId="9684" xr:uid="{00000000-0005-0000-0000-0000181A0000}"/>
    <cellStyle name="표준 20 4 3 2 2 3 3" xfId="8002" xr:uid="{00000000-0005-0000-0000-0000191A0000}"/>
    <cellStyle name="표준 20 4 3 2 2 3 4" xfId="8844" xr:uid="{00000000-0005-0000-0000-00001A1A0000}"/>
    <cellStyle name="표준 20 4 3 2 2 3 5" xfId="6314" xr:uid="{00000000-0005-0000-0000-00001B1A0000}"/>
    <cellStyle name="표준 20 4 3 2 2 4" xfId="5256" xr:uid="{00000000-0005-0000-0000-00001C1A0000}"/>
    <cellStyle name="표준 20 4 3 2 2 4 2" xfId="7162" xr:uid="{00000000-0005-0000-0000-00001D1A0000}"/>
    <cellStyle name="표준 20 4 3 2 2 4 2 2" xfId="9685" xr:uid="{00000000-0005-0000-0000-00001E1A0000}"/>
    <cellStyle name="표준 20 4 3 2 2 4 3" xfId="8003" xr:uid="{00000000-0005-0000-0000-00001F1A0000}"/>
    <cellStyle name="표준 20 4 3 2 2 4 4" xfId="8845" xr:uid="{00000000-0005-0000-0000-0000201A0000}"/>
    <cellStyle name="표준 20 4 3 2 2 4 5" xfId="6315" xr:uid="{00000000-0005-0000-0000-0000211A0000}"/>
    <cellStyle name="표준 20 4 3 2 2 5" xfId="7159" xr:uid="{00000000-0005-0000-0000-0000221A0000}"/>
    <cellStyle name="표준 20 4 3 2 2 5 2" xfId="9682" xr:uid="{00000000-0005-0000-0000-0000231A0000}"/>
    <cellStyle name="표준 20 4 3 2 2 6" xfId="8000" xr:uid="{00000000-0005-0000-0000-0000241A0000}"/>
    <cellStyle name="표준 20 4 3 2 2 7" xfId="8842" xr:uid="{00000000-0005-0000-0000-0000251A0000}"/>
    <cellStyle name="표준 20 4 3 2 2 8" xfId="6312" xr:uid="{00000000-0005-0000-0000-0000261A0000}"/>
    <cellStyle name="표준 20 4 3 2 3" xfId="5257" xr:uid="{00000000-0005-0000-0000-0000271A0000}"/>
    <cellStyle name="표준 20 4 3 2 3 2" xfId="7163" xr:uid="{00000000-0005-0000-0000-0000281A0000}"/>
    <cellStyle name="표준 20 4 3 2 3 2 2" xfId="9686" xr:uid="{00000000-0005-0000-0000-0000291A0000}"/>
    <cellStyle name="표준 20 4 3 2 3 3" xfId="8004" xr:uid="{00000000-0005-0000-0000-00002A1A0000}"/>
    <cellStyle name="표준 20 4 3 2 3 4" xfId="8846" xr:uid="{00000000-0005-0000-0000-00002B1A0000}"/>
    <cellStyle name="표준 20 4 3 2 3 5" xfId="6316" xr:uid="{00000000-0005-0000-0000-00002C1A0000}"/>
    <cellStyle name="표준 20 4 3 2 4" xfId="5258" xr:uid="{00000000-0005-0000-0000-00002D1A0000}"/>
    <cellStyle name="표준 20 4 3 2 4 2" xfId="7164" xr:uid="{00000000-0005-0000-0000-00002E1A0000}"/>
    <cellStyle name="표준 20 4 3 2 4 2 2" xfId="9687" xr:uid="{00000000-0005-0000-0000-00002F1A0000}"/>
    <cellStyle name="표준 20 4 3 2 4 3" xfId="8005" xr:uid="{00000000-0005-0000-0000-0000301A0000}"/>
    <cellStyle name="표준 20 4 3 2 4 4" xfId="8847" xr:uid="{00000000-0005-0000-0000-0000311A0000}"/>
    <cellStyle name="표준 20 4 3 2 4 5" xfId="6317" xr:uid="{00000000-0005-0000-0000-0000321A0000}"/>
    <cellStyle name="표준 20 4 3 2 5" xfId="5259" xr:uid="{00000000-0005-0000-0000-0000331A0000}"/>
    <cellStyle name="표준 20 4 3 2 5 2" xfId="7165" xr:uid="{00000000-0005-0000-0000-0000341A0000}"/>
    <cellStyle name="표준 20 4 3 2 5 2 2" xfId="9688" xr:uid="{00000000-0005-0000-0000-0000351A0000}"/>
    <cellStyle name="표준 20 4 3 2 5 3" xfId="8006" xr:uid="{00000000-0005-0000-0000-0000361A0000}"/>
    <cellStyle name="표준 20 4 3 2 5 4" xfId="8848" xr:uid="{00000000-0005-0000-0000-0000371A0000}"/>
    <cellStyle name="표준 20 4 3 2 5 5" xfId="6318" xr:uid="{00000000-0005-0000-0000-0000381A0000}"/>
    <cellStyle name="표준 20 4 3 2 6" xfId="7158" xr:uid="{00000000-0005-0000-0000-0000391A0000}"/>
    <cellStyle name="표준 20 4 3 2 6 2" xfId="9681" xr:uid="{00000000-0005-0000-0000-00003A1A0000}"/>
    <cellStyle name="표준 20 4 3 2 7" xfId="7999" xr:uid="{00000000-0005-0000-0000-00003B1A0000}"/>
    <cellStyle name="표준 20 4 3 2 8" xfId="8841" xr:uid="{00000000-0005-0000-0000-00003C1A0000}"/>
    <cellStyle name="표준 20 4 3 2 9" xfId="6311" xr:uid="{00000000-0005-0000-0000-00003D1A0000}"/>
    <cellStyle name="표준 20 4 3 3" xfId="5260" xr:uid="{00000000-0005-0000-0000-00003E1A0000}"/>
    <cellStyle name="표준 20 4 3 3 2" xfId="5261" xr:uid="{00000000-0005-0000-0000-00003F1A0000}"/>
    <cellStyle name="표준 20 4 3 3 2 2" xfId="7167" xr:uid="{00000000-0005-0000-0000-0000401A0000}"/>
    <cellStyle name="표준 20 4 3 3 2 2 2" xfId="9690" xr:uid="{00000000-0005-0000-0000-0000411A0000}"/>
    <cellStyle name="표준 20 4 3 3 2 3" xfId="8008" xr:uid="{00000000-0005-0000-0000-0000421A0000}"/>
    <cellStyle name="표준 20 4 3 3 2 4" xfId="8850" xr:uid="{00000000-0005-0000-0000-0000431A0000}"/>
    <cellStyle name="표준 20 4 3 3 2 5" xfId="6320" xr:uid="{00000000-0005-0000-0000-0000441A0000}"/>
    <cellStyle name="표준 20 4 3 3 3" xfId="5262" xr:uid="{00000000-0005-0000-0000-0000451A0000}"/>
    <cellStyle name="표준 20 4 3 3 3 2" xfId="7168" xr:uid="{00000000-0005-0000-0000-0000461A0000}"/>
    <cellStyle name="표준 20 4 3 3 3 2 2" xfId="9691" xr:uid="{00000000-0005-0000-0000-0000471A0000}"/>
    <cellStyle name="표준 20 4 3 3 3 3" xfId="8009" xr:uid="{00000000-0005-0000-0000-0000481A0000}"/>
    <cellStyle name="표준 20 4 3 3 3 4" xfId="8851" xr:uid="{00000000-0005-0000-0000-0000491A0000}"/>
    <cellStyle name="표준 20 4 3 3 3 5" xfId="6321" xr:uid="{00000000-0005-0000-0000-00004A1A0000}"/>
    <cellStyle name="표준 20 4 3 3 4" xfId="5263" xr:uid="{00000000-0005-0000-0000-00004B1A0000}"/>
    <cellStyle name="표준 20 4 3 3 4 2" xfId="7169" xr:uid="{00000000-0005-0000-0000-00004C1A0000}"/>
    <cellStyle name="표준 20 4 3 3 4 2 2" xfId="9692" xr:uid="{00000000-0005-0000-0000-00004D1A0000}"/>
    <cellStyle name="표준 20 4 3 3 4 3" xfId="8010" xr:uid="{00000000-0005-0000-0000-00004E1A0000}"/>
    <cellStyle name="표준 20 4 3 3 4 4" xfId="8852" xr:uid="{00000000-0005-0000-0000-00004F1A0000}"/>
    <cellStyle name="표준 20 4 3 3 4 5" xfId="6322" xr:uid="{00000000-0005-0000-0000-0000501A0000}"/>
    <cellStyle name="표준 20 4 3 3 5" xfId="7166" xr:uid="{00000000-0005-0000-0000-0000511A0000}"/>
    <cellStyle name="표준 20 4 3 3 5 2" xfId="9689" xr:uid="{00000000-0005-0000-0000-0000521A0000}"/>
    <cellStyle name="표준 20 4 3 3 6" xfId="8007" xr:uid="{00000000-0005-0000-0000-0000531A0000}"/>
    <cellStyle name="표준 20 4 3 3 7" xfId="8849" xr:uid="{00000000-0005-0000-0000-0000541A0000}"/>
    <cellStyle name="표준 20 4 3 3 8" xfId="6319" xr:uid="{00000000-0005-0000-0000-0000551A0000}"/>
    <cellStyle name="표준 20 4 3 4" xfId="5264" xr:uid="{00000000-0005-0000-0000-0000561A0000}"/>
    <cellStyle name="표준 20 4 3 4 2" xfId="7170" xr:uid="{00000000-0005-0000-0000-0000571A0000}"/>
    <cellStyle name="표준 20 4 3 4 2 2" xfId="9693" xr:uid="{00000000-0005-0000-0000-0000581A0000}"/>
    <cellStyle name="표준 20 4 3 4 3" xfId="8011" xr:uid="{00000000-0005-0000-0000-0000591A0000}"/>
    <cellStyle name="표준 20 4 3 4 4" xfId="8853" xr:uid="{00000000-0005-0000-0000-00005A1A0000}"/>
    <cellStyle name="표준 20 4 3 4 5" xfId="6323" xr:uid="{00000000-0005-0000-0000-00005B1A0000}"/>
    <cellStyle name="표준 20 4 3 5" xfId="5265" xr:uid="{00000000-0005-0000-0000-00005C1A0000}"/>
    <cellStyle name="표준 20 4 3 5 2" xfId="7171" xr:uid="{00000000-0005-0000-0000-00005D1A0000}"/>
    <cellStyle name="표준 20 4 3 5 2 2" xfId="9694" xr:uid="{00000000-0005-0000-0000-00005E1A0000}"/>
    <cellStyle name="표준 20 4 3 5 3" xfId="8012" xr:uid="{00000000-0005-0000-0000-00005F1A0000}"/>
    <cellStyle name="표준 20 4 3 5 4" xfId="8854" xr:uid="{00000000-0005-0000-0000-0000601A0000}"/>
    <cellStyle name="표준 20 4 3 5 5" xfId="6324" xr:uid="{00000000-0005-0000-0000-0000611A0000}"/>
    <cellStyle name="표준 20 4 3 6" xfId="5266" xr:uid="{00000000-0005-0000-0000-0000621A0000}"/>
    <cellStyle name="표준 20 4 3 6 2" xfId="7172" xr:uid="{00000000-0005-0000-0000-0000631A0000}"/>
    <cellStyle name="표준 20 4 3 6 2 2" xfId="9695" xr:uid="{00000000-0005-0000-0000-0000641A0000}"/>
    <cellStyle name="표준 20 4 3 6 3" xfId="8013" xr:uid="{00000000-0005-0000-0000-0000651A0000}"/>
    <cellStyle name="표준 20 4 3 6 4" xfId="8855" xr:uid="{00000000-0005-0000-0000-0000661A0000}"/>
    <cellStyle name="표준 20 4 3 6 5" xfId="6325" xr:uid="{00000000-0005-0000-0000-0000671A0000}"/>
    <cellStyle name="표준 20 4 3 7" xfId="7157" xr:uid="{00000000-0005-0000-0000-0000681A0000}"/>
    <cellStyle name="표준 20 4 3 7 2" xfId="9680" xr:uid="{00000000-0005-0000-0000-0000691A0000}"/>
    <cellStyle name="표준 20 4 3 8" xfId="7998" xr:uid="{00000000-0005-0000-0000-00006A1A0000}"/>
    <cellStyle name="표준 20 4 3 9" xfId="8840" xr:uid="{00000000-0005-0000-0000-00006B1A0000}"/>
    <cellStyle name="표준 20 4 4" xfId="5267" xr:uid="{00000000-0005-0000-0000-00006C1A0000}"/>
    <cellStyle name="표준 20 4 4 2" xfId="5268" xr:uid="{00000000-0005-0000-0000-00006D1A0000}"/>
    <cellStyle name="표준 20 4 4 2 2" xfId="5269" xr:uid="{00000000-0005-0000-0000-00006E1A0000}"/>
    <cellStyle name="표준 20 4 4 2 2 2" xfId="7175" xr:uid="{00000000-0005-0000-0000-00006F1A0000}"/>
    <cellStyle name="표준 20 4 4 2 2 2 2" xfId="9698" xr:uid="{00000000-0005-0000-0000-0000701A0000}"/>
    <cellStyle name="표준 20 4 4 2 2 3" xfId="8016" xr:uid="{00000000-0005-0000-0000-0000711A0000}"/>
    <cellStyle name="표준 20 4 4 2 2 4" xfId="8858" xr:uid="{00000000-0005-0000-0000-0000721A0000}"/>
    <cellStyle name="표준 20 4 4 2 2 5" xfId="6328" xr:uid="{00000000-0005-0000-0000-0000731A0000}"/>
    <cellStyle name="표준 20 4 4 2 3" xfId="5270" xr:uid="{00000000-0005-0000-0000-0000741A0000}"/>
    <cellStyle name="표준 20 4 4 2 3 2" xfId="7176" xr:uid="{00000000-0005-0000-0000-0000751A0000}"/>
    <cellStyle name="표준 20 4 4 2 3 2 2" xfId="9699" xr:uid="{00000000-0005-0000-0000-0000761A0000}"/>
    <cellStyle name="표준 20 4 4 2 3 3" xfId="8017" xr:uid="{00000000-0005-0000-0000-0000771A0000}"/>
    <cellStyle name="표준 20 4 4 2 3 4" xfId="8859" xr:uid="{00000000-0005-0000-0000-0000781A0000}"/>
    <cellStyle name="표준 20 4 4 2 3 5" xfId="6329" xr:uid="{00000000-0005-0000-0000-0000791A0000}"/>
    <cellStyle name="표준 20 4 4 2 4" xfId="5271" xr:uid="{00000000-0005-0000-0000-00007A1A0000}"/>
    <cellStyle name="표준 20 4 4 2 4 2" xfId="7177" xr:uid="{00000000-0005-0000-0000-00007B1A0000}"/>
    <cellStyle name="표준 20 4 4 2 4 2 2" xfId="9700" xr:uid="{00000000-0005-0000-0000-00007C1A0000}"/>
    <cellStyle name="표준 20 4 4 2 4 3" xfId="8018" xr:uid="{00000000-0005-0000-0000-00007D1A0000}"/>
    <cellStyle name="표준 20 4 4 2 4 4" xfId="8860" xr:uid="{00000000-0005-0000-0000-00007E1A0000}"/>
    <cellStyle name="표준 20 4 4 2 4 5" xfId="6330" xr:uid="{00000000-0005-0000-0000-00007F1A0000}"/>
    <cellStyle name="표준 20 4 4 2 5" xfId="7174" xr:uid="{00000000-0005-0000-0000-0000801A0000}"/>
    <cellStyle name="표준 20 4 4 2 5 2" xfId="9697" xr:uid="{00000000-0005-0000-0000-0000811A0000}"/>
    <cellStyle name="표준 20 4 4 2 6" xfId="8015" xr:uid="{00000000-0005-0000-0000-0000821A0000}"/>
    <cellStyle name="표준 20 4 4 2 7" xfId="8857" xr:uid="{00000000-0005-0000-0000-0000831A0000}"/>
    <cellStyle name="표준 20 4 4 2 8" xfId="6327" xr:uid="{00000000-0005-0000-0000-0000841A0000}"/>
    <cellStyle name="표준 20 4 4 3" xfId="5272" xr:uid="{00000000-0005-0000-0000-0000851A0000}"/>
    <cellStyle name="표준 20 4 4 3 2" xfId="7178" xr:uid="{00000000-0005-0000-0000-0000861A0000}"/>
    <cellStyle name="표준 20 4 4 3 2 2" xfId="9701" xr:uid="{00000000-0005-0000-0000-0000871A0000}"/>
    <cellStyle name="표준 20 4 4 3 3" xfId="8019" xr:uid="{00000000-0005-0000-0000-0000881A0000}"/>
    <cellStyle name="표준 20 4 4 3 4" xfId="8861" xr:uid="{00000000-0005-0000-0000-0000891A0000}"/>
    <cellStyle name="표준 20 4 4 3 5" xfId="6331" xr:uid="{00000000-0005-0000-0000-00008A1A0000}"/>
    <cellStyle name="표준 20 4 4 4" xfId="5273" xr:uid="{00000000-0005-0000-0000-00008B1A0000}"/>
    <cellStyle name="표준 20 4 4 4 2" xfId="7179" xr:uid="{00000000-0005-0000-0000-00008C1A0000}"/>
    <cellStyle name="표준 20 4 4 4 2 2" xfId="9702" xr:uid="{00000000-0005-0000-0000-00008D1A0000}"/>
    <cellStyle name="표준 20 4 4 4 3" xfId="8020" xr:uid="{00000000-0005-0000-0000-00008E1A0000}"/>
    <cellStyle name="표준 20 4 4 4 4" xfId="8862" xr:uid="{00000000-0005-0000-0000-00008F1A0000}"/>
    <cellStyle name="표준 20 4 4 4 5" xfId="6332" xr:uid="{00000000-0005-0000-0000-0000901A0000}"/>
    <cellStyle name="표준 20 4 4 5" xfId="5274" xr:uid="{00000000-0005-0000-0000-0000911A0000}"/>
    <cellStyle name="표준 20 4 4 5 2" xfId="7180" xr:uid="{00000000-0005-0000-0000-0000921A0000}"/>
    <cellStyle name="표준 20 4 4 5 2 2" xfId="9703" xr:uid="{00000000-0005-0000-0000-0000931A0000}"/>
    <cellStyle name="표준 20 4 4 5 3" xfId="8021" xr:uid="{00000000-0005-0000-0000-0000941A0000}"/>
    <cellStyle name="표준 20 4 4 5 4" xfId="8863" xr:uid="{00000000-0005-0000-0000-0000951A0000}"/>
    <cellStyle name="표준 20 4 4 5 5" xfId="6333" xr:uid="{00000000-0005-0000-0000-0000961A0000}"/>
    <cellStyle name="표준 20 4 4 6" xfId="7173" xr:uid="{00000000-0005-0000-0000-0000971A0000}"/>
    <cellStyle name="표준 20 4 4 6 2" xfId="9696" xr:uid="{00000000-0005-0000-0000-0000981A0000}"/>
    <cellStyle name="표준 20 4 4 7" xfId="8014" xr:uid="{00000000-0005-0000-0000-0000991A0000}"/>
    <cellStyle name="표준 20 4 4 8" xfId="8856" xr:uid="{00000000-0005-0000-0000-00009A1A0000}"/>
    <cellStyle name="표준 20 4 4 9" xfId="6326" xr:uid="{00000000-0005-0000-0000-00009B1A0000}"/>
    <cellStyle name="표준 20 4 5" xfId="5275" xr:uid="{00000000-0005-0000-0000-00009C1A0000}"/>
    <cellStyle name="표준 20 4 5 2" xfId="5276" xr:uid="{00000000-0005-0000-0000-00009D1A0000}"/>
    <cellStyle name="표준 20 4 5 2 2" xfId="7182" xr:uid="{00000000-0005-0000-0000-00009E1A0000}"/>
    <cellStyle name="표준 20 4 5 2 2 2" xfId="9705" xr:uid="{00000000-0005-0000-0000-00009F1A0000}"/>
    <cellStyle name="표준 20 4 5 2 3" xfId="8023" xr:uid="{00000000-0005-0000-0000-0000A01A0000}"/>
    <cellStyle name="표준 20 4 5 2 4" xfId="8865" xr:uid="{00000000-0005-0000-0000-0000A11A0000}"/>
    <cellStyle name="표준 20 4 5 2 5" xfId="6335" xr:uid="{00000000-0005-0000-0000-0000A21A0000}"/>
    <cellStyle name="표준 20 4 5 3" xfId="5277" xr:uid="{00000000-0005-0000-0000-0000A31A0000}"/>
    <cellStyle name="표준 20 4 5 3 2" xfId="7183" xr:uid="{00000000-0005-0000-0000-0000A41A0000}"/>
    <cellStyle name="표준 20 4 5 3 2 2" xfId="9706" xr:uid="{00000000-0005-0000-0000-0000A51A0000}"/>
    <cellStyle name="표준 20 4 5 3 3" xfId="8024" xr:uid="{00000000-0005-0000-0000-0000A61A0000}"/>
    <cellStyle name="표준 20 4 5 3 4" xfId="8866" xr:uid="{00000000-0005-0000-0000-0000A71A0000}"/>
    <cellStyle name="표준 20 4 5 3 5" xfId="6336" xr:uid="{00000000-0005-0000-0000-0000A81A0000}"/>
    <cellStyle name="표준 20 4 5 4" xfId="5278" xr:uid="{00000000-0005-0000-0000-0000A91A0000}"/>
    <cellStyle name="표준 20 4 5 4 2" xfId="7184" xr:uid="{00000000-0005-0000-0000-0000AA1A0000}"/>
    <cellStyle name="표준 20 4 5 4 2 2" xfId="9707" xr:uid="{00000000-0005-0000-0000-0000AB1A0000}"/>
    <cellStyle name="표준 20 4 5 4 3" xfId="8025" xr:uid="{00000000-0005-0000-0000-0000AC1A0000}"/>
    <cellStyle name="표준 20 4 5 4 4" xfId="8867" xr:uid="{00000000-0005-0000-0000-0000AD1A0000}"/>
    <cellStyle name="표준 20 4 5 4 5" xfId="6337" xr:uid="{00000000-0005-0000-0000-0000AE1A0000}"/>
    <cellStyle name="표준 20 4 5 5" xfId="7181" xr:uid="{00000000-0005-0000-0000-0000AF1A0000}"/>
    <cellStyle name="표준 20 4 5 5 2" xfId="9704" xr:uid="{00000000-0005-0000-0000-0000B01A0000}"/>
    <cellStyle name="표준 20 4 5 6" xfId="8022" xr:uid="{00000000-0005-0000-0000-0000B11A0000}"/>
    <cellStyle name="표준 20 4 5 7" xfId="8864" xr:uid="{00000000-0005-0000-0000-0000B21A0000}"/>
    <cellStyle name="표준 20 4 5 8" xfId="6334" xr:uid="{00000000-0005-0000-0000-0000B31A0000}"/>
    <cellStyle name="표준 20 4 6" xfId="5279" xr:uid="{00000000-0005-0000-0000-0000B41A0000}"/>
    <cellStyle name="표준 20 4 6 2" xfId="7185" xr:uid="{00000000-0005-0000-0000-0000B51A0000}"/>
    <cellStyle name="표준 20 4 6 2 2" xfId="9708" xr:uid="{00000000-0005-0000-0000-0000B61A0000}"/>
    <cellStyle name="표준 20 4 6 3" xfId="8026" xr:uid="{00000000-0005-0000-0000-0000B71A0000}"/>
    <cellStyle name="표준 20 4 6 4" xfId="8868" xr:uid="{00000000-0005-0000-0000-0000B81A0000}"/>
    <cellStyle name="표준 20 4 6 5" xfId="6338" xr:uid="{00000000-0005-0000-0000-0000B91A0000}"/>
    <cellStyle name="표준 20 4 7" xfId="5280" xr:uid="{00000000-0005-0000-0000-0000BA1A0000}"/>
    <cellStyle name="표준 20 4 7 2" xfId="7186" xr:uid="{00000000-0005-0000-0000-0000BB1A0000}"/>
    <cellStyle name="표준 20 4 7 2 2" xfId="9709" xr:uid="{00000000-0005-0000-0000-0000BC1A0000}"/>
    <cellStyle name="표준 20 4 7 3" xfId="8027" xr:uid="{00000000-0005-0000-0000-0000BD1A0000}"/>
    <cellStyle name="표준 20 4 7 4" xfId="8869" xr:uid="{00000000-0005-0000-0000-0000BE1A0000}"/>
    <cellStyle name="표준 20 4 7 5" xfId="6339" xr:uid="{00000000-0005-0000-0000-0000BF1A0000}"/>
    <cellStyle name="표준 20 4 8" xfId="5281" xr:uid="{00000000-0005-0000-0000-0000C01A0000}"/>
    <cellStyle name="표준 20 4 8 2" xfId="7187" xr:uid="{00000000-0005-0000-0000-0000C11A0000}"/>
    <cellStyle name="표준 20 4 8 2 2" xfId="9710" xr:uid="{00000000-0005-0000-0000-0000C21A0000}"/>
    <cellStyle name="표준 20 4 8 3" xfId="8028" xr:uid="{00000000-0005-0000-0000-0000C31A0000}"/>
    <cellStyle name="표준 20 4 8 4" xfId="8870" xr:uid="{00000000-0005-0000-0000-0000C41A0000}"/>
    <cellStyle name="표준 20 4 8 5" xfId="6340" xr:uid="{00000000-0005-0000-0000-0000C51A0000}"/>
    <cellStyle name="표준 20 4 9" xfId="7140" xr:uid="{00000000-0005-0000-0000-0000C61A0000}"/>
    <cellStyle name="표준 20 4 9 2" xfId="9663" xr:uid="{00000000-0005-0000-0000-0000C71A0000}"/>
    <cellStyle name="표준 20 5" xfId="5282" xr:uid="{00000000-0005-0000-0000-0000C81A0000}"/>
    <cellStyle name="표준 20 5 10" xfId="6341" xr:uid="{00000000-0005-0000-0000-0000C91A0000}"/>
    <cellStyle name="표준 20 5 2" xfId="5283" xr:uid="{00000000-0005-0000-0000-0000CA1A0000}"/>
    <cellStyle name="표준 20 5 2 2" xfId="5284" xr:uid="{00000000-0005-0000-0000-0000CB1A0000}"/>
    <cellStyle name="표준 20 5 2 2 2" xfId="5285" xr:uid="{00000000-0005-0000-0000-0000CC1A0000}"/>
    <cellStyle name="표준 20 5 2 2 2 2" xfId="7191" xr:uid="{00000000-0005-0000-0000-0000CD1A0000}"/>
    <cellStyle name="표준 20 5 2 2 2 2 2" xfId="9714" xr:uid="{00000000-0005-0000-0000-0000CE1A0000}"/>
    <cellStyle name="표준 20 5 2 2 2 3" xfId="8032" xr:uid="{00000000-0005-0000-0000-0000CF1A0000}"/>
    <cellStyle name="표준 20 5 2 2 2 4" xfId="8874" xr:uid="{00000000-0005-0000-0000-0000D01A0000}"/>
    <cellStyle name="표준 20 5 2 2 2 5" xfId="6344" xr:uid="{00000000-0005-0000-0000-0000D11A0000}"/>
    <cellStyle name="표준 20 5 2 2 3" xfId="5286" xr:uid="{00000000-0005-0000-0000-0000D21A0000}"/>
    <cellStyle name="표준 20 5 2 2 3 2" xfId="7192" xr:uid="{00000000-0005-0000-0000-0000D31A0000}"/>
    <cellStyle name="표준 20 5 2 2 3 2 2" xfId="9715" xr:uid="{00000000-0005-0000-0000-0000D41A0000}"/>
    <cellStyle name="표준 20 5 2 2 3 3" xfId="8033" xr:uid="{00000000-0005-0000-0000-0000D51A0000}"/>
    <cellStyle name="표준 20 5 2 2 3 4" xfId="8875" xr:uid="{00000000-0005-0000-0000-0000D61A0000}"/>
    <cellStyle name="표준 20 5 2 2 3 5" xfId="6345" xr:uid="{00000000-0005-0000-0000-0000D71A0000}"/>
    <cellStyle name="표준 20 5 2 2 4" xfId="5287" xr:uid="{00000000-0005-0000-0000-0000D81A0000}"/>
    <cellStyle name="표준 20 5 2 2 4 2" xfId="7193" xr:uid="{00000000-0005-0000-0000-0000D91A0000}"/>
    <cellStyle name="표준 20 5 2 2 4 2 2" xfId="9716" xr:uid="{00000000-0005-0000-0000-0000DA1A0000}"/>
    <cellStyle name="표준 20 5 2 2 4 3" xfId="8034" xr:uid="{00000000-0005-0000-0000-0000DB1A0000}"/>
    <cellStyle name="표준 20 5 2 2 4 4" xfId="8876" xr:uid="{00000000-0005-0000-0000-0000DC1A0000}"/>
    <cellStyle name="표준 20 5 2 2 4 5" xfId="6346" xr:uid="{00000000-0005-0000-0000-0000DD1A0000}"/>
    <cellStyle name="표준 20 5 2 2 5" xfId="7190" xr:uid="{00000000-0005-0000-0000-0000DE1A0000}"/>
    <cellStyle name="표준 20 5 2 2 5 2" xfId="9713" xr:uid="{00000000-0005-0000-0000-0000DF1A0000}"/>
    <cellStyle name="표준 20 5 2 2 6" xfId="8031" xr:uid="{00000000-0005-0000-0000-0000E01A0000}"/>
    <cellStyle name="표준 20 5 2 2 7" xfId="8873" xr:uid="{00000000-0005-0000-0000-0000E11A0000}"/>
    <cellStyle name="표준 20 5 2 2 8" xfId="6343" xr:uid="{00000000-0005-0000-0000-0000E21A0000}"/>
    <cellStyle name="표준 20 5 2 3" xfId="5288" xr:uid="{00000000-0005-0000-0000-0000E31A0000}"/>
    <cellStyle name="표준 20 5 2 3 2" xfId="7194" xr:uid="{00000000-0005-0000-0000-0000E41A0000}"/>
    <cellStyle name="표준 20 5 2 3 2 2" xfId="9717" xr:uid="{00000000-0005-0000-0000-0000E51A0000}"/>
    <cellStyle name="표준 20 5 2 3 3" xfId="8035" xr:uid="{00000000-0005-0000-0000-0000E61A0000}"/>
    <cellStyle name="표준 20 5 2 3 4" xfId="8877" xr:uid="{00000000-0005-0000-0000-0000E71A0000}"/>
    <cellStyle name="표준 20 5 2 3 5" xfId="6347" xr:uid="{00000000-0005-0000-0000-0000E81A0000}"/>
    <cellStyle name="표준 20 5 2 4" xfId="5289" xr:uid="{00000000-0005-0000-0000-0000E91A0000}"/>
    <cellStyle name="표준 20 5 2 4 2" xfId="7195" xr:uid="{00000000-0005-0000-0000-0000EA1A0000}"/>
    <cellStyle name="표준 20 5 2 4 2 2" xfId="9718" xr:uid="{00000000-0005-0000-0000-0000EB1A0000}"/>
    <cellStyle name="표준 20 5 2 4 3" xfId="8036" xr:uid="{00000000-0005-0000-0000-0000EC1A0000}"/>
    <cellStyle name="표준 20 5 2 4 4" xfId="8878" xr:uid="{00000000-0005-0000-0000-0000ED1A0000}"/>
    <cellStyle name="표준 20 5 2 4 5" xfId="6348" xr:uid="{00000000-0005-0000-0000-0000EE1A0000}"/>
    <cellStyle name="표준 20 5 2 5" xfId="5290" xr:uid="{00000000-0005-0000-0000-0000EF1A0000}"/>
    <cellStyle name="표준 20 5 2 5 2" xfId="7196" xr:uid="{00000000-0005-0000-0000-0000F01A0000}"/>
    <cellStyle name="표준 20 5 2 5 2 2" xfId="9719" xr:uid="{00000000-0005-0000-0000-0000F11A0000}"/>
    <cellStyle name="표준 20 5 2 5 3" xfId="8037" xr:uid="{00000000-0005-0000-0000-0000F21A0000}"/>
    <cellStyle name="표준 20 5 2 5 4" xfId="8879" xr:uid="{00000000-0005-0000-0000-0000F31A0000}"/>
    <cellStyle name="표준 20 5 2 5 5" xfId="6349" xr:uid="{00000000-0005-0000-0000-0000F41A0000}"/>
    <cellStyle name="표준 20 5 2 6" xfId="7189" xr:uid="{00000000-0005-0000-0000-0000F51A0000}"/>
    <cellStyle name="표준 20 5 2 6 2" xfId="9712" xr:uid="{00000000-0005-0000-0000-0000F61A0000}"/>
    <cellStyle name="표준 20 5 2 7" xfId="8030" xr:uid="{00000000-0005-0000-0000-0000F71A0000}"/>
    <cellStyle name="표준 20 5 2 8" xfId="8872" xr:uid="{00000000-0005-0000-0000-0000F81A0000}"/>
    <cellStyle name="표준 20 5 2 9" xfId="6342" xr:uid="{00000000-0005-0000-0000-0000F91A0000}"/>
    <cellStyle name="표준 20 5 3" xfId="5291" xr:uid="{00000000-0005-0000-0000-0000FA1A0000}"/>
    <cellStyle name="표준 20 5 3 2" xfId="5292" xr:uid="{00000000-0005-0000-0000-0000FB1A0000}"/>
    <cellStyle name="표준 20 5 3 2 2" xfId="7198" xr:uid="{00000000-0005-0000-0000-0000FC1A0000}"/>
    <cellStyle name="표준 20 5 3 2 2 2" xfId="9721" xr:uid="{00000000-0005-0000-0000-0000FD1A0000}"/>
    <cellStyle name="표준 20 5 3 2 3" xfId="8039" xr:uid="{00000000-0005-0000-0000-0000FE1A0000}"/>
    <cellStyle name="표준 20 5 3 2 4" xfId="8881" xr:uid="{00000000-0005-0000-0000-0000FF1A0000}"/>
    <cellStyle name="표준 20 5 3 2 5" xfId="6351" xr:uid="{00000000-0005-0000-0000-0000001B0000}"/>
    <cellStyle name="표준 20 5 3 3" xfId="5293" xr:uid="{00000000-0005-0000-0000-0000011B0000}"/>
    <cellStyle name="표준 20 5 3 3 2" xfId="7199" xr:uid="{00000000-0005-0000-0000-0000021B0000}"/>
    <cellStyle name="표준 20 5 3 3 2 2" xfId="9722" xr:uid="{00000000-0005-0000-0000-0000031B0000}"/>
    <cellStyle name="표준 20 5 3 3 3" xfId="8040" xr:uid="{00000000-0005-0000-0000-0000041B0000}"/>
    <cellStyle name="표준 20 5 3 3 4" xfId="8882" xr:uid="{00000000-0005-0000-0000-0000051B0000}"/>
    <cellStyle name="표준 20 5 3 3 5" xfId="6352" xr:uid="{00000000-0005-0000-0000-0000061B0000}"/>
    <cellStyle name="표준 20 5 3 4" xfId="5294" xr:uid="{00000000-0005-0000-0000-0000071B0000}"/>
    <cellStyle name="표준 20 5 3 4 2" xfId="7200" xr:uid="{00000000-0005-0000-0000-0000081B0000}"/>
    <cellStyle name="표준 20 5 3 4 2 2" xfId="9723" xr:uid="{00000000-0005-0000-0000-0000091B0000}"/>
    <cellStyle name="표준 20 5 3 4 3" xfId="8041" xr:uid="{00000000-0005-0000-0000-00000A1B0000}"/>
    <cellStyle name="표준 20 5 3 4 4" xfId="8883" xr:uid="{00000000-0005-0000-0000-00000B1B0000}"/>
    <cellStyle name="표준 20 5 3 4 5" xfId="6353" xr:uid="{00000000-0005-0000-0000-00000C1B0000}"/>
    <cellStyle name="표준 20 5 3 5" xfId="7197" xr:uid="{00000000-0005-0000-0000-00000D1B0000}"/>
    <cellStyle name="표준 20 5 3 5 2" xfId="9720" xr:uid="{00000000-0005-0000-0000-00000E1B0000}"/>
    <cellStyle name="표준 20 5 3 6" xfId="8038" xr:uid="{00000000-0005-0000-0000-00000F1B0000}"/>
    <cellStyle name="표준 20 5 3 7" xfId="8880" xr:uid="{00000000-0005-0000-0000-0000101B0000}"/>
    <cellStyle name="표준 20 5 3 8" xfId="6350" xr:uid="{00000000-0005-0000-0000-0000111B0000}"/>
    <cellStyle name="표준 20 5 4" xfId="5295" xr:uid="{00000000-0005-0000-0000-0000121B0000}"/>
    <cellStyle name="표준 20 5 4 2" xfId="7201" xr:uid="{00000000-0005-0000-0000-0000131B0000}"/>
    <cellStyle name="표준 20 5 4 2 2" xfId="9724" xr:uid="{00000000-0005-0000-0000-0000141B0000}"/>
    <cellStyle name="표준 20 5 4 3" xfId="8042" xr:uid="{00000000-0005-0000-0000-0000151B0000}"/>
    <cellStyle name="표준 20 5 4 4" xfId="8884" xr:uid="{00000000-0005-0000-0000-0000161B0000}"/>
    <cellStyle name="표준 20 5 4 5" xfId="6354" xr:uid="{00000000-0005-0000-0000-0000171B0000}"/>
    <cellStyle name="표준 20 5 5" xfId="5296" xr:uid="{00000000-0005-0000-0000-0000181B0000}"/>
    <cellStyle name="표준 20 5 5 2" xfId="7202" xr:uid="{00000000-0005-0000-0000-0000191B0000}"/>
    <cellStyle name="표준 20 5 5 2 2" xfId="9725" xr:uid="{00000000-0005-0000-0000-00001A1B0000}"/>
    <cellStyle name="표준 20 5 5 3" xfId="8043" xr:uid="{00000000-0005-0000-0000-00001B1B0000}"/>
    <cellStyle name="표준 20 5 5 4" xfId="8885" xr:uid="{00000000-0005-0000-0000-00001C1B0000}"/>
    <cellStyle name="표준 20 5 5 5" xfId="6355" xr:uid="{00000000-0005-0000-0000-00001D1B0000}"/>
    <cellStyle name="표준 20 5 6" xfId="5297" xr:uid="{00000000-0005-0000-0000-00001E1B0000}"/>
    <cellStyle name="표준 20 5 6 2" xfId="7203" xr:uid="{00000000-0005-0000-0000-00001F1B0000}"/>
    <cellStyle name="표준 20 5 6 2 2" xfId="9726" xr:uid="{00000000-0005-0000-0000-0000201B0000}"/>
    <cellStyle name="표준 20 5 6 3" xfId="8044" xr:uid="{00000000-0005-0000-0000-0000211B0000}"/>
    <cellStyle name="표준 20 5 6 4" xfId="8886" xr:uid="{00000000-0005-0000-0000-0000221B0000}"/>
    <cellStyle name="표준 20 5 6 5" xfId="6356" xr:uid="{00000000-0005-0000-0000-0000231B0000}"/>
    <cellStyle name="표준 20 5 7" xfId="7188" xr:uid="{00000000-0005-0000-0000-0000241B0000}"/>
    <cellStyle name="표준 20 5 7 2" xfId="9711" xr:uid="{00000000-0005-0000-0000-0000251B0000}"/>
    <cellStyle name="표준 20 5 8" xfId="8029" xr:uid="{00000000-0005-0000-0000-0000261B0000}"/>
    <cellStyle name="표준 20 5 9" xfId="8871" xr:uid="{00000000-0005-0000-0000-0000271B0000}"/>
    <cellStyle name="표준 20 6" xfId="5298" xr:uid="{00000000-0005-0000-0000-0000281B0000}"/>
    <cellStyle name="표준 20 6 10" xfId="6357" xr:uid="{00000000-0005-0000-0000-0000291B0000}"/>
    <cellStyle name="표준 20 6 2" xfId="5299" xr:uid="{00000000-0005-0000-0000-00002A1B0000}"/>
    <cellStyle name="표준 20 6 2 2" xfId="5300" xr:uid="{00000000-0005-0000-0000-00002B1B0000}"/>
    <cellStyle name="표준 20 6 2 2 2" xfId="5301" xr:uid="{00000000-0005-0000-0000-00002C1B0000}"/>
    <cellStyle name="표준 20 6 2 2 2 2" xfId="7207" xr:uid="{00000000-0005-0000-0000-00002D1B0000}"/>
    <cellStyle name="표준 20 6 2 2 2 2 2" xfId="9730" xr:uid="{00000000-0005-0000-0000-00002E1B0000}"/>
    <cellStyle name="표준 20 6 2 2 2 3" xfId="8048" xr:uid="{00000000-0005-0000-0000-00002F1B0000}"/>
    <cellStyle name="표준 20 6 2 2 2 4" xfId="8890" xr:uid="{00000000-0005-0000-0000-0000301B0000}"/>
    <cellStyle name="표준 20 6 2 2 2 5" xfId="6360" xr:uid="{00000000-0005-0000-0000-0000311B0000}"/>
    <cellStyle name="표준 20 6 2 2 3" xfId="5302" xr:uid="{00000000-0005-0000-0000-0000321B0000}"/>
    <cellStyle name="표준 20 6 2 2 3 2" xfId="7208" xr:uid="{00000000-0005-0000-0000-0000331B0000}"/>
    <cellStyle name="표준 20 6 2 2 3 2 2" xfId="9731" xr:uid="{00000000-0005-0000-0000-0000341B0000}"/>
    <cellStyle name="표준 20 6 2 2 3 3" xfId="8049" xr:uid="{00000000-0005-0000-0000-0000351B0000}"/>
    <cellStyle name="표준 20 6 2 2 3 4" xfId="8891" xr:uid="{00000000-0005-0000-0000-0000361B0000}"/>
    <cellStyle name="표준 20 6 2 2 3 5" xfId="6361" xr:uid="{00000000-0005-0000-0000-0000371B0000}"/>
    <cellStyle name="표준 20 6 2 2 4" xfId="5303" xr:uid="{00000000-0005-0000-0000-0000381B0000}"/>
    <cellStyle name="표준 20 6 2 2 4 2" xfId="7209" xr:uid="{00000000-0005-0000-0000-0000391B0000}"/>
    <cellStyle name="표준 20 6 2 2 4 2 2" xfId="9732" xr:uid="{00000000-0005-0000-0000-00003A1B0000}"/>
    <cellStyle name="표준 20 6 2 2 4 3" xfId="8050" xr:uid="{00000000-0005-0000-0000-00003B1B0000}"/>
    <cellStyle name="표준 20 6 2 2 4 4" xfId="8892" xr:uid="{00000000-0005-0000-0000-00003C1B0000}"/>
    <cellStyle name="표준 20 6 2 2 4 5" xfId="6362" xr:uid="{00000000-0005-0000-0000-00003D1B0000}"/>
    <cellStyle name="표준 20 6 2 2 5" xfId="7206" xr:uid="{00000000-0005-0000-0000-00003E1B0000}"/>
    <cellStyle name="표준 20 6 2 2 5 2" xfId="9729" xr:uid="{00000000-0005-0000-0000-00003F1B0000}"/>
    <cellStyle name="표준 20 6 2 2 6" xfId="8047" xr:uid="{00000000-0005-0000-0000-0000401B0000}"/>
    <cellStyle name="표준 20 6 2 2 7" xfId="8889" xr:uid="{00000000-0005-0000-0000-0000411B0000}"/>
    <cellStyle name="표준 20 6 2 2 8" xfId="6359" xr:uid="{00000000-0005-0000-0000-0000421B0000}"/>
    <cellStyle name="표준 20 6 2 3" xfId="5304" xr:uid="{00000000-0005-0000-0000-0000431B0000}"/>
    <cellStyle name="표준 20 6 2 3 2" xfId="7210" xr:uid="{00000000-0005-0000-0000-0000441B0000}"/>
    <cellStyle name="표준 20 6 2 3 2 2" xfId="9733" xr:uid="{00000000-0005-0000-0000-0000451B0000}"/>
    <cellStyle name="표준 20 6 2 3 3" xfId="8051" xr:uid="{00000000-0005-0000-0000-0000461B0000}"/>
    <cellStyle name="표준 20 6 2 3 4" xfId="8893" xr:uid="{00000000-0005-0000-0000-0000471B0000}"/>
    <cellStyle name="표준 20 6 2 3 5" xfId="6363" xr:uid="{00000000-0005-0000-0000-0000481B0000}"/>
    <cellStyle name="표준 20 6 2 4" xfId="5305" xr:uid="{00000000-0005-0000-0000-0000491B0000}"/>
    <cellStyle name="표준 20 6 2 4 2" xfId="7211" xr:uid="{00000000-0005-0000-0000-00004A1B0000}"/>
    <cellStyle name="표준 20 6 2 4 2 2" xfId="9734" xr:uid="{00000000-0005-0000-0000-00004B1B0000}"/>
    <cellStyle name="표준 20 6 2 4 3" xfId="8052" xr:uid="{00000000-0005-0000-0000-00004C1B0000}"/>
    <cellStyle name="표준 20 6 2 4 4" xfId="8894" xr:uid="{00000000-0005-0000-0000-00004D1B0000}"/>
    <cellStyle name="표준 20 6 2 4 5" xfId="6364" xr:uid="{00000000-0005-0000-0000-00004E1B0000}"/>
    <cellStyle name="표준 20 6 2 5" xfId="5306" xr:uid="{00000000-0005-0000-0000-00004F1B0000}"/>
    <cellStyle name="표준 20 6 2 5 2" xfId="7212" xr:uid="{00000000-0005-0000-0000-0000501B0000}"/>
    <cellStyle name="표준 20 6 2 5 2 2" xfId="9735" xr:uid="{00000000-0005-0000-0000-0000511B0000}"/>
    <cellStyle name="표준 20 6 2 5 3" xfId="8053" xr:uid="{00000000-0005-0000-0000-0000521B0000}"/>
    <cellStyle name="표준 20 6 2 5 4" xfId="8895" xr:uid="{00000000-0005-0000-0000-0000531B0000}"/>
    <cellStyle name="표준 20 6 2 5 5" xfId="6365" xr:uid="{00000000-0005-0000-0000-0000541B0000}"/>
    <cellStyle name="표준 20 6 2 6" xfId="7205" xr:uid="{00000000-0005-0000-0000-0000551B0000}"/>
    <cellStyle name="표준 20 6 2 6 2" xfId="9728" xr:uid="{00000000-0005-0000-0000-0000561B0000}"/>
    <cellStyle name="표준 20 6 2 7" xfId="8046" xr:uid="{00000000-0005-0000-0000-0000571B0000}"/>
    <cellStyle name="표준 20 6 2 8" xfId="8888" xr:uid="{00000000-0005-0000-0000-0000581B0000}"/>
    <cellStyle name="표준 20 6 2 9" xfId="6358" xr:uid="{00000000-0005-0000-0000-0000591B0000}"/>
    <cellStyle name="표준 20 6 3" xfId="5307" xr:uid="{00000000-0005-0000-0000-00005A1B0000}"/>
    <cellStyle name="표준 20 6 3 2" xfId="5308" xr:uid="{00000000-0005-0000-0000-00005B1B0000}"/>
    <cellStyle name="표준 20 6 3 2 2" xfId="7214" xr:uid="{00000000-0005-0000-0000-00005C1B0000}"/>
    <cellStyle name="표준 20 6 3 2 2 2" xfId="9737" xr:uid="{00000000-0005-0000-0000-00005D1B0000}"/>
    <cellStyle name="표준 20 6 3 2 3" xfId="8055" xr:uid="{00000000-0005-0000-0000-00005E1B0000}"/>
    <cellStyle name="표준 20 6 3 2 4" xfId="8897" xr:uid="{00000000-0005-0000-0000-00005F1B0000}"/>
    <cellStyle name="표준 20 6 3 2 5" xfId="6367" xr:uid="{00000000-0005-0000-0000-0000601B0000}"/>
    <cellStyle name="표준 20 6 3 3" xfId="5309" xr:uid="{00000000-0005-0000-0000-0000611B0000}"/>
    <cellStyle name="표준 20 6 3 3 2" xfId="7215" xr:uid="{00000000-0005-0000-0000-0000621B0000}"/>
    <cellStyle name="표준 20 6 3 3 2 2" xfId="9738" xr:uid="{00000000-0005-0000-0000-0000631B0000}"/>
    <cellStyle name="표준 20 6 3 3 3" xfId="8056" xr:uid="{00000000-0005-0000-0000-0000641B0000}"/>
    <cellStyle name="표준 20 6 3 3 4" xfId="8898" xr:uid="{00000000-0005-0000-0000-0000651B0000}"/>
    <cellStyle name="표준 20 6 3 3 5" xfId="6368" xr:uid="{00000000-0005-0000-0000-0000661B0000}"/>
    <cellStyle name="표준 20 6 3 4" xfId="5310" xr:uid="{00000000-0005-0000-0000-0000671B0000}"/>
    <cellStyle name="표준 20 6 3 4 2" xfId="7216" xr:uid="{00000000-0005-0000-0000-0000681B0000}"/>
    <cellStyle name="표준 20 6 3 4 2 2" xfId="9739" xr:uid="{00000000-0005-0000-0000-0000691B0000}"/>
    <cellStyle name="표준 20 6 3 4 3" xfId="8057" xr:uid="{00000000-0005-0000-0000-00006A1B0000}"/>
    <cellStyle name="표준 20 6 3 4 4" xfId="8899" xr:uid="{00000000-0005-0000-0000-00006B1B0000}"/>
    <cellStyle name="표준 20 6 3 4 5" xfId="6369" xr:uid="{00000000-0005-0000-0000-00006C1B0000}"/>
    <cellStyle name="표준 20 6 3 5" xfId="7213" xr:uid="{00000000-0005-0000-0000-00006D1B0000}"/>
    <cellStyle name="표준 20 6 3 5 2" xfId="9736" xr:uid="{00000000-0005-0000-0000-00006E1B0000}"/>
    <cellStyle name="표준 20 6 3 6" xfId="8054" xr:uid="{00000000-0005-0000-0000-00006F1B0000}"/>
    <cellStyle name="표준 20 6 3 7" xfId="8896" xr:uid="{00000000-0005-0000-0000-0000701B0000}"/>
    <cellStyle name="표준 20 6 3 8" xfId="6366" xr:uid="{00000000-0005-0000-0000-0000711B0000}"/>
    <cellStyle name="표준 20 6 4" xfId="5311" xr:uid="{00000000-0005-0000-0000-0000721B0000}"/>
    <cellStyle name="표준 20 6 4 2" xfId="7217" xr:uid="{00000000-0005-0000-0000-0000731B0000}"/>
    <cellStyle name="표준 20 6 4 2 2" xfId="9740" xr:uid="{00000000-0005-0000-0000-0000741B0000}"/>
    <cellStyle name="표준 20 6 4 3" xfId="8058" xr:uid="{00000000-0005-0000-0000-0000751B0000}"/>
    <cellStyle name="표준 20 6 4 4" xfId="8900" xr:uid="{00000000-0005-0000-0000-0000761B0000}"/>
    <cellStyle name="표준 20 6 4 5" xfId="6370" xr:uid="{00000000-0005-0000-0000-0000771B0000}"/>
    <cellStyle name="표준 20 6 5" xfId="5312" xr:uid="{00000000-0005-0000-0000-0000781B0000}"/>
    <cellStyle name="표준 20 6 5 2" xfId="7218" xr:uid="{00000000-0005-0000-0000-0000791B0000}"/>
    <cellStyle name="표준 20 6 5 2 2" xfId="9741" xr:uid="{00000000-0005-0000-0000-00007A1B0000}"/>
    <cellStyle name="표준 20 6 5 3" xfId="8059" xr:uid="{00000000-0005-0000-0000-00007B1B0000}"/>
    <cellStyle name="표준 20 6 5 4" xfId="8901" xr:uid="{00000000-0005-0000-0000-00007C1B0000}"/>
    <cellStyle name="표준 20 6 5 5" xfId="6371" xr:uid="{00000000-0005-0000-0000-00007D1B0000}"/>
    <cellStyle name="표준 20 6 6" xfId="5313" xr:uid="{00000000-0005-0000-0000-00007E1B0000}"/>
    <cellStyle name="표준 20 6 6 2" xfId="7219" xr:uid="{00000000-0005-0000-0000-00007F1B0000}"/>
    <cellStyle name="표준 20 6 6 2 2" xfId="9742" xr:uid="{00000000-0005-0000-0000-0000801B0000}"/>
    <cellStyle name="표준 20 6 6 3" xfId="8060" xr:uid="{00000000-0005-0000-0000-0000811B0000}"/>
    <cellStyle name="표준 20 6 6 4" xfId="8902" xr:uid="{00000000-0005-0000-0000-0000821B0000}"/>
    <cellStyle name="표준 20 6 6 5" xfId="6372" xr:uid="{00000000-0005-0000-0000-0000831B0000}"/>
    <cellStyle name="표준 20 6 7" xfId="7204" xr:uid="{00000000-0005-0000-0000-0000841B0000}"/>
    <cellStyle name="표준 20 6 7 2" xfId="9727" xr:uid="{00000000-0005-0000-0000-0000851B0000}"/>
    <cellStyle name="표준 20 6 8" xfId="8045" xr:uid="{00000000-0005-0000-0000-0000861B0000}"/>
    <cellStyle name="표준 20 6 9" xfId="8887" xr:uid="{00000000-0005-0000-0000-0000871B0000}"/>
    <cellStyle name="표준 20 7" xfId="5314" xr:uid="{00000000-0005-0000-0000-0000881B0000}"/>
    <cellStyle name="표준 20 7 2" xfId="5315" xr:uid="{00000000-0005-0000-0000-0000891B0000}"/>
    <cellStyle name="표준 20 7 2 2" xfId="5316" xr:uid="{00000000-0005-0000-0000-00008A1B0000}"/>
    <cellStyle name="표준 20 7 2 2 2" xfId="7222" xr:uid="{00000000-0005-0000-0000-00008B1B0000}"/>
    <cellStyle name="표준 20 7 2 2 2 2" xfId="9745" xr:uid="{00000000-0005-0000-0000-00008C1B0000}"/>
    <cellStyle name="표준 20 7 2 2 3" xfId="8063" xr:uid="{00000000-0005-0000-0000-00008D1B0000}"/>
    <cellStyle name="표준 20 7 2 2 4" xfId="8905" xr:uid="{00000000-0005-0000-0000-00008E1B0000}"/>
    <cellStyle name="표준 20 7 2 2 5" xfId="6375" xr:uid="{00000000-0005-0000-0000-00008F1B0000}"/>
    <cellStyle name="표준 20 7 2 3" xfId="5317" xr:uid="{00000000-0005-0000-0000-0000901B0000}"/>
    <cellStyle name="표준 20 7 2 3 2" xfId="7223" xr:uid="{00000000-0005-0000-0000-0000911B0000}"/>
    <cellStyle name="표준 20 7 2 3 2 2" xfId="9746" xr:uid="{00000000-0005-0000-0000-0000921B0000}"/>
    <cellStyle name="표준 20 7 2 3 3" xfId="8064" xr:uid="{00000000-0005-0000-0000-0000931B0000}"/>
    <cellStyle name="표준 20 7 2 3 4" xfId="8906" xr:uid="{00000000-0005-0000-0000-0000941B0000}"/>
    <cellStyle name="표준 20 7 2 3 5" xfId="6376" xr:uid="{00000000-0005-0000-0000-0000951B0000}"/>
    <cellStyle name="표준 20 7 2 4" xfId="5318" xr:uid="{00000000-0005-0000-0000-0000961B0000}"/>
    <cellStyle name="표준 20 7 2 4 2" xfId="7224" xr:uid="{00000000-0005-0000-0000-0000971B0000}"/>
    <cellStyle name="표준 20 7 2 4 2 2" xfId="9747" xr:uid="{00000000-0005-0000-0000-0000981B0000}"/>
    <cellStyle name="표준 20 7 2 4 3" xfId="8065" xr:uid="{00000000-0005-0000-0000-0000991B0000}"/>
    <cellStyle name="표준 20 7 2 4 4" xfId="8907" xr:uid="{00000000-0005-0000-0000-00009A1B0000}"/>
    <cellStyle name="표준 20 7 2 4 5" xfId="6377" xr:uid="{00000000-0005-0000-0000-00009B1B0000}"/>
    <cellStyle name="표준 20 7 2 5" xfId="7221" xr:uid="{00000000-0005-0000-0000-00009C1B0000}"/>
    <cellStyle name="표준 20 7 2 5 2" xfId="9744" xr:uid="{00000000-0005-0000-0000-00009D1B0000}"/>
    <cellStyle name="표준 20 7 2 6" xfId="8062" xr:uid="{00000000-0005-0000-0000-00009E1B0000}"/>
    <cellStyle name="표준 20 7 2 7" xfId="8904" xr:uid="{00000000-0005-0000-0000-00009F1B0000}"/>
    <cellStyle name="표준 20 7 2 8" xfId="6374" xr:uid="{00000000-0005-0000-0000-0000A01B0000}"/>
    <cellStyle name="표준 20 7 3" xfId="5319" xr:uid="{00000000-0005-0000-0000-0000A11B0000}"/>
    <cellStyle name="표준 20 7 3 2" xfId="7225" xr:uid="{00000000-0005-0000-0000-0000A21B0000}"/>
    <cellStyle name="표준 20 7 3 2 2" xfId="9748" xr:uid="{00000000-0005-0000-0000-0000A31B0000}"/>
    <cellStyle name="표준 20 7 3 3" xfId="8066" xr:uid="{00000000-0005-0000-0000-0000A41B0000}"/>
    <cellStyle name="표준 20 7 3 4" xfId="8908" xr:uid="{00000000-0005-0000-0000-0000A51B0000}"/>
    <cellStyle name="표준 20 7 3 5" xfId="6378" xr:uid="{00000000-0005-0000-0000-0000A61B0000}"/>
    <cellStyle name="표준 20 7 4" xfId="5320" xr:uid="{00000000-0005-0000-0000-0000A71B0000}"/>
    <cellStyle name="표준 20 7 4 2" xfId="7226" xr:uid="{00000000-0005-0000-0000-0000A81B0000}"/>
    <cellStyle name="표준 20 7 4 2 2" xfId="9749" xr:uid="{00000000-0005-0000-0000-0000A91B0000}"/>
    <cellStyle name="표준 20 7 4 3" xfId="8067" xr:uid="{00000000-0005-0000-0000-0000AA1B0000}"/>
    <cellStyle name="표준 20 7 4 4" xfId="8909" xr:uid="{00000000-0005-0000-0000-0000AB1B0000}"/>
    <cellStyle name="표준 20 7 4 5" xfId="6379" xr:uid="{00000000-0005-0000-0000-0000AC1B0000}"/>
    <cellStyle name="표준 20 7 5" xfId="5321" xr:uid="{00000000-0005-0000-0000-0000AD1B0000}"/>
    <cellStyle name="표준 20 7 5 2" xfId="7227" xr:uid="{00000000-0005-0000-0000-0000AE1B0000}"/>
    <cellStyle name="표준 20 7 5 2 2" xfId="9750" xr:uid="{00000000-0005-0000-0000-0000AF1B0000}"/>
    <cellStyle name="표준 20 7 5 3" xfId="8068" xr:uid="{00000000-0005-0000-0000-0000B01B0000}"/>
    <cellStyle name="표준 20 7 5 4" xfId="8910" xr:uid="{00000000-0005-0000-0000-0000B11B0000}"/>
    <cellStyle name="표준 20 7 5 5" xfId="6380" xr:uid="{00000000-0005-0000-0000-0000B21B0000}"/>
    <cellStyle name="표준 20 7 6" xfId="7220" xr:uid="{00000000-0005-0000-0000-0000B31B0000}"/>
    <cellStyle name="표준 20 7 6 2" xfId="9743" xr:uid="{00000000-0005-0000-0000-0000B41B0000}"/>
    <cellStyle name="표준 20 7 7" xfId="8061" xr:uid="{00000000-0005-0000-0000-0000B51B0000}"/>
    <cellStyle name="표준 20 7 8" xfId="8903" xr:uid="{00000000-0005-0000-0000-0000B61B0000}"/>
    <cellStyle name="표준 20 7 9" xfId="6373" xr:uid="{00000000-0005-0000-0000-0000B71B0000}"/>
    <cellStyle name="표준 20 8" xfId="5322" xr:uid="{00000000-0005-0000-0000-0000B81B0000}"/>
    <cellStyle name="표준 20 8 2" xfId="5323" xr:uid="{00000000-0005-0000-0000-0000B91B0000}"/>
    <cellStyle name="표준 20 8 2 2" xfId="7229" xr:uid="{00000000-0005-0000-0000-0000BA1B0000}"/>
    <cellStyle name="표준 20 8 2 2 2" xfId="9752" xr:uid="{00000000-0005-0000-0000-0000BB1B0000}"/>
    <cellStyle name="표준 20 8 2 3" xfId="8070" xr:uid="{00000000-0005-0000-0000-0000BC1B0000}"/>
    <cellStyle name="표준 20 8 2 4" xfId="8912" xr:uid="{00000000-0005-0000-0000-0000BD1B0000}"/>
    <cellStyle name="표준 20 8 2 5" xfId="6382" xr:uid="{00000000-0005-0000-0000-0000BE1B0000}"/>
    <cellStyle name="표준 20 8 3" xfId="5324" xr:uid="{00000000-0005-0000-0000-0000BF1B0000}"/>
    <cellStyle name="표준 20 8 3 2" xfId="7230" xr:uid="{00000000-0005-0000-0000-0000C01B0000}"/>
    <cellStyle name="표준 20 8 3 2 2" xfId="9753" xr:uid="{00000000-0005-0000-0000-0000C11B0000}"/>
    <cellStyle name="표준 20 8 3 3" xfId="8071" xr:uid="{00000000-0005-0000-0000-0000C21B0000}"/>
    <cellStyle name="표준 20 8 3 4" xfId="8913" xr:uid="{00000000-0005-0000-0000-0000C31B0000}"/>
    <cellStyle name="표준 20 8 3 5" xfId="6383" xr:uid="{00000000-0005-0000-0000-0000C41B0000}"/>
    <cellStyle name="표준 20 8 4" xfId="5325" xr:uid="{00000000-0005-0000-0000-0000C51B0000}"/>
    <cellStyle name="표준 20 8 4 2" xfId="7231" xr:uid="{00000000-0005-0000-0000-0000C61B0000}"/>
    <cellStyle name="표준 20 8 4 2 2" xfId="9754" xr:uid="{00000000-0005-0000-0000-0000C71B0000}"/>
    <cellStyle name="표준 20 8 4 3" xfId="8072" xr:uid="{00000000-0005-0000-0000-0000C81B0000}"/>
    <cellStyle name="표준 20 8 4 4" xfId="8914" xr:uid="{00000000-0005-0000-0000-0000C91B0000}"/>
    <cellStyle name="표준 20 8 4 5" xfId="6384" xr:uid="{00000000-0005-0000-0000-0000CA1B0000}"/>
    <cellStyle name="표준 20 8 5" xfId="7228" xr:uid="{00000000-0005-0000-0000-0000CB1B0000}"/>
    <cellStyle name="표준 20 8 5 2" xfId="9751" xr:uid="{00000000-0005-0000-0000-0000CC1B0000}"/>
    <cellStyle name="표준 20 8 6" xfId="8069" xr:uid="{00000000-0005-0000-0000-0000CD1B0000}"/>
    <cellStyle name="표준 20 8 7" xfId="8911" xr:uid="{00000000-0005-0000-0000-0000CE1B0000}"/>
    <cellStyle name="표준 20 8 8" xfId="6381" xr:uid="{00000000-0005-0000-0000-0000CF1B0000}"/>
    <cellStyle name="표준 20 9" xfId="5326" xr:uid="{00000000-0005-0000-0000-0000D01B0000}"/>
    <cellStyle name="표준 21" xfId="5327" xr:uid="{00000000-0005-0000-0000-0000D11B0000}"/>
    <cellStyle name="표준 21 10" xfId="5328" xr:uid="{00000000-0005-0000-0000-0000D21B0000}"/>
    <cellStyle name="표준 21 10 2" xfId="7233" xr:uid="{00000000-0005-0000-0000-0000D31B0000}"/>
    <cellStyle name="표준 21 10 2 2" xfId="9756" xr:uid="{00000000-0005-0000-0000-0000D41B0000}"/>
    <cellStyle name="표준 21 10 3" xfId="8074" xr:uid="{00000000-0005-0000-0000-0000D51B0000}"/>
    <cellStyle name="표준 21 10 4" xfId="8916" xr:uid="{00000000-0005-0000-0000-0000D61B0000}"/>
    <cellStyle name="표준 21 10 5" xfId="6386" xr:uid="{00000000-0005-0000-0000-0000D71B0000}"/>
    <cellStyle name="표준 21 11" xfId="5329" xr:uid="{00000000-0005-0000-0000-0000D81B0000}"/>
    <cellStyle name="표준 21 11 2" xfId="7234" xr:uid="{00000000-0005-0000-0000-0000D91B0000}"/>
    <cellStyle name="표준 21 11 2 2" xfId="9757" xr:uid="{00000000-0005-0000-0000-0000DA1B0000}"/>
    <cellStyle name="표준 21 11 3" xfId="8075" xr:uid="{00000000-0005-0000-0000-0000DB1B0000}"/>
    <cellStyle name="표준 21 11 4" xfId="8917" xr:uid="{00000000-0005-0000-0000-0000DC1B0000}"/>
    <cellStyle name="표준 21 11 5" xfId="6387" xr:uid="{00000000-0005-0000-0000-0000DD1B0000}"/>
    <cellStyle name="표준 21 12" xfId="7232" xr:uid="{00000000-0005-0000-0000-0000DE1B0000}"/>
    <cellStyle name="표준 21 12 2" xfId="9755" xr:uid="{00000000-0005-0000-0000-0000DF1B0000}"/>
    <cellStyle name="표준 21 13" xfId="8073" xr:uid="{00000000-0005-0000-0000-0000E01B0000}"/>
    <cellStyle name="표준 21 14" xfId="8915" xr:uid="{00000000-0005-0000-0000-0000E11B0000}"/>
    <cellStyle name="표준 21 15" xfId="6385" xr:uid="{00000000-0005-0000-0000-0000E21B0000}"/>
    <cellStyle name="표준 21 2" xfId="5330" xr:uid="{00000000-0005-0000-0000-0000E31B0000}"/>
    <cellStyle name="표준 21 2 10" xfId="5331" xr:uid="{00000000-0005-0000-0000-0000E41B0000}"/>
    <cellStyle name="표준 21 2 10 2" xfId="7236" xr:uid="{00000000-0005-0000-0000-0000E51B0000}"/>
    <cellStyle name="표준 21 2 10 2 2" xfId="9759" xr:uid="{00000000-0005-0000-0000-0000E61B0000}"/>
    <cellStyle name="표준 21 2 10 3" xfId="8077" xr:uid="{00000000-0005-0000-0000-0000E71B0000}"/>
    <cellStyle name="표준 21 2 10 4" xfId="8919" xr:uid="{00000000-0005-0000-0000-0000E81B0000}"/>
    <cellStyle name="표준 21 2 10 5" xfId="6389" xr:uid="{00000000-0005-0000-0000-0000E91B0000}"/>
    <cellStyle name="표준 21 2 11" xfId="7235" xr:uid="{00000000-0005-0000-0000-0000EA1B0000}"/>
    <cellStyle name="표준 21 2 11 2" xfId="9758" xr:uid="{00000000-0005-0000-0000-0000EB1B0000}"/>
    <cellStyle name="표준 21 2 12" xfId="8076" xr:uid="{00000000-0005-0000-0000-0000EC1B0000}"/>
    <cellStyle name="표준 21 2 13" xfId="8918" xr:uid="{00000000-0005-0000-0000-0000ED1B0000}"/>
    <cellStyle name="표준 21 2 14" xfId="6388" xr:uid="{00000000-0005-0000-0000-0000EE1B0000}"/>
    <cellStyle name="표준 21 2 2" xfId="5332" xr:uid="{00000000-0005-0000-0000-0000EF1B0000}"/>
    <cellStyle name="표준 21 2 2 10" xfId="8078" xr:uid="{00000000-0005-0000-0000-0000F01B0000}"/>
    <cellStyle name="표준 21 2 2 11" xfId="8920" xr:uid="{00000000-0005-0000-0000-0000F11B0000}"/>
    <cellStyle name="표준 21 2 2 12" xfId="6390" xr:uid="{00000000-0005-0000-0000-0000F21B0000}"/>
    <cellStyle name="표준 21 2 2 2" xfId="5333" xr:uid="{00000000-0005-0000-0000-0000F31B0000}"/>
    <cellStyle name="표준 21 2 2 2 10" xfId="6391" xr:uid="{00000000-0005-0000-0000-0000F41B0000}"/>
    <cellStyle name="표준 21 2 2 2 2" xfId="5334" xr:uid="{00000000-0005-0000-0000-0000F51B0000}"/>
    <cellStyle name="표준 21 2 2 2 2 2" xfId="5335" xr:uid="{00000000-0005-0000-0000-0000F61B0000}"/>
    <cellStyle name="표준 21 2 2 2 2 2 2" xfId="5336" xr:uid="{00000000-0005-0000-0000-0000F71B0000}"/>
    <cellStyle name="표준 21 2 2 2 2 2 2 2" xfId="7241" xr:uid="{00000000-0005-0000-0000-0000F81B0000}"/>
    <cellStyle name="표준 21 2 2 2 2 2 2 2 2" xfId="9764" xr:uid="{00000000-0005-0000-0000-0000F91B0000}"/>
    <cellStyle name="표준 21 2 2 2 2 2 2 3" xfId="8082" xr:uid="{00000000-0005-0000-0000-0000FA1B0000}"/>
    <cellStyle name="표준 21 2 2 2 2 2 2 4" xfId="8924" xr:uid="{00000000-0005-0000-0000-0000FB1B0000}"/>
    <cellStyle name="표준 21 2 2 2 2 2 2 5" xfId="6394" xr:uid="{00000000-0005-0000-0000-0000FC1B0000}"/>
    <cellStyle name="표준 21 2 2 2 2 2 3" xfId="5337" xr:uid="{00000000-0005-0000-0000-0000FD1B0000}"/>
    <cellStyle name="표준 21 2 2 2 2 2 3 2" xfId="7242" xr:uid="{00000000-0005-0000-0000-0000FE1B0000}"/>
    <cellStyle name="표준 21 2 2 2 2 2 3 2 2" xfId="9765" xr:uid="{00000000-0005-0000-0000-0000FF1B0000}"/>
    <cellStyle name="표준 21 2 2 2 2 2 3 3" xfId="8083" xr:uid="{00000000-0005-0000-0000-0000001C0000}"/>
    <cellStyle name="표준 21 2 2 2 2 2 3 4" xfId="8925" xr:uid="{00000000-0005-0000-0000-0000011C0000}"/>
    <cellStyle name="표준 21 2 2 2 2 2 3 5" xfId="6395" xr:uid="{00000000-0005-0000-0000-0000021C0000}"/>
    <cellStyle name="표준 21 2 2 2 2 2 4" xfId="5338" xr:uid="{00000000-0005-0000-0000-0000031C0000}"/>
    <cellStyle name="표준 21 2 2 2 2 2 4 2" xfId="7243" xr:uid="{00000000-0005-0000-0000-0000041C0000}"/>
    <cellStyle name="표준 21 2 2 2 2 2 4 2 2" xfId="9766" xr:uid="{00000000-0005-0000-0000-0000051C0000}"/>
    <cellStyle name="표준 21 2 2 2 2 2 4 3" xfId="8084" xr:uid="{00000000-0005-0000-0000-0000061C0000}"/>
    <cellStyle name="표준 21 2 2 2 2 2 4 4" xfId="8926" xr:uid="{00000000-0005-0000-0000-0000071C0000}"/>
    <cellStyle name="표준 21 2 2 2 2 2 4 5" xfId="6396" xr:uid="{00000000-0005-0000-0000-0000081C0000}"/>
    <cellStyle name="표준 21 2 2 2 2 2 5" xfId="7240" xr:uid="{00000000-0005-0000-0000-0000091C0000}"/>
    <cellStyle name="표준 21 2 2 2 2 2 5 2" xfId="9763" xr:uid="{00000000-0005-0000-0000-00000A1C0000}"/>
    <cellStyle name="표준 21 2 2 2 2 2 6" xfId="8081" xr:uid="{00000000-0005-0000-0000-00000B1C0000}"/>
    <cellStyle name="표준 21 2 2 2 2 2 7" xfId="8923" xr:uid="{00000000-0005-0000-0000-00000C1C0000}"/>
    <cellStyle name="표준 21 2 2 2 2 2 8" xfId="6393" xr:uid="{00000000-0005-0000-0000-00000D1C0000}"/>
    <cellStyle name="표준 21 2 2 2 2 3" xfId="5339" xr:uid="{00000000-0005-0000-0000-00000E1C0000}"/>
    <cellStyle name="표준 21 2 2 2 2 3 2" xfId="7244" xr:uid="{00000000-0005-0000-0000-00000F1C0000}"/>
    <cellStyle name="표준 21 2 2 2 2 3 2 2" xfId="9767" xr:uid="{00000000-0005-0000-0000-0000101C0000}"/>
    <cellStyle name="표준 21 2 2 2 2 3 3" xfId="8085" xr:uid="{00000000-0005-0000-0000-0000111C0000}"/>
    <cellStyle name="표준 21 2 2 2 2 3 4" xfId="8927" xr:uid="{00000000-0005-0000-0000-0000121C0000}"/>
    <cellStyle name="표준 21 2 2 2 2 3 5" xfId="6397" xr:uid="{00000000-0005-0000-0000-0000131C0000}"/>
    <cellStyle name="표준 21 2 2 2 2 4" xfId="5340" xr:uid="{00000000-0005-0000-0000-0000141C0000}"/>
    <cellStyle name="표준 21 2 2 2 2 4 2" xfId="7245" xr:uid="{00000000-0005-0000-0000-0000151C0000}"/>
    <cellStyle name="표준 21 2 2 2 2 4 2 2" xfId="9768" xr:uid="{00000000-0005-0000-0000-0000161C0000}"/>
    <cellStyle name="표준 21 2 2 2 2 4 3" xfId="8086" xr:uid="{00000000-0005-0000-0000-0000171C0000}"/>
    <cellStyle name="표준 21 2 2 2 2 4 4" xfId="8928" xr:uid="{00000000-0005-0000-0000-0000181C0000}"/>
    <cellStyle name="표준 21 2 2 2 2 4 5" xfId="6398" xr:uid="{00000000-0005-0000-0000-0000191C0000}"/>
    <cellStyle name="표준 21 2 2 2 2 5" xfId="5341" xr:uid="{00000000-0005-0000-0000-00001A1C0000}"/>
    <cellStyle name="표준 21 2 2 2 2 5 2" xfId="7246" xr:uid="{00000000-0005-0000-0000-00001B1C0000}"/>
    <cellStyle name="표준 21 2 2 2 2 5 2 2" xfId="9769" xr:uid="{00000000-0005-0000-0000-00001C1C0000}"/>
    <cellStyle name="표준 21 2 2 2 2 5 3" xfId="8087" xr:uid="{00000000-0005-0000-0000-00001D1C0000}"/>
    <cellStyle name="표준 21 2 2 2 2 5 4" xfId="8929" xr:uid="{00000000-0005-0000-0000-00001E1C0000}"/>
    <cellStyle name="표준 21 2 2 2 2 5 5" xfId="6399" xr:uid="{00000000-0005-0000-0000-00001F1C0000}"/>
    <cellStyle name="표준 21 2 2 2 2 6" xfId="7239" xr:uid="{00000000-0005-0000-0000-0000201C0000}"/>
    <cellStyle name="표준 21 2 2 2 2 6 2" xfId="9762" xr:uid="{00000000-0005-0000-0000-0000211C0000}"/>
    <cellStyle name="표준 21 2 2 2 2 7" xfId="8080" xr:uid="{00000000-0005-0000-0000-0000221C0000}"/>
    <cellStyle name="표준 21 2 2 2 2 8" xfId="8922" xr:uid="{00000000-0005-0000-0000-0000231C0000}"/>
    <cellStyle name="표준 21 2 2 2 2 9" xfId="6392" xr:uid="{00000000-0005-0000-0000-0000241C0000}"/>
    <cellStyle name="표준 21 2 2 2 3" xfId="5342" xr:uid="{00000000-0005-0000-0000-0000251C0000}"/>
    <cellStyle name="표준 21 2 2 2 3 2" xfId="5343" xr:uid="{00000000-0005-0000-0000-0000261C0000}"/>
    <cellStyle name="표준 21 2 2 2 3 2 2" xfId="7248" xr:uid="{00000000-0005-0000-0000-0000271C0000}"/>
    <cellStyle name="표준 21 2 2 2 3 2 2 2" xfId="9771" xr:uid="{00000000-0005-0000-0000-0000281C0000}"/>
    <cellStyle name="표준 21 2 2 2 3 2 3" xfId="8089" xr:uid="{00000000-0005-0000-0000-0000291C0000}"/>
    <cellStyle name="표준 21 2 2 2 3 2 4" xfId="8931" xr:uid="{00000000-0005-0000-0000-00002A1C0000}"/>
    <cellStyle name="표준 21 2 2 2 3 2 5" xfId="6401" xr:uid="{00000000-0005-0000-0000-00002B1C0000}"/>
    <cellStyle name="표준 21 2 2 2 3 3" xfId="5344" xr:uid="{00000000-0005-0000-0000-00002C1C0000}"/>
    <cellStyle name="표준 21 2 2 2 3 3 2" xfId="7249" xr:uid="{00000000-0005-0000-0000-00002D1C0000}"/>
    <cellStyle name="표준 21 2 2 2 3 3 2 2" xfId="9772" xr:uid="{00000000-0005-0000-0000-00002E1C0000}"/>
    <cellStyle name="표준 21 2 2 2 3 3 3" xfId="8090" xr:uid="{00000000-0005-0000-0000-00002F1C0000}"/>
    <cellStyle name="표준 21 2 2 2 3 3 4" xfId="8932" xr:uid="{00000000-0005-0000-0000-0000301C0000}"/>
    <cellStyle name="표준 21 2 2 2 3 3 5" xfId="6402" xr:uid="{00000000-0005-0000-0000-0000311C0000}"/>
    <cellStyle name="표준 21 2 2 2 3 4" xfId="5345" xr:uid="{00000000-0005-0000-0000-0000321C0000}"/>
    <cellStyle name="표준 21 2 2 2 3 4 2" xfId="7250" xr:uid="{00000000-0005-0000-0000-0000331C0000}"/>
    <cellStyle name="표준 21 2 2 2 3 4 2 2" xfId="9773" xr:uid="{00000000-0005-0000-0000-0000341C0000}"/>
    <cellStyle name="표준 21 2 2 2 3 4 3" xfId="8091" xr:uid="{00000000-0005-0000-0000-0000351C0000}"/>
    <cellStyle name="표준 21 2 2 2 3 4 4" xfId="8933" xr:uid="{00000000-0005-0000-0000-0000361C0000}"/>
    <cellStyle name="표준 21 2 2 2 3 4 5" xfId="6403" xr:uid="{00000000-0005-0000-0000-0000371C0000}"/>
    <cellStyle name="표준 21 2 2 2 3 5" xfId="7247" xr:uid="{00000000-0005-0000-0000-0000381C0000}"/>
    <cellStyle name="표준 21 2 2 2 3 5 2" xfId="9770" xr:uid="{00000000-0005-0000-0000-0000391C0000}"/>
    <cellStyle name="표준 21 2 2 2 3 6" xfId="8088" xr:uid="{00000000-0005-0000-0000-00003A1C0000}"/>
    <cellStyle name="표준 21 2 2 2 3 7" xfId="8930" xr:uid="{00000000-0005-0000-0000-00003B1C0000}"/>
    <cellStyle name="표준 21 2 2 2 3 8" xfId="6400" xr:uid="{00000000-0005-0000-0000-00003C1C0000}"/>
    <cellStyle name="표준 21 2 2 2 4" xfId="5346" xr:uid="{00000000-0005-0000-0000-00003D1C0000}"/>
    <cellStyle name="표준 21 2 2 2 4 2" xfId="7251" xr:uid="{00000000-0005-0000-0000-00003E1C0000}"/>
    <cellStyle name="표준 21 2 2 2 4 2 2" xfId="9774" xr:uid="{00000000-0005-0000-0000-00003F1C0000}"/>
    <cellStyle name="표준 21 2 2 2 4 3" xfId="8092" xr:uid="{00000000-0005-0000-0000-0000401C0000}"/>
    <cellStyle name="표준 21 2 2 2 4 4" xfId="8934" xr:uid="{00000000-0005-0000-0000-0000411C0000}"/>
    <cellStyle name="표준 21 2 2 2 4 5" xfId="6404" xr:uid="{00000000-0005-0000-0000-0000421C0000}"/>
    <cellStyle name="표준 21 2 2 2 5" xfId="5347" xr:uid="{00000000-0005-0000-0000-0000431C0000}"/>
    <cellStyle name="표준 21 2 2 2 5 2" xfId="7252" xr:uid="{00000000-0005-0000-0000-0000441C0000}"/>
    <cellStyle name="표준 21 2 2 2 5 2 2" xfId="9775" xr:uid="{00000000-0005-0000-0000-0000451C0000}"/>
    <cellStyle name="표준 21 2 2 2 5 3" xfId="8093" xr:uid="{00000000-0005-0000-0000-0000461C0000}"/>
    <cellStyle name="표준 21 2 2 2 5 4" xfId="8935" xr:uid="{00000000-0005-0000-0000-0000471C0000}"/>
    <cellStyle name="표준 21 2 2 2 5 5" xfId="6405" xr:uid="{00000000-0005-0000-0000-0000481C0000}"/>
    <cellStyle name="표준 21 2 2 2 6" xfId="5348" xr:uid="{00000000-0005-0000-0000-0000491C0000}"/>
    <cellStyle name="표준 21 2 2 2 6 2" xfId="7253" xr:uid="{00000000-0005-0000-0000-00004A1C0000}"/>
    <cellStyle name="표준 21 2 2 2 6 2 2" xfId="9776" xr:uid="{00000000-0005-0000-0000-00004B1C0000}"/>
    <cellStyle name="표준 21 2 2 2 6 3" xfId="8094" xr:uid="{00000000-0005-0000-0000-00004C1C0000}"/>
    <cellStyle name="표준 21 2 2 2 6 4" xfId="8936" xr:uid="{00000000-0005-0000-0000-00004D1C0000}"/>
    <cellStyle name="표준 21 2 2 2 6 5" xfId="6406" xr:uid="{00000000-0005-0000-0000-00004E1C0000}"/>
    <cellStyle name="표준 21 2 2 2 7" xfId="7238" xr:uid="{00000000-0005-0000-0000-00004F1C0000}"/>
    <cellStyle name="표준 21 2 2 2 7 2" xfId="9761" xr:uid="{00000000-0005-0000-0000-0000501C0000}"/>
    <cellStyle name="표준 21 2 2 2 8" xfId="8079" xr:uid="{00000000-0005-0000-0000-0000511C0000}"/>
    <cellStyle name="표준 21 2 2 2 9" xfId="8921" xr:uid="{00000000-0005-0000-0000-0000521C0000}"/>
    <cellStyle name="표준 21 2 2 3" xfId="5349" xr:uid="{00000000-0005-0000-0000-0000531C0000}"/>
    <cellStyle name="표준 21 2 2 3 10" xfId="6407" xr:uid="{00000000-0005-0000-0000-0000541C0000}"/>
    <cellStyle name="표준 21 2 2 3 2" xfId="5350" xr:uid="{00000000-0005-0000-0000-0000551C0000}"/>
    <cellStyle name="표준 21 2 2 3 2 2" xfId="5351" xr:uid="{00000000-0005-0000-0000-0000561C0000}"/>
    <cellStyle name="표준 21 2 2 3 2 2 2" xfId="5352" xr:uid="{00000000-0005-0000-0000-0000571C0000}"/>
    <cellStyle name="표준 21 2 2 3 2 2 2 2" xfId="7257" xr:uid="{00000000-0005-0000-0000-0000581C0000}"/>
    <cellStyle name="표준 21 2 2 3 2 2 2 2 2" xfId="9780" xr:uid="{00000000-0005-0000-0000-0000591C0000}"/>
    <cellStyle name="표준 21 2 2 3 2 2 2 3" xfId="8098" xr:uid="{00000000-0005-0000-0000-00005A1C0000}"/>
    <cellStyle name="표준 21 2 2 3 2 2 2 4" xfId="8940" xr:uid="{00000000-0005-0000-0000-00005B1C0000}"/>
    <cellStyle name="표준 21 2 2 3 2 2 2 5" xfId="6410" xr:uid="{00000000-0005-0000-0000-00005C1C0000}"/>
    <cellStyle name="표준 21 2 2 3 2 2 3" xfId="5353" xr:uid="{00000000-0005-0000-0000-00005D1C0000}"/>
    <cellStyle name="표준 21 2 2 3 2 2 3 2" xfId="7258" xr:uid="{00000000-0005-0000-0000-00005E1C0000}"/>
    <cellStyle name="표준 21 2 2 3 2 2 3 2 2" xfId="9781" xr:uid="{00000000-0005-0000-0000-00005F1C0000}"/>
    <cellStyle name="표준 21 2 2 3 2 2 3 3" xfId="8099" xr:uid="{00000000-0005-0000-0000-0000601C0000}"/>
    <cellStyle name="표준 21 2 2 3 2 2 3 4" xfId="8941" xr:uid="{00000000-0005-0000-0000-0000611C0000}"/>
    <cellStyle name="표준 21 2 2 3 2 2 3 5" xfId="6411" xr:uid="{00000000-0005-0000-0000-0000621C0000}"/>
    <cellStyle name="표준 21 2 2 3 2 2 4" xfId="5354" xr:uid="{00000000-0005-0000-0000-0000631C0000}"/>
    <cellStyle name="표준 21 2 2 3 2 2 4 2" xfId="7259" xr:uid="{00000000-0005-0000-0000-0000641C0000}"/>
    <cellStyle name="표준 21 2 2 3 2 2 4 2 2" xfId="9782" xr:uid="{00000000-0005-0000-0000-0000651C0000}"/>
    <cellStyle name="표준 21 2 2 3 2 2 4 3" xfId="8100" xr:uid="{00000000-0005-0000-0000-0000661C0000}"/>
    <cellStyle name="표준 21 2 2 3 2 2 4 4" xfId="8942" xr:uid="{00000000-0005-0000-0000-0000671C0000}"/>
    <cellStyle name="표준 21 2 2 3 2 2 4 5" xfId="6412" xr:uid="{00000000-0005-0000-0000-0000681C0000}"/>
    <cellStyle name="표준 21 2 2 3 2 2 5" xfId="7256" xr:uid="{00000000-0005-0000-0000-0000691C0000}"/>
    <cellStyle name="표준 21 2 2 3 2 2 5 2" xfId="9779" xr:uid="{00000000-0005-0000-0000-00006A1C0000}"/>
    <cellStyle name="표준 21 2 2 3 2 2 6" xfId="8097" xr:uid="{00000000-0005-0000-0000-00006B1C0000}"/>
    <cellStyle name="표준 21 2 2 3 2 2 7" xfId="8939" xr:uid="{00000000-0005-0000-0000-00006C1C0000}"/>
    <cellStyle name="표준 21 2 2 3 2 2 8" xfId="6409" xr:uid="{00000000-0005-0000-0000-00006D1C0000}"/>
    <cellStyle name="표준 21 2 2 3 2 3" xfId="5355" xr:uid="{00000000-0005-0000-0000-00006E1C0000}"/>
    <cellStyle name="표준 21 2 2 3 2 3 2" xfId="7260" xr:uid="{00000000-0005-0000-0000-00006F1C0000}"/>
    <cellStyle name="표준 21 2 2 3 2 3 2 2" xfId="9783" xr:uid="{00000000-0005-0000-0000-0000701C0000}"/>
    <cellStyle name="표준 21 2 2 3 2 3 3" xfId="8101" xr:uid="{00000000-0005-0000-0000-0000711C0000}"/>
    <cellStyle name="표준 21 2 2 3 2 3 4" xfId="8943" xr:uid="{00000000-0005-0000-0000-0000721C0000}"/>
    <cellStyle name="표준 21 2 2 3 2 3 5" xfId="6413" xr:uid="{00000000-0005-0000-0000-0000731C0000}"/>
    <cellStyle name="표준 21 2 2 3 2 4" xfId="5356" xr:uid="{00000000-0005-0000-0000-0000741C0000}"/>
    <cellStyle name="표준 21 2 2 3 2 4 2" xfId="7261" xr:uid="{00000000-0005-0000-0000-0000751C0000}"/>
    <cellStyle name="표준 21 2 2 3 2 4 2 2" xfId="9784" xr:uid="{00000000-0005-0000-0000-0000761C0000}"/>
    <cellStyle name="표준 21 2 2 3 2 4 3" xfId="8102" xr:uid="{00000000-0005-0000-0000-0000771C0000}"/>
    <cellStyle name="표준 21 2 2 3 2 4 4" xfId="8944" xr:uid="{00000000-0005-0000-0000-0000781C0000}"/>
    <cellStyle name="표준 21 2 2 3 2 4 5" xfId="6414" xr:uid="{00000000-0005-0000-0000-0000791C0000}"/>
    <cellStyle name="표준 21 2 2 3 2 5" xfId="5357" xr:uid="{00000000-0005-0000-0000-00007A1C0000}"/>
    <cellStyle name="표준 21 2 2 3 2 5 2" xfId="7262" xr:uid="{00000000-0005-0000-0000-00007B1C0000}"/>
    <cellStyle name="표준 21 2 2 3 2 5 2 2" xfId="9785" xr:uid="{00000000-0005-0000-0000-00007C1C0000}"/>
    <cellStyle name="표준 21 2 2 3 2 5 3" xfId="8103" xr:uid="{00000000-0005-0000-0000-00007D1C0000}"/>
    <cellStyle name="표준 21 2 2 3 2 5 4" xfId="8945" xr:uid="{00000000-0005-0000-0000-00007E1C0000}"/>
    <cellStyle name="표준 21 2 2 3 2 5 5" xfId="6415" xr:uid="{00000000-0005-0000-0000-00007F1C0000}"/>
    <cellStyle name="표준 21 2 2 3 2 6" xfId="7255" xr:uid="{00000000-0005-0000-0000-0000801C0000}"/>
    <cellStyle name="표준 21 2 2 3 2 6 2" xfId="9778" xr:uid="{00000000-0005-0000-0000-0000811C0000}"/>
    <cellStyle name="표준 21 2 2 3 2 7" xfId="8096" xr:uid="{00000000-0005-0000-0000-0000821C0000}"/>
    <cellStyle name="표준 21 2 2 3 2 8" xfId="8938" xr:uid="{00000000-0005-0000-0000-0000831C0000}"/>
    <cellStyle name="표준 21 2 2 3 2 9" xfId="6408" xr:uid="{00000000-0005-0000-0000-0000841C0000}"/>
    <cellStyle name="표준 21 2 2 3 3" xfId="5358" xr:uid="{00000000-0005-0000-0000-0000851C0000}"/>
    <cellStyle name="표준 21 2 2 3 3 2" xfId="5359" xr:uid="{00000000-0005-0000-0000-0000861C0000}"/>
    <cellStyle name="표준 21 2 2 3 3 2 2" xfId="7264" xr:uid="{00000000-0005-0000-0000-0000871C0000}"/>
    <cellStyle name="표준 21 2 2 3 3 2 2 2" xfId="9787" xr:uid="{00000000-0005-0000-0000-0000881C0000}"/>
    <cellStyle name="표준 21 2 2 3 3 2 3" xfId="8105" xr:uid="{00000000-0005-0000-0000-0000891C0000}"/>
    <cellStyle name="표준 21 2 2 3 3 2 4" xfId="8947" xr:uid="{00000000-0005-0000-0000-00008A1C0000}"/>
    <cellStyle name="표준 21 2 2 3 3 2 5" xfId="6417" xr:uid="{00000000-0005-0000-0000-00008B1C0000}"/>
    <cellStyle name="표준 21 2 2 3 3 3" xfId="5360" xr:uid="{00000000-0005-0000-0000-00008C1C0000}"/>
    <cellStyle name="표준 21 2 2 3 3 3 2" xfId="7265" xr:uid="{00000000-0005-0000-0000-00008D1C0000}"/>
    <cellStyle name="표준 21 2 2 3 3 3 2 2" xfId="9788" xr:uid="{00000000-0005-0000-0000-00008E1C0000}"/>
    <cellStyle name="표준 21 2 2 3 3 3 3" xfId="8106" xr:uid="{00000000-0005-0000-0000-00008F1C0000}"/>
    <cellStyle name="표준 21 2 2 3 3 3 4" xfId="8948" xr:uid="{00000000-0005-0000-0000-0000901C0000}"/>
    <cellStyle name="표준 21 2 2 3 3 3 5" xfId="6418" xr:uid="{00000000-0005-0000-0000-0000911C0000}"/>
    <cellStyle name="표준 21 2 2 3 3 4" xfId="5361" xr:uid="{00000000-0005-0000-0000-0000921C0000}"/>
    <cellStyle name="표준 21 2 2 3 3 4 2" xfId="7266" xr:uid="{00000000-0005-0000-0000-0000931C0000}"/>
    <cellStyle name="표준 21 2 2 3 3 4 2 2" xfId="9789" xr:uid="{00000000-0005-0000-0000-0000941C0000}"/>
    <cellStyle name="표준 21 2 2 3 3 4 3" xfId="8107" xr:uid="{00000000-0005-0000-0000-0000951C0000}"/>
    <cellStyle name="표준 21 2 2 3 3 4 4" xfId="8949" xr:uid="{00000000-0005-0000-0000-0000961C0000}"/>
    <cellStyle name="표준 21 2 2 3 3 4 5" xfId="6419" xr:uid="{00000000-0005-0000-0000-0000971C0000}"/>
    <cellStyle name="표준 21 2 2 3 3 5" xfId="7263" xr:uid="{00000000-0005-0000-0000-0000981C0000}"/>
    <cellStyle name="표준 21 2 2 3 3 5 2" xfId="9786" xr:uid="{00000000-0005-0000-0000-0000991C0000}"/>
    <cellStyle name="표준 21 2 2 3 3 6" xfId="8104" xr:uid="{00000000-0005-0000-0000-00009A1C0000}"/>
    <cellStyle name="표준 21 2 2 3 3 7" xfId="8946" xr:uid="{00000000-0005-0000-0000-00009B1C0000}"/>
    <cellStyle name="표준 21 2 2 3 3 8" xfId="6416" xr:uid="{00000000-0005-0000-0000-00009C1C0000}"/>
    <cellStyle name="표준 21 2 2 3 4" xfId="5362" xr:uid="{00000000-0005-0000-0000-00009D1C0000}"/>
    <cellStyle name="표준 21 2 2 3 4 2" xfId="7267" xr:uid="{00000000-0005-0000-0000-00009E1C0000}"/>
    <cellStyle name="표준 21 2 2 3 4 2 2" xfId="9790" xr:uid="{00000000-0005-0000-0000-00009F1C0000}"/>
    <cellStyle name="표준 21 2 2 3 4 3" xfId="8108" xr:uid="{00000000-0005-0000-0000-0000A01C0000}"/>
    <cellStyle name="표준 21 2 2 3 4 4" xfId="8950" xr:uid="{00000000-0005-0000-0000-0000A11C0000}"/>
    <cellStyle name="표준 21 2 2 3 4 5" xfId="6420" xr:uid="{00000000-0005-0000-0000-0000A21C0000}"/>
    <cellStyle name="표준 21 2 2 3 5" xfId="5363" xr:uid="{00000000-0005-0000-0000-0000A31C0000}"/>
    <cellStyle name="표준 21 2 2 3 5 2" xfId="7268" xr:uid="{00000000-0005-0000-0000-0000A41C0000}"/>
    <cellStyle name="표준 21 2 2 3 5 2 2" xfId="9791" xr:uid="{00000000-0005-0000-0000-0000A51C0000}"/>
    <cellStyle name="표준 21 2 2 3 5 3" xfId="8109" xr:uid="{00000000-0005-0000-0000-0000A61C0000}"/>
    <cellStyle name="표준 21 2 2 3 5 4" xfId="8951" xr:uid="{00000000-0005-0000-0000-0000A71C0000}"/>
    <cellStyle name="표준 21 2 2 3 5 5" xfId="6421" xr:uid="{00000000-0005-0000-0000-0000A81C0000}"/>
    <cellStyle name="표준 21 2 2 3 6" xfId="5364" xr:uid="{00000000-0005-0000-0000-0000A91C0000}"/>
    <cellStyle name="표준 21 2 2 3 6 2" xfId="7269" xr:uid="{00000000-0005-0000-0000-0000AA1C0000}"/>
    <cellStyle name="표준 21 2 2 3 6 2 2" xfId="9792" xr:uid="{00000000-0005-0000-0000-0000AB1C0000}"/>
    <cellStyle name="표준 21 2 2 3 6 3" xfId="8110" xr:uid="{00000000-0005-0000-0000-0000AC1C0000}"/>
    <cellStyle name="표준 21 2 2 3 6 4" xfId="8952" xr:uid="{00000000-0005-0000-0000-0000AD1C0000}"/>
    <cellStyle name="표준 21 2 2 3 6 5" xfId="6422" xr:uid="{00000000-0005-0000-0000-0000AE1C0000}"/>
    <cellStyle name="표준 21 2 2 3 7" xfId="7254" xr:uid="{00000000-0005-0000-0000-0000AF1C0000}"/>
    <cellStyle name="표준 21 2 2 3 7 2" xfId="9777" xr:uid="{00000000-0005-0000-0000-0000B01C0000}"/>
    <cellStyle name="표준 21 2 2 3 8" xfId="8095" xr:uid="{00000000-0005-0000-0000-0000B11C0000}"/>
    <cellStyle name="표준 21 2 2 3 9" xfId="8937" xr:uid="{00000000-0005-0000-0000-0000B21C0000}"/>
    <cellStyle name="표준 21 2 2 4" xfId="5365" xr:uid="{00000000-0005-0000-0000-0000B31C0000}"/>
    <cellStyle name="표준 21 2 2 4 2" xfId="5366" xr:uid="{00000000-0005-0000-0000-0000B41C0000}"/>
    <cellStyle name="표준 21 2 2 4 2 2" xfId="5367" xr:uid="{00000000-0005-0000-0000-0000B51C0000}"/>
    <cellStyle name="표준 21 2 2 4 2 2 2" xfId="7272" xr:uid="{00000000-0005-0000-0000-0000B61C0000}"/>
    <cellStyle name="표준 21 2 2 4 2 2 2 2" xfId="9795" xr:uid="{00000000-0005-0000-0000-0000B71C0000}"/>
    <cellStyle name="표준 21 2 2 4 2 2 3" xfId="8113" xr:uid="{00000000-0005-0000-0000-0000B81C0000}"/>
    <cellStyle name="표준 21 2 2 4 2 2 4" xfId="8955" xr:uid="{00000000-0005-0000-0000-0000B91C0000}"/>
    <cellStyle name="표준 21 2 2 4 2 2 5" xfId="6425" xr:uid="{00000000-0005-0000-0000-0000BA1C0000}"/>
    <cellStyle name="표준 21 2 2 4 2 3" xfId="5368" xr:uid="{00000000-0005-0000-0000-0000BB1C0000}"/>
    <cellStyle name="표준 21 2 2 4 2 3 2" xfId="7273" xr:uid="{00000000-0005-0000-0000-0000BC1C0000}"/>
    <cellStyle name="표준 21 2 2 4 2 3 2 2" xfId="9796" xr:uid="{00000000-0005-0000-0000-0000BD1C0000}"/>
    <cellStyle name="표준 21 2 2 4 2 3 3" xfId="8114" xr:uid="{00000000-0005-0000-0000-0000BE1C0000}"/>
    <cellStyle name="표준 21 2 2 4 2 3 4" xfId="8956" xr:uid="{00000000-0005-0000-0000-0000BF1C0000}"/>
    <cellStyle name="표준 21 2 2 4 2 3 5" xfId="6426" xr:uid="{00000000-0005-0000-0000-0000C01C0000}"/>
    <cellStyle name="표준 21 2 2 4 2 4" xfId="5369" xr:uid="{00000000-0005-0000-0000-0000C11C0000}"/>
    <cellStyle name="표준 21 2 2 4 2 4 2" xfId="7274" xr:uid="{00000000-0005-0000-0000-0000C21C0000}"/>
    <cellStyle name="표준 21 2 2 4 2 4 2 2" xfId="9797" xr:uid="{00000000-0005-0000-0000-0000C31C0000}"/>
    <cellStyle name="표준 21 2 2 4 2 4 3" xfId="8115" xr:uid="{00000000-0005-0000-0000-0000C41C0000}"/>
    <cellStyle name="표준 21 2 2 4 2 4 4" xfId="8957" xr:uid="{00000000-0005-0000-0000-0000C51C0000}"/>
    <cellStyle name="표준 21 2 2 4 2 4 5" xfId="6427" xr:uid="{00000000-0005-0000-0000-0000C61C0000}"/>
    <cellStyle name="표준 21 2 2 4 2 5" xfId="7271" xr:uid="{00000000-0005-0000-0000-0000C71C0000}"/>
    <cellStyle name="표준 21 2 2 4 2 5 2" xfId="9794" xr:uid="{00000000-0005-0000-0000-0000C81C0000}"/>
    <cellStyle name="표준 21 2 2 4 2 6" xfId="8112" xr:uid="{00000000-0005-0000-0000-0000C91C0000}"/>
    <cellStyle name="표준 21 2 2 4 2 7" xfId="8954" xr:uid="{00000000-0005-0000-0000-0000CA1C0000}"/>
    <cellStyle name="표준 21 2 2 4 2 8" xfId="6424" xr:uid="{00000000-0005-0000-0000-0000CB1C0000}"/>
    <cellStyle name="표준 21 2 2 4 3" xfId="5370" xr:uid="{00000000-0005-0000-0000-0000CC1C0000}"/>
    <cellStyle name="표준 21 2 2 4 3 2" xfId="7275" xr:uid="{00000000-0005-0000-0000-0000CD1C0000}"/>
    <cellStyle name="표준 21 2 2 4 3 2 2" xfId="9798" xr:uid="{00000000-0005-0000-0000-0000CE1C0000}"/>
    <cellStyle name="표준 21 2 2 4 3 3" xfId="8116" xr:uid="{00000000-0005-0000-0000-0000CF1C0000}"/>
    <cellStyle name="표준 21 2 2 4 3 4" xfId="8958" xr:uid="{00000000-0005-0000-0000-0000D01C0000}"/>
    <cellStyle name="표준 21 2 2 4 3 5" xfId="6428" xr:uid="{00000000-0005-0000-0000-0000D11C0000}"/>
    <cellStyle name="표준 21 2 2 4 4" xfId="5371" xr:uid="{00000000-0005-0000-0000-0000D21C0000}"/>
    <cellStyle name="표준 21 2 2 4 4 2" xfId="7276" xr:uid="{00000000-0005-0000-0000-0000D31C0000}"/>
    <cellStyle name="표준 21 2 2 4 4 2 2" xfId="9799" xr:uid="{00000000-0005-0000-0000-0000D41C0000}"/>
    <cellStyle name="표준 21 2 2 4 4 3" xfId="8117" xr:uid="{00000000-0005-0000-0000-0000D51C0000}"/>
    <cellStyle name="표준 21 2 2 4 4 4" xfId="8959" xr:uid="{00000000-0005-0000-0000-0000D61C0000}"/>
    <cellStyle name="표준 21 2 2 4 4 5" xfId="6429" xr:uid="{00000000-0005-0000-0000-0000D71C0000}"/>
    <cellStyle name="표준 21 2 2 4 5" xfId="5372" xr:uid="{00000000-0005-0000-0000-0000D81C0000}"/>
    <cellStyle name="표준 21 2 2 4 5 2" xfId="7277" xr:uid="{00000000-0005-0000-0000-0000D91C0000}"/>
    <cellStyle name="표준 21 2 2 4 5 2 2" xfId="9800" xr:uid="{00000000-0005-0000-0000-0000DA1C0000}"/>
    <cellStyle name="표준 21 2 2 4 5 3" xfId="8118" xr:uid="{00000000-0005-0000-0000-0000DB1C0000}"/>
    <cellStyle name="표준 21 2 2 4 5 4" xfId="8960" xr:uid="{00000000-0005-0000-0000-0000DC1C0000}"/>
    <cellStyle name="표준 21 2 2 4 5 5" xfId="6430" xr:uid="{00000000-0005-0000-0000-0000DD1C0000}"/>
    <cellStyle name="표준 21 2 2 4 6" xfId="7270" xr:uid="{00000000-0005-0000-0000-0000DE1C0000}"/>
    <cellStyle name="표준 21 2 2 4 6 2" xfId="9793" xr:uid="{00000000-0005-0000-0000-0000DF1C0000}"/>
    <cellStyle name="표준 21 2 2 4 7" xfId="8111" xr:uid="{00000000-0005-0000-0000-0000E01C0000}"/>
    <cellStyle name="표준 21 2 2 4 8" xfId="8953" xr:uid="{00000000-0005-0000-0000-0000E11C0000}"/>
    <cellStyle name="표준 21 2 2 4 9" xfId="6423" xr:uid="{00000000-0005-0000-0000-0000E21C0000}"/>
    <cellStyle name="표준 21 2 2 5" xfId="5373" xr:uid="{00000000-0005-0000-0000-0000E31C0000}"/>
    <cellStyle name="표준 21 2 2 5 2" xfId="5374" xr:uid="{00000000-0005-0000-0000-0000E41C0000}"/>
    <cellStyle name="표준 21 2 2 5 2 2" xfId="7279" xr:uid="{00000000-0005-0000-0000-0000E51C0000}"/>
    <cellStyle name="표준 21 2 2 5 2 2 2" xfId="9802" xr:uid="{00000000-0005-0000-0000-0000E61C0000}"/>
    <cellStyle name="표준 21 2 2 5 2 3" xfId="8120" xr:uid="{00000000-0005-0000-0000-0000E71C0000}"/>
    <cellStyle name="표준 21 2 2 5 2 4" xfId="8962" xr:uid="{00000000-0005-0000-0000-0000E81C0000}"/>
    <cellStyle name="표준 21 2 2 5 2 5" xfId="6432" xr:uid="{00000000-0005-0000-0000-0000E91C0000}"/>
    <cellStyle name="표준 21 2 2 5 3" xfId="5375" xr:uid="{00000000-0005-0000-0000-0000EA1C0000}"/>
    <cellStyle name="표준 21 2 2 5 3 2" xfId="7280" xr:uid="{00000000-0005-0000-0000-0000EB1C0000}"/>
    <cellStyle name="표준 21 2 2 5 3 2 2" xfId="9803" xr:uid="{00000000-0005-0000-0000-0000EC1C0000}"/>
    <cellStyle name="표준 21 2 2 5 3 3" xfId="8121" xr:uid="{00000000-0005-0000-0000-0000ED1C0000}"/>
    <cellStyle name="표준 21 2 2 5 3 4" xfId="8963" xr:uid="{00000000-0005-0000-0000-0000EE1C0000}"/>
    <cellStyle name="표준 21 2 2 5 3 5" xfId="6433" xr:uid="{00000000-0005-0000-0000-0000EF1C0000}"/>
    <cellStyle name="표준 21 2 2 5 4" xfId="5376" xr:uid="{00000000-0005-0000-0000-0000F01C0000}"/>
    <cellStyle name="표준 21 2 2 5 4 2" xfId="7281" xr:uid="{00000000-0005-0000-0000-0000F11C0000}"/>
    <cellStyle name="표준 21 2 2 5 4 2 2" xfId="9804" xr:uid="{00000000-0005-0000-0000-0000F21C0000}"/>
    <cellStyle name="표준 21 2 2 5 4 3" xfId="8122" xr:uid="{00000000-0005-0000-0000-0000F31C0000}"/>
    <cellStyle name="표준 21 2 2 5 4 4" xfId="8964" xr:uid="{00000000-0005-0000-0000-0000F41C0000}"/>
    <cellStyle name="표준 21 2 2 5 4 5" xfId="6434" xr:uid="{00000000-0005-0000-0000-0000F51C0000}"/>
    <cellStyle name="표준 21 2 2 5 5" xfId="7278" xr:uid="{00000000-0005-0000-0000-0000F61C0000}"/>
    <cellStyle name="표준 21 2 2 5 5 2" xfId="9801" xr:uid="{00000000-0005-0000-0000-0000F71C0000}"/>
    <cellStyle name="표준 21 2 2 5 6" xfId="8119" xr:uid="{00000000-0005-0000-0000-0000F81C0000}"/>
    <cellStyle name="표준 21 2 2 5 7" xfId="8961" xr:uid="{00000000-0005-0000-0000-0000F91C0000}"/>
    <cellStyle name="표준 21 2 2 5 8" xfId="6431" xr:uid="{00000000-0005-0000-0000-0000FA1C0000}"/>
    <cellStyle name="표준 21 2 2 6" xfId="5377" xr:uid="{00000000-0005-0000-0000-0000FB1C0000}"/>
    <cellStyle name="표준 21 2 2 6 2" xfId="7282" xr:uid="{00000000-0005-0000-0000-0000FC1C0000}"/>
    <cellStyle name="표준 21 2 2 6 2 2" xfId="9805" xr:uid="{00000000-0005-0000-0000-0000FD1C0000}"/>
    <cellStyle name="표준 21 2 2 6 3" xfId="8123" xr:uid="{00000000-0005-0000-0000-0000FE1C0000}"/>
    <cellStyle name="표준 21 2 2 6 4" xfId="8965" xr:uid="{00000000-0005-0000-0000-0000FF1C0000}"/>
    <cellStyle name="표준 21 2 2 6 5" xfId="6435" xr:uid="{00000000-0005-0000-0000-0000001D0000}"/>
    <cellStyle name="표준 21 2 2 7" xfId="5378" xr:uid="{00000000-0005-0000-0000-0000011D0000}"/>
    <cellStyle name="표준 21 2 2 7 2" xfId="7283" xr:uid="{00000000-0005-0000-0000-0000021D0000}"/>
    <cellStyle name="표준 21 2 2 7 2 2" xfId="9806" xr:uid="{00000000-0005-0000-0000-0000031D0000}"/>
    <cellStyle name="표준 21 2 2 7 3" xfId="8124" xr:uid="{00000000-0005-0000-0000-0000041D0000}"/>
    <cellStyle name="표준 21 2 2 7 4" xfId="8966" xr:uid="{00000000-0005-0000-0000-0000051D0000}"/>
    <cellStyle name="표준 21 2 2 7 5" xfId="6436" xr:uid="{00000000-0005-0000-0000-0000061D0000}"/>
    <cellStyle name="표준 21 2 2 8" xfId="5379" xr:uid="{00000000-0005-0000-0000-0000071D0000}"/>
    <cellStyle name="표준 21 2 2 8 2" xfId="7284" xr:uid="{00000000-0005-0000-0000-0000081D0000}"/>
    <cellStyle name="표준 21 2 2 8 2 2" xfId="9807" xr:uid="{00000000-0005-0000-0000-0000091D0000}"/>
    <cellStyle name="표준 21 2 2 8 3" xfId="8125" xr:uid="{00000000-0005-0000-0000-00000A1D0000}"/>
    <cellStyle name="표준 21 2 2 8 4" xfId="8967" xr:uid="{00000000-0005-0000-0000-00000B1D0000}"/>
    <cellStyle name="표준 21 2 2 8 5" xfId="6437" xr:uid="{00000000-0005-0000-0000-00000C1D0000}"/>
    <cellStyle name="표준 21 2 2 9" xfId="7237" xr:uid="{00000000-0005-0000-0000-00000D1D0000}"/>
    <cellStyle name="표준 21 2 2 9 2" xfId="9760" xr:uid="{00000000-0005-0000-0000-00000E1D0000}"/>
    <cellStyle name="표준 21 2 3" xfId="5380" xr:uid="{00000000-0005-0000-0000-00000F1D0000}"/>
    <cellStyle name="표준 21 2 3 10" xfId="8126" xr:uid="{00000000-0005-0000-0000-0000101D0000}"/>
    <cellStyle name="표준 21 2 3 11" xfId="8968" xr:uid="{00000000-0005-0000-0000-0000111D0000}"/>
    <cellStyle name="표준 21 2 3 12" xfId="6438" xr:uid="{00000000-0005-0000-0000-0000121D0000}"/>
    <cellStyle name="표준 21 2 3 2" xfId="5381" xr:uid="{00000000-0005-0000-0000-0000131D0000}"/>
    <cellStyle name="표준 21 2 3 2 10" xfId="6439" xr:uid="{00000000-0005-0000-0000-0000141D0000}"/>
    <cellStyle name="표준 21 2 3 2 2" xfId="5382" xr:uid="{00000000-0005-0000-0000-0000151D0000}"/>
    <cellStyle name="표준 21 2 3 2 2 2" xfId="5383" xr:uid="{00000000-0005-0000-0000-0000161D0000}"/>
    <cellStyle name="표준 21 2 3 2 2 2 2" xfId="5384" xr:uid="{00000000-0005-0000-0000-0000171D0000}"/>
    <cellStyle name="표준 21 2 3 2 2 2 2 2" xfId="7289" xr:uid="{00000000-0005-0000-0000-0000181D0000}"/>
    <cellStyle name="표준 21 2 3 2 2 2 2 2 2" xfId="9812" xr:uid="{00000000-0005-0000-0000-0000191D0000}"/>
    <cellStyle name="표준 21 2 3 2 2 2 2 3" xfId="8130" xr:uid="{00000000-0005-0000-0000-00001A1D0000}"/>
    <cellStyle name="표준 21 2 3 2 2 2 2 4" xfId="8972" xr:uid="{00000000-0005-0000-0000-00001B1D0000}"/>
    <cellStyle name="표준 21 2 3 2 2 2 2 5" xfId="6442" xr:uid="{00000000-0005-0000-0000-00001C1D0000}"/>
    <cellStyle name="표준 21 2 3 2 2 2 3" xfId="5385" xr:uid="{00000000-0005-0000-0000-00001D1D0000}"/>
    <cellStyle name="표준 21 2 3 2 2 2 3 2" xfId="7290" xr:uid="{00000000-0005-0000-0000-00001E1D0000}"/>
    <cellStyle name="표준 21 2 3 2 2 2 3 2 2" xfId="9813" xr:uid="{00000000-0005-0000-0000-00001F1D0000}"/>
    <cellStyle name="표준 21 2 3 2 2 2 3 3" xfId="8131" xr:uid="{00000000-0005-0000-0000-0000201D0000}"/>
    <cellStyle name="표준 21 2 3 2 2 2 3 4" xfId="8973" xr:uid="{00000000-0005-0000-0000-0000211D0000}"/>
    <cellStyle name="표준 21 2 3 2 2 2 3 5" xfId="6443" xr:uid="{00000000-0005-0000-0000-0000221D0000}"/>
    <cellStyle name="표준 21 2 3 2 2 2 4" xfId="5386" xr:uid="{00000000-0005-0000-0000-0000231D0000}"/>
    <cellStyle name="표준 21 2 3 2 2 2 4 2" xfId="7291" xr:uid="{00000000-0005-0000-0000-0000241D0000}"/>
    <cellStyle name="표준 21 2 3 2 2 2 4 2 2" xfId="9814" xr:uid="{00000000-0005-0000-0000-0000251D0000}"/>
    <cellStyle name="표준 21 2 3 2 2 2 4 3" xfId="8132" xr:uid="{00000000-0005-0000-0000-0000261D0000}"/>
    <cellStyle name="표준 21 2 3 2 2 2 4 4" xfId="8974" xr:uid="{00000000-0005-0000-0000-0000271D0000}"/>
    <cellStyle name="표준 21 2 3 2 2 2 4 5" xfId="6444" xr:uid="{00000000-0005-0000-0000-0000281D0000}"/>
    <cellStyle name="표준 21 2 3 2 2 2 5" xfId="7288" xr:uid="{00000000-0005-0000-0000-0000291D0000}"/>
    <cellStyle name="표준 21 2 3 2 2 2 5 2" xfId="9811" xr:uid="{00000000-0005-0000-0000-00002A1D0000}"/>
    <cellStyle name="표준 21 2 3 2 2 2 6" xfId="8129" xr:uid="{00000000-0005-0000-0000-00002B1D0000}"/>
    <cellStyle name="표준 21 2 3 2 2 2 7" xfId="8971" xr:uid="{00000000-0005-0000-0000-00002C1D0000}"/>
    <cellStyle name="표준 21 2 3 2 2 2 8" xfId="6441" xr:uid="{00000000-0005-0000-0000-00002D1D0000}"/>
    <cellStyle name="표준 21 2 3 2 2 3" xfId="5387" xr:uid="{00000000-0005-0000-0000-00002E1D0000}"/>
    <cellStyle name="표준 21 2 3 2 2 3 2" xfId="7292" xr:uid="{00000000-0005-0000-0000-00002F1D0000}"/>
    <cellStyle name="표준 21 2 3 2 2 3 2 2" xfId="9815" xr:uid="{00000000-0005-0000-0000-0000301D0000}"/>
    <cellStyle name="표준 21 2 3 2 2 3 3" xfId="8133" xr:uid="{00000000-0005-0000-0000-0000311D0000}"/>
    <cellStyle name="표준 21 2 3 2 2 3 4" xfId="8975" xr:uid="{00000000-0005-0000-0000-0000321D0000}"/>
    <cellStyle name="표준 21 2 3 2 2 3 5" xfId="6445" xr:uid="{00000000-0005-0000-0000-0000331D0000}"/>
    <cellStyle name="표준 21 2 3 2 2 4" xfId="5388" xr:uid="{00000000-0005-0000-0000-0000341D0000}"/>
    <cellStyle name="표준 21 2 3 2 2 4 2" xfId="7293" xr:uid="{00000000-0005-0000-0000-0000351D0000}"/>
    <cellStyle name="표준 21 2 3 2 2 4 2 2" xfId="9816" xr:uid="{00000000-0005-0000-0000-0000361D0000}"/>
    <cellStyle name="표준 21 2 3 2 2 4 3" xfId="8134" xr:uid="{00000000-0005-0000-0000-0000371D0000}"/>
    <cellStyle name="표준 21 2 3 2 2 4 4" xfId="8976" xr:uid="{00000000-0005-0000-0000-0000381D0000}"/>
    <cellStyle name="표준 21 2 3 2 2 4 5" xfId="6446" xr:uid="{00000000-0005-0000-0000-0000391D0000}"/>
    <cellStyle name="표준 21 2 3 2 2 5" xfId="5389" xr:uid="{00000000-0005-0000-0000-00003A1D0000}"/>
    <cellStyle name="표준 21 2 3 2 2 5 2" xfId="7294" xr:uid="{00000000-0005-0000-0000-00003B1D0000}"/>
    <cellStyle name="표준 21 2 3 2 2 5 2 2" xfId="9817" xr:uid="{00000000-0005-0000-0000-00003C1D0000}"/>
    <cellStyle name="표준 21 2 3 2 2 5 3" xfId="8135" xr:uid="{00000000-0005-0000-0000-00003D1D0000}"/>
    <cellStyle name="표준 21 2 3 2 2 5 4" xfId="8977" xr:uid="{00000000-0005-0000-0000-00003E1D0000}"/>
    <cellStyle name="표준 21 2 3 2 2 5 5" xfId="6447" xr:uid="{00000000-0005-0000-0000-00003F1D0000}"/>
    <cellStyle name="표준 21 2 3 2 2 6" xfId="7287" xr:uid="{00000000-0005-0000-0000-0000401D0000}"/>
    <cellStyle name="표준 21 2 3 2 2 6 2" xfId="9810" xr:uid="{00000000-0005-0000-0000-0000411D0000}"/>
    <cellStyle name="표준 21 2 3 2 2 7" xfId="8128" xr:uid="{00000000-0005-0000-0000-0000421D0000}"/>
    <cellStyle name="표준 21 2 3 2 2 8" xfId="8970" xr:uid="{00000000-0005-0000-0000-0000431D0000}"/>
    <cellStyle name="표준 21 2 3 2 2 9" xfId="6440" xr:uid="{00000000-0005-0000-0000-0000441D0000}"/>
    <cellStyle name="표준 21 2 3 2 3" xfId="5390" xr:uid="{00000000-0005-0000-0000-0000451D0000}"/>
    <cellStyle name="표준 21 2 3 2 3 2" xfId="5391" xr:uid="{00000000-0005-0000-0000-0000461D0000}"/>
    <cellStyle name="표준 21 2 3 2 3 2 2" xfId="7296" xr:uid="{00000000-0005-0000-0000-0000471D0000}"/>
    <cellStyle name="표준 21 2 3 2 3 2 2 2" xfId="9819" xr:uid="{00000000-0005-0000-0000-0000481D0000}"/>
    <cellStyle name="표준 21 2 3 2 3 2 3" xfId="8137" xr:uid="{00000000-0005-0000-0000-0000491D0000}"/>
    <cellStyle name="표준 21 2 3 2 3 2 4" xfId="8979" xr:uid="{00000000-0005-0000-0000-00004A1D0000}"/>
    <cellStyle name="표준 21 2 3 2 3 2 5" xfId="6449" xr:uid="{00000000-0005-0000-0000-00004B1D0000}"/>
    <cellStyle name="표준 21 2 3 2 3 3" xfId="5392" xr:uid="{00000000-0005-0000-0000-00004C1D0000}"/>
    <cellStyle name="표준 21 2 3 2 3 3 2" xfId="7297" xr:uid="{00000000-0005-0000-0000-00004D1D0000}"/>
    <cellStyle name="표준 21 2 3 2 3 3 2 2" xfId="9820" xr:uid="{00000000-0005-0000-0000-00004E1D0000}"/>
    <cellStyle name="표준 21 2 3 2 3 3 3" xfId="8138" xr:uid="{00000000-0005-0000-0000-00004F1D0000}"/>
    <cellStyle name="표준 21 2 3 2 3 3 4" xfId="8980" xr:uid="{00000000-0005-0000-0000-0000501D0000}"/>
    <cellStyle name="표준 21 2 3 2 3 3 5" xfId="6450" xr:uid="{00000000-0005-0000-0000-0000511D0000}"/>
    <cellStyle name="표준 21 2 3 2 3 4" xfId="5393" xr:uid="{00000000-0005-0000-0000-0000521D0000}"/>
    <cellStyle name="표준 21 2 3 2 3 4 2" xfId="7298" xr:uid="{00000000-0005-0000-0000-0000531D0000}"/>
    <cellStyle name="표준 21 2 3 2 3 4 2 2" xfId="9821" xr:uid="{00000000-0005-0000-0000-0000541D0000}"/>
    <cellStyle name="표준 21 2 3 2 3 4 3" xfId="8139" xr:uid="{00000000-0005-0000-0000-0000551D0000}"/>
    <cellStyle name="표준 21 2 3 2 3 4 4" xfId="8981" xr:uid="{00000000-0005-0000-0000-0000561D0000}"/>
    <cellStyle name="표준 21 2 3 2 3 4 5" xfId="6451" xr:uid="{00000000-0005-0000-0000-0000571D0000}"/>
    <cellStyle name="표준 21 2 3 2 3 5" xfId="7295" xr:uid="{00000000-0005-0000-0000-0000581D0000}"/>
    <cellStyle name="표준 21 2 3 2 3 5 2" xfId="9818" xr:uid="{00000000-0005-0000-0000-0000591D0000}"/>
    <cellStyle name="표준 21 2 3 2 3 6" xfId="8136" xr:uid="{00000000-0005-0000-0000-00005A1D0000}"/>
    <cellStyle name="표준 21 2 3 2 3 7" xfId="8978" xr:uid="{00000000-0005-0000-0000-00005B1D0000}"/>
    <cellStyle name="표준 21 2 3 2 3 8" xfId="6448" xr:uid="{00000000-0005-0000-0000-00005C1D0000}"/>
    <cellStyle name="표준 21 2 3 2 4" xfId="5394" xr:uid="{00000000-0005-0000-0000-00005D1D0000}"/>
    <cellStyle name="표준 21 2 3 2 4 2" xfId="7299" xr:uid="{00000000-0005-0000-0000-00005E1D0000}"/>
    <cellStyle name="표준 21 2 3 2 4 2 2" xfId="9822" xr:uid="{00000000-0005-0000-0000-00005F1D0000}"/>
    <cellStyle name="표준 21 2 3 2 4 3" xfId="8140" xr:uid="{00000000-0005-0000-0000-0000601D0000}"/>
    <cellStyle name="표준 21 2 3 2 4 4" xfId="8982" xr:uid="{00000000-0005-0000-0000-0000611D0000}"/>
    <cellStyle name="표준 21 2 3 2 4 5" xfId="6452" xr:uid="{00000000-0005-0000-0000-0000621D0000}"/>
    <cellStyle name="표준 21 2 3 2 5" xfId="5395" xr:uid="{00000000-0005-0000-0000-0000631D0000}"/>
    <cellStyle name="표준 21 2 3 2 5 2" xfId="7300" xr:uid="{00000000-0005-0000-0000-0000641D0000}"/>
    <cellStyle name="표준 21 2 3 2 5 2 2" xfId="9823" xr:uid="{00000000-0005-0000-0000-0000651D0000}"/>
    <cellStyle name="표준 21 2 3 2 5 3" xfId="8141" xr:uid="{00000000-0005-0000-0000-0000661D0000}"/>
    <cellStyle name="표준 21 2 3 2 5 4" xfId="8983" xr:uid="{00000000-0005-0000-0000-0000671D0000}"/>
    <cellStyle name="표준 21 2 3 2 5 5" xfId="6453" xr:uid="{00000000-0005-0000-0000-0000681D0000}"/>
    <cellStyle name="표준 21 2 3 2 6" xfId="5396" xr:uid="{00000000-0005-0000-0000-0000691D0000}"/>
    <cellStyle name="표준 21 2 3 2 6 2" xfId="7301" xr:uid="{00000000-0005-0000-0000-00006A1D0000}"/>
    <cellStyle name="표준 21 2 3 2 6 2 2" xfId="9824" xr:uid="{00000000-0005-0000-0000-00006B1D0000}"/>
    <cellStyle name="표준 21 2 3 2 6 3" xfId="8142" xr:uid="{00000000-0005-0000-0000-00006C1D0000}"/>
    <cellStyle name="표준 21 2 3 2 6 4" xfId="8984" xr:uid="{00000000-0005-0000-0000-00006D1D0000}"/>
    <cellStyle name="표준 21 2 3 2 6 5" xfId="6454" xr:uid="{00000000-0005-0000-0000-00006E1D0000}"/>
    <cellStyle name="표준 21 2 3 2 7" xfId="7286" xr:uid="{00000000-0005-0000-0000-00006F1D0000}"/>
    <cellStyle name="표준 21 2 3 2 7 2" xfId="9809" xr:uid="{00000000-0005-0000-0000-0000701D0000}"/>
    <cellStyle name="표준 21 2 3 2 8" xfId="8127" xr:uid="{00000000-0005-0000-0000-0000711D0000}"/>
    <cellStyle name="표준 21 2 3 2 9" xfId="8969" xr:uid="{00000000-0005-0000-0000-0000721D0000}"/>
    <cellStyle name="표준 21 2 3 3" xfId="5397" xr:uid="{00000000-0005-0000-0000-0000731D0000}"/>
    <cellStyle name="표준 21 2 3 3 10" xfId="6455" xr:uid="{00000000-0005-0000-0000-0000741D0000}"/>
    <cellStyle name="표준 21 2 3 3 2" xfId="5398" xr:uid="{00000000-0005-0000-0000-0000751D0000}"/>
    <cellStyle name="표준 21 2 3 3 2 2" xfId="5399" xr:uid="{00000000-0005-0000-0000-0000761D0000}"/>
    <cellStyle name="표준 21 2 3 3 2 2 2" xfId="5400" xr:uid="{00000000-0005-0000-0000-0000771D0000}"/>
    <cellStyle name="표준 21 2 3 3 2 2 2 2" xfId="7305" xr:uid="{00000000-0005-0000-0000-0000781D0000}"/>
    <cellStyle name="표준 21 2 3 3 2 2 2 2 2" xfId="9828" xr:uid="{00000000-0005-0000-0000-0000791D0000}"/>
    <cellStyle name="표준 21 2 3 3 2 2 2 3" xfId="8146" xr:uid="{00000000-0005-0000-0000-00007A1D0000}"/>
    <cellStyle name="표준 21 2 3 3 2 2 2 4" xfId="8988" xr:uid="{00000000-0005-0000-0000-00007B1D0000}"/>
    <cellStyle name="표준 21 2 3 3 2 2 2 5" xfId="6458" xr:uid="{00000000-0005-0000-0000-00007C1D0000}"/>
    <cellStyle name="표준 21 2 3 3 2 2 3" xfId="5401" xr:uid="{00000000-0005-0000-0000-00007D1D0000}"/>
    <cellStyle name="표준 21 2 3 3 2 2 3 2" xfId="7306" xr:uid="{00000000-0005-0000-0000-00007E1D0000}"/>
    <cellStyle name="표준 21 2 3 3 2 2 3 2 2" xfId="9829" xr:uid="{00000000-0005-0000-0000-00007F1D0000}"/>
    <cellStyle name="표준 21 2 3 3 2 2 3 3" xfId="8147" xr:uid="{00000000-0005-0000-0000-0000801D0000}"/>
    <cellStyle name="표준 21 2 3 3 2 2 3 4" xfId="8989" xr:uid="{00000000-0005-0000-0000-0000811D0000}"/>
    <cellStyle name="표준 21 2 3 3 2 2 3 5" xfId="6459" xr:uid="{00000000-0005-0000-0000-0000821D0000}"/>
    <cellStyle name="표준 21 2 3 3 2 2 4" xfId="5402" xr:uid="{00000000-0005-0000-0000-0000831D0000}"/>
    <cellStyle name="표준 21 2 3 3 2 2 4 2" xfId="7307" xr:uid="{00000000-0005-0000-0000-0000841D0000}"/>
    <cellStyle name="표준 21 2 3 3 2 2 4 2 2" xfId="9830" xr:uid="{00000000-0005-0000-0000-0000851D0000}"/>
    <cellStyle name="표준 21 2 3 3 2 2 4 3" xfId="8148" xr:uid="{00000000-0005-0000-0000-0000861D0000}"/>
    <cellStyle name="표준 21 2 3 3 2 2 4 4" xfId="8990" xr:uid="{00000000-0005-0000-0000-0000871D0000}"/>
    <cellStyle name="표준 21 2 3 3 2 2 4 5" xfId="6460" xr:uid="{00000000-0005-0000-0000-0000881D0000}"/>
    <cellStyle name="표준 21 2 3 3 2 2 5" xfId="7304" xr:uid="{00000000-0005-0000-0000-0000891D0000}"/>
    <cellStyle name="표준 21 2 3 3 2 2 5 2" xfId="9827" xr:uid="{00000000-0005-0000-0000-00008A1D0000}"/>
    <cellStyle name="표준 21 2 3 3 2 2 6" xfId="8145" xr:uid="{00000000-0005-0000-0000-00008B1D0000}"/>
    <cellStyle name="표준 21 2 3 3 2 2 7" xfId="8987" xr:uid="{00000000-0005-0000-0000-00008C1D0000}"/>
    <cellStyle name="표준 21 2 3 3 2 2 8" xfId="6457" xr:uid="{00000000-0005-0000-0000-00008D1D0000}"/>
    <cellStyle name="표준 21 2 3 3 2 3" xfId="5403" xr:uid="{00000000-0005-0000-0000-00008E1D0000}"/>
    <cellStyle name="표준 21 2 3 3 2 3 2" xfId="7308" xr:uid="{00000000-0005-0000-0000-00008F1D0000}"/>
    <cellStyle name="표준 21 2 3 3 2 3 2 2" xfId="9831" xr:uid="{00000000-0005-0000-0000-0000901D0000}"/>
    <cellStyle name="표준 21 2 3 3 2 3 3" xfId="8149" xr:uid="{00000000-0005-0000-0000-0000911D0000}"/>
    <cellStyle name="표준 21 2 3 3 2 3 4" xfId="8991" xr:uid="{00000000-0005-0000-0000-0000921D0000}"/>
    <cellStyle name="표준 21 2 3 3 2 3 5" xfId="6461" xr:uid="{00000000-0005-0000-0000-0000931D0000}"/>
    <cellStyle name="표준 21 2 3 3 2 4" xfId="5404" xr:uid="{00000000-0005-0000-0000-0000941D0000}"/>
    <cellStyle name="표준 21 2 3 3 2 4 2" xfId="7309" xr:uid="{00000000-0005-0000-0000-0000951D0000}"/>
    <cellStyle name="표준 21 2 3 3 2 4 2 2" xfId="9832" xr:uid="{00000000-0005-0000-0000-0000961D0000}"/>
    <cellStyle name="표준 21 2 3 3 2 4 3" xfId="8150" xr:uid="{00000000-0005-0000-0000-0000971D0000}"/>
    <cellStyle name="표준 21 2 3 3 2 4 4" xfId="8992" xr:uid="{00000000-0005-0000-0000-0000981D0000}"/>
    <cellStyle name="표준 21 2 3 3 2 4 5" xfId="6462" xr:uid="{00000000-0005-0000-0000-0000991D0000}"/>
    <cellStyle name="표준 21 2 3 3 2 5" xfId="5405" xr:uid="{00000000-0005-0000-0000-00009A1D0000}"/>
    <cellStyle name="표준 21 2 3 3 2 5 2" xfId="7310" xr:uid="{00000000-0005-0000-0000-00009B1D0000}"/>
    <cellStyle name="표준 21 2 3 3 2 5 2 2" xfId="9833" xr:uid="{00000000-0005-0000-0000-00009C1D0000}"/>
    <cellStyle name="표준 21 2 3 3 2 5 3" xfId="8151" xr:uid="{00000000-0005-0000-0000-00009D1D0000}"/>
    <cellStyle name="표준 21 2 3 3 2 5 4" xfId="8993" xr:uid="{00000000-0005-0000-0000-00009E1D0000}"/>
    <cellStyle name="표준 21 2 3 3 2 5 5" xfId="6463" xr:uid="{00000000-0005-0000-0000-00009F1D0000}"/>
    <cellStyle name="표준 21 2 3 3 2 6" xfId="7303" xr:uid="{00000000-0005-0000-0000-0000A01D0000}"/>
    <cellStyle name="표준 21 2 3 3 2 6 2" xfId="9826" xr:uid="{00000000-0005-0000-0000-0000A11D0000}"/>
    <cellStyle name="표준 21 2 3 3 2 7" xfId="8144" xr:uid="{00000000-0005-0000-0000-0000A21D0000}"/>
    <cellStyle name="표준 21 2 3 3 2 8" xfId="8986" xr:uid="{00000000-0005-0000-0000-0000A31D0000}"/>
    <cellStyle name="표준 21 2 3 3 2 9" xfId="6456" xr:uid="{00000000-0005-0000-0000-0000A41D0000}"/>
    <cellStyle name="표준 21 2 3 3 3" xfId="5406" xr:uid="{00000000-0005-0000-0000-0000A51D0000}"/>
    <cellStyle name="표준 21 2 3 3 3 2" xfId="5407" xr:uid="{00000000-0005-0000-0000-0000A61D0000}"/>
    <cellStyle name="표준 21 2 3 3 3 2 2" xfId="7312" xr:uid="{00000000-0005-0000-0000-0000A71D0000}"/>
    <cellStyle name="표준 21 2 3 3 3 2 2 2" xfId="9835" xr:uid="{00000000-0005-0000-0000-0000A81D0000}"/>
    <cellStyle name="표준 21 2 3 3 3 2 3" xfId="8153" xr:uid="{00000000-0005-0000-0000-0000A91D0000}"/>
    <cellStyle name="표준 21 2 3 3 3 2 4" xfId="8995" xr:uid="{00000000-0005-0000-0000-0000AA1D0000}"/>
    <cellStyle name="표준 21 2 3 3 3 2 5" xfId="6465" xr:uid="{00000000-0005-0000-0000-0000AB1D0000}"/>
    <cellStyle name="표준 21 2 3 3 3 3" xfId="5408" xr:uid="{00000000-0005-0000-0000-0000AC1D0000}"/>
    <cellStyle name="표준 21 2 3 3 3 3 2" xfId="7313" xr:uid="{00000000-0005-0000-0000-0000AD1D0000}"/>
    <cellStyle name="표준 21 2 3 3 3 3 2 2" xfId="9836" xr:uid="{00000000-0005-0000-0000-0000AE1D0000}"/>
    <cellStyle name="표준 21 2 3 3 3 3 3" xfId="8154" xr:uid="{00000000-0005-0000-0000-0000AF1D0000}"/>
    <cellStyle name="표준 21 2 3 3 3 3 4" xfId="8996" xr:uid="{00000000-0005-0000-0000-0000B01D0000}"/>
    <cellStyle name="표준 21 2 3 3 3 3 5" xfId="6466" xr:uid="{00000000-0005-0000-0000-0000B11D0000}"/>
    <cellStyle name="표준 21 2 3 3 3 4" xfId="5409" xr:uid="{00000000-0005-0000-0000-0000B21D0000}"/>
    <cellStyle name="표준 21 2 3 3 3 4 2" xfId="7314" xr:uid="{00000000-0005-0000-0000-0000B31D0000}"/>
    <cellStyle name="표준 21 2 3 3 3 4 2 2" xfId="9837" xr:uid="{00000000-0005-0000-0000-0000B41D0000}"/>
    <cellStyle name="표준 21 2 3 3 3 4 3" xfId="8155" xr:uid="{00000000-0005-0000-0000-0000B51D0000}"/>
    <cellStyle name="표준 21 2 3 3 3 4 4" xfId="8997" xr:uid="{00000000-0005-0000-0000-0000B61D0000}"/>
    <cellStyle name="표준 21 2 3 3 3 4 5" xfId="6467" xr:uid="{00000000-0005-0000-0000-0000B71D0000}"/>
    <cellStyle name="표준 21 2 3 3 3 5" xfId="7311" xr:uid="{00000000-0005-0000-0000-0000B81D0000}"/>
    <cellStyle name="표준 21 2 3 3 3 5 2" xfId="9834" xr:uid="{00000000-0005-0000-0000-0000B91D0000}"/>
    <cellStyle name="표준 21 2 3 3 3 6" xfId="8152" xr:uid="{00000000-0005-0000-0000-0000BA1D0000}"/>
    <cellStyle name="표준 21 2 3 3 3 7" xfId="8994" xr:uid="{00000000-0005-0000-0000-0000BB1D0000}"/>
    <cellStyle name="표준 21 2 3 3 3 8" xfId="6464" xr:uid="{00000000-0005-0000-0000-0000BC1D0000}"/>
    <cellStyle name="표준 21 2 3 3 4" xfId="5410" xr:uid="{00000000-0005-0000-0000-0000BD1D0000}"/>
    <cellStyle name="표준 21 2 3 3 4 2" xfId="7315" xr:uid="{00000000-0005-0000-0000-0000BE1D0000}"/>
    <cellStyle name="표준 21 2 3 3 4 2 2" xfId="9838" xr:uid="{00000000-0005-0000-0000-0000BF1D0000}"/>
    <cellStyle name="표준 21 2 3 3 4 3" xfId="8156" xr:uid="{00000000-0005-0000-0000-0000C01D0000}"/>
    <cellStyle name="표준 21 2 3 3 4 4" xfId="8998" xr:uid="{00000000-0005-0000-0000-0000C11D0000}"/>
    <cellStyle name="표준 21 2 3 3 4 5" xfId="6468" xr:uid="{00000000-0005-0000-0000-0000C21D0000}"/>
    <cellStyle name="표준 21 2 3 3 5" xfId="5411" xr:uid="{00000000-0005-0000-0000-0000C31D0000}"/>
    <cellStyle name="표준 21 2 3 3 5 2" xfId="7316" xr:uid="{00000000-0005-0000-0000-0000C41D0000}"/>
    <cellStyle name="표준 21 2 3 3 5 2 2" xfId="9839" xr:uid="{00000000-0005-0000-0000-0000C51D0000}"/>
    <cellStyle name="표준 21 2 3 3 5 3" xfId="8157" xr:uid="{00000000-0005-0000-0000-0000C61D0000}"/>
    <cellStyle name="표준 21 2 3 3 5 4" xfId="8999" xr:uid="{00000000-0005-0000-0000-0000C71D0000}"/>
    <cellStyle name="표준 21 2 3 3 5 5" xfId="6469" xr:uid="{00000000-0005-0000-0000-0000C81D0000}"/>
    <cellStyle name="표준 21 2 3 3 6" xfId="5412" xr:uid="{00000000-0005-0000-0000-0000C91D0000}"/>
    <cellStyle name="표준 21 2 3 3 6 2" xfId="7317" xr:uid="{00000000-0005-0000-0000-0000CA1D0000}"/>
    <cellStyle name="표준 21 2 3 3 6 2 2" xfId="9840" xr:uid="{00000000-0005-0000-0000-0000CB1D0000}"/>
    <cellStyle name="표준 21 2 3 3 6 3" xfId="8158" xr:uid="{00000000-0005-0000-0000-0000CC1D0000}"/>
    <cellStyle name="표준 21 2 3 3 6 4" xfId="9000" xr:uid="{00000000-0005-0000-0000-0000CD1D0000}"/>
    <cellStyle name="표준 21 2 3 3 6 5" xfId="6470" xr:uid="{00000000-0005-0000-0000-0000CE1D0000}"/>
    <cellStyle name="표준 21 2 3 3 7" xfId="7302" xr:uid="{00000000-0005-0000-0000-0000CF1D0000}"/>
    <cellStyle name="표준 21 2 3 3 7 2" xfId="9825" xr:uid="{00000000-0005-0000-0000-0000D01D0000}"/>
    <cellStyle name="표준 21 2 3 3 8" xfId="8143" xr:uid="{00000000-0005-0000-0000-0000D11D0000}"/>
    <cellStyle name="표준 21 2 3 3 9" xfId="8985" xr:uid="{00000000-0005-0000-0000-0000D21D0000}"/>
    <cellStyle name="표준 21 2 3 4" xfId="5413" xr:uid="{00000000-0005-0000-0000-0000D31D0000}"/>
    <cellStyle name="표준 21 2 3 4 2" xfId="5414" xr:uid="{00000000-0005-0000-0000-0000D41D0000}"/>
    <cellStyle name="표준 21 2 3 4 2 2" xfId="5415" xr:uid="{00000000-0005-0000-0000-0000D51D0000}"/>
    <cellStyle name="표준 21 2 3 4 2 2 2" xfId="7320" xr:uid="{00000000-0005-0000-0000-0000D61D0000}"/>
    <cellStyle name="표준 21 2 3 4 2 2 2 2" xfId="9843" xr:uid="{00000000-0005-0000-0000-0000D71D0000}"/>
    <cellStyle name="표준 21 2 3 4 2 2 3" xfId="8161" xr:uid="{00000000-0005-0000-0000-0000D81D0000}"/>
    <cellStyle name="표준 21 2 3 4 2 2 4" xfId="9003" xr:uid="{00000000-0005-0000-0000-0000D91D0000}"/>
    <cellStyle name="표준 21 2 3 4 2 2 5" xfId="6473" xr:uid="{00000000-0005-0000-0000-0000DA1D0000}"/>
    <cellStyle name="표준 21 2 3 4 2 3" xfId="5416" xr:uid="{00000000-0005-0000-0000-0000DB1D0000}"/>
    <cellStyle name="표준 21 2 3 4 2 3 2" xfId="7321" xr:uid="{00000000-0005-0000-0000-0000DC1D0000}"/>
    <cellStyle name="표준 21 2 3 4 2 3 2 2" xfId="9844" xr:uid="{00000000-0005-0000-0000-0000DD1D0000}"/>
    <cellStyle name="표준 21 2 3 4 2 3 3" xfId="8162" xr:uid="{00000000-0005-0000-0000-0000DE1D0000}"/>
    <cellStyle name="표준 21 2 3 4 2 3 4" xfId="9004" xr:uid="{00000000-0005-0000-0000-0000DF1D0000}"/>
    <cellStyle name="표준 21 2 3 4 2 3 5" xfId="6474" xr:uid="{00000000-0005-0000-0000-0000E01D0000}"/>
    <cellStyle name="표준 21 2 3 4 2 4" xfId="5417" xr:uid="{00000000-0005-0000-0000-0000E11D0000}"/>
    <cellStyle name="표준 21 2 3 4 2 4 2" xfId="7322" xr:uid="{00000000-0005-0000-0000-0000E21D0000}"/>
    <cellStyle name="표준 21 2 3 4 2 4 2 2" xfId="9845" xr:uid="{00000000-0005-0000-0000-0000E31D0000}"/>
    <cellStyle name="표준 21 2 3 4 2 4 3" xfId="8163" xr:uid="{00000000-0005-0000-0000-0000E41D0000}"/>
    <cellStyle name="표준 21 2 3 4 2 4 4" xfId="9005" xr:uid="{00000000-0005-0000-0000-0000E51D0000}"/>
    <cellStyle name="표준 21 2 3 4 2 4 5" xfId="6475" xr:uid="{00000000-0005-0000-0000-0000E61D0000}"/>
    <cellStyle name="표준 21 2 3 4 2 5" xfId="7319" xr:uid="{00000000-0005-0000-0000-0000E71D0000}"/>
    <cellStyle name="표준 21 2 3 4 2 5 2" xfId="9842" xr:uid="{00000000-0005-0000-0000-0000E81D0000}"/>
    <cellStyle name="표준 21 2 3 4 2 6" xfId="8160" xr:uid="{00000000-0005-0000-0000-0000E91D0000}"/>
    <cellStyle name="표준 21 2 3 4 2 7" xfId="9002" xr:uid="{00000000-0005-0000-0000-0000EA1D0000}"/>
    <cellStyle name="표준 21 2 3 4 2 8" xfId="6472" xr:uid="{00000000-0005-0000-0000-0000EB1D0000}"/>
    <cellStyle name="표준 21 2 3 4 3" xfId="5418" xr:uid="{00000000-0005-0000-0000-0000EC1D0000}"/>
    <cellStyle name="표준 21 2 3 4 3 2" xfId="7323" xr:uid="{00000000-0005-0000-0000-0000ED1D0000}"/>
    <cellStyle name="표준 21 2 3 4 3 2 2" xfId="9846" xr:uid="{00000000-0005-0000-0000-0000EE1D0000}"/>
    <cellStyle name="표준 21 2 3 4 3 3" xfId="8164" xr:uid="{00000000-0005-0000-0000-0000EF1D0000}"/>
    <cellStyle name="표준 21 2 3 4 3 4" xfId="9006" xr:uid="{00000000-0005-0000-0000-0000F01D0000}"/>
    <cellStyle name="표준 21 2 3 4 3 5" xfId="6476" xr:uid="{00000000-0005-0000-0000-0000F11D0000}"/>
    <cellStyle name="표준 21 2 3 4 4" xfId="5419" xr:uid="{00000000-0005-0000-0000-0000F21D0000}"/>
    <cellStyle name="표준 21 2 3 4 4 2" xfId="7324" xr:uid="{00000000-0005-0000-0000-0000F31D0000}"/>
    <cellStyle name="표준 21 2 3 4 4 2 2" xfId="9847" xr:uid="{00000000-0005-0000-0000-0000F41D0000}"/>
    <cellStyle name="표준 21 2 3 4 4 3" xfId="8165" xr:uid="{00000000-0005-0000-0000-0000F51D0000}"/>
    <cellStyle name="표준 21 2 3 4 4 4" xfId="9007" xr:uid="{00000000-0005-0000-0000-0000F61D0000}"/>
    <cellStyle name="표준 21 2 3 4 4 5" xfId="6477" xr:uid="{00000000-0005-0000-0000-0000F71D0000}"/>
    <cellStyle name="표준 21 2 3 4 5" xfId="5420" xr:uid="{00000000-0005-0000-0000-0000F81D0000}"/>
    <cellStyle name="표준 21 2 3 4 5 2" xfId="7325" xr:uid="{00000000-0005-0000-0000-0000F91D0000}"/>
    <cellStyle name="표준 21 2 3 4 5 2 2" xfId="9848" xr:uid="{00000000-0005-0000-0000-0000FA1D0000}"/>
    <cellStyle name="표준 21 2 3 4 5 3" xfId="8166" xr:uid="{00000000-0005-0000-0000-0000FB1D0000}"/>
    <cellStyle name="표준 21 2 3 4 5 4" xfId="9008" xr:uid="{00000000-0005-0000-0000-0000FC1D0000}"/>
    <cellStyle name="표준 21 2 3 4 5 5" xfId="6478" xr:uid="{00000000-0005-0000-0000-0000FD1D0000}"/>
    <cellStyle name="표준 21 2 3 4 6" xfId="7318" xr:uid="{00000000-0005-0000-0000-0000FE1D0000}"/>
    <cellStyle name="표준 21 2 3 4 6 2" xfId="9841" xr:uid="{00000000-0005-0000-0000-0000FF1D0000}"/>
    <cellStyle name="표준 21 2 3 4 7" xfId="8159" xr:uid="{00000000-0005-0000-0000-0000001E0000}"/>
    <cellStyle name="표준 21 2 3 4 8" xfId="9001" xr:uid="{00000000-0005-0000-0000-0000011E0000}"/>
    <cellStyle name="표준 21 2 3 4 9" xfId="6471" xr:uid="{00000000-0005-0000-0000-0000021E0000}"/>
    <cellStyle name="표준 21 2 3 5" xfId="5421" xr:uid="{00000000-0005-0000-0000-0000031E0000}"/>
    <cellStyle name="표준 21 2 3 5 2" xfId="5422" xr:uid="{00000000-0005-0000-0000-0000041E0000}"/>
    <cellStyle name="표준 21 2 3 5 2 2" xfId="7327" xr:uid="{00000000-0005-0000-0000-0000051E0000}"/>
    <cellStyle name="표준 21 2 3 5 2 2 2" xfId="9850" xr:uid="{00000000-0005-0000-0000-0000061E0000}"/>
    <cellStyle name="표준 21 2 3 5 2 3" xfId="8168" xr:uid="{00000000-0005-0000-0000-0000071E0000}"/>
    <cellStyle name="표준 21 2 3 5 2 4" xfId="9010" xr:uid="{00000000-0005-0000-0000-0000081E0000}"/>
    <cellStyle name="표준 21 2 3 5 2 5" xfId="6480" xr:uid="{00000000-0005-0000-0000-0000091E0000}"/>
    <cellStyle name="표준 21 2 3 5 3" xfId="5423" xr:uid="{00000000-0005-0000-0000-00000A1E0000}"/>
    <cellStyle name="표준 21 2 3 5 3 2" xfId="7328" xr:uid="{00000000-0005-0000-0000-00000B1E0000}"/>
    <cellStyle name="표준 21 2 3 5 3 2 2" xfId="9851" xr:uid="{00000000-0005-0000-0000-00000C1E0000}"/>
    <cellStyle name="표준 21 2 3 5 3 3" xfId="8169" xr:uid="{00000000-0005-0000-0000-00000D1E0000}"/>
    <cellStyle name="표준 21 2 3 5 3 4" xfId="9011" xr:uid="{00000000-0005-0000-0000-00000E1E0000}"/>
    <cellStyle name="표준 21 2 3 5 3 5" xfId="6481" xr:uid="{00000000-0005-0000-0000-00000F1E0000}"/>
    <cellStyle name="표준 21 2 3 5 4" xfId="5424" xr:uid="{00000000-0005-0000-0000-0000101E0000}"/>
    <cellStyle name="표준 21 2 3 5 4 2" xfId="7329" xr:uid="{00000000-0005-0000-0000-0000111E0000}"/>
    <cellStyle name="표준 21 2 3 5 4 2 2" xfId="9852" xr:uid="{00000000-0005-0000-0000-0000121E0000}"/>
    <cellStyle name="표준 21 2 3 5 4 3" xfId="8170" xr:uid="{00000000-0005-0000-0000-0000131E0000}"/>
    <cellStyle name="표준 21 2 3 5 4 4" xfId="9012" xr:uid="{00000000-0005-0000-0000-0000141E0000}"/>
    <cellStyle name="표준 21 2 3 5 4 5" xfId="6482" xr:uid="{00000000-0005-0000-0000-0000151E0000}"/>
    <cellStyle name="표준 21 2 3 5 5" xfId="7326" xr:uid="{00000000-0005-0000-0000-0000161E0000}"/>
    <cellStyle name="표준 21 2 3 5 5 2" xfId="9849" xr:uid="{00000000-0005-0000-0000-0000171E0000}"/>
    <cellStyle name="표준 21 2 3 5 6" xfId="8167" xr:uid="{00000000-0005-0000-0000-0000181E0000}"/>
    <cellStyle name="표준 21 2 3 5 7" xfId="9009" xr:uid="{00000000-0005-0000-0000-0000191E0000}"/>
    <cellStyle name="표준 21 2 3 5 8" xfId="6479" xr:uid="{00000000-0005-0000-0000-00001A1E0000}"/>
    <cellStyle name="표준 21 2 3 6" xfId="5425" xr:uid="{00000000-0005-0000-0000-00001B1E0000}"/>
    <cellStyle name="표준 21 2 3 6 2" xfId="7330" xr:uid="{00000000-0005-0000-0000-00001C1E0000}"/>
    <cellStyle name="표준 21 2 3 6 2 2" xfId="9853" xr:uid="{00000000-0005-0000-0000-00001D1E0000}"/>
    <cellStyle name="표준 21 2 3 6 3" xfId="8171" xr:uid="{00000000-0005-0000-0000-00001E1E0000}"/>
    <cellStyle name="표준 21 2 3 6 4" xfId="9013" xr:uid="{00000000-0005-0000-0000-00001F1E0000}"/>
    <cellStyle name="표준 21 2 3 6 5" xfId="6483" xr:uid="{00000000-0005-0000-0000-0000201E0000}"/>
    <cellStyle name="표준 21 2 3 7" xfId="5426" xr:uid="{00000000-0005-0000-0000-0000211E0000}"/>
    <cellStyle name="표준 21 2 3 7 2" xfId="7331" xr:uid="{00000000-0005-0000-0000-0000221E0000}"/>
    <cellStyle name="표준 21 2 3 7 2 2" xfId="9854" xr:uid="{00000000-0005-0000-0000-0000231E0000}"/>
    <cellStyle name="표준 21 2 3 7 3" xfId="8172" xr:uid="{00000000-0005-0000-0000-0000241E0000}"/>
    <cellStyle name="표준 21 2 3 7 4" xfId="9014" xr:uid="{00000000-0005-0000-0000-0000251E0000}"/>
    <cellStyle name="표준 21 2 3 7 5" xfId="6484" xr:uid="{00000000-0005-0000-0000-0000261E0000}"/>
    <cellStyle name="표준 21 2 3 8" xfId="5427" xr:uid="{00000000-0005-0000-0000-0000271E0000}"/>
    <cellStyle name="표준 21 2 3 8 2" xfId="7332" xr:uid="{00000000-0005-0000-0000-0000281E0000}"/>
    <cellStyle name="표준 21 2 3 8 2 2" xfId="9855" xr:uid="{00000000-0005-0000-0000-0000291E0000}"/>
    <cellStyle name="표준 21 2 3 8 3" xfId="8173" xr:uid="{00000000-0005-0000-0000-00002A1E0000}"/>
    <cellStyle name="표준 21 2 3 8 4" xfId="9015" xr:uid="{00000000-0005-0000-0000-00002B1E0000}"/>
    <cellStyle name="표준 21 2 3 8 5" xfId="6485" xr:uid="{00000000-0005-0000-0000-00002C1E0000}"/>
    <cellStyle name="표준 21 2 3 9" xfId="7285" xr:uid="{00000000-0005-0000-0000-00002D1E0000}"/>
    <cellStyle name="표준 21 2 3 9 2" xfId="9808" xr:uid="{00000000-0005-0000-0000-00002E1E0000}"/>
    <cellStyle name="표준 21 2 4" xfId="5428" xr:uid="{00000000-0005-0000-0000-00002F1E0000}"/>
    <cellStyle name="표준 21 2 4 10" xfId="6486" xr:uid="{00000000-0005-0000-0000-0000301E0000}"/>
    <cellStyle name="표준 21 2 4 2" xfId="5429" xr:uid="{00000000-0005-0000-0000-0000311E0000}"/>
    <cellStyle name="표준 21 2 4 2 2" xfId="5430" xr:uid="{00000000-0005-0000-0000-0000321E0000}"/>
    <cellStyle name="표준 21 2 4 2 2 2" xfId="5431" xr:uid="{00000000-0005-0000-0000-0000331E0000}"/>
    <cellStyle name="표준 21 2 4 2 2 2 2" xfId="7336" xr:uid="{00000000-0005-0000-0000-0000341E0000}"/>
    <cellStyle name="표준 21 2 4 2 2 2 2 2" xfId="9859" xr:uid="{00000000-0005-0000-0000-0000351E0000}"/>
    <cellStyle name="표준 21 2 4 2 2 2 3" xfId="8177" xr:uid="{00000000-0005-0000-0000-0000361E0000}"/>
    <cellStyle name="표준 21 2 4 2 2 2 4" xfId="9019" xr:uid="{00000000-0005-0000-0000-0000371E0000}"/>
    <cellStyle name="표준 21 2 4 2 2 2 5" xfId="6489" xr:uid="{00000000-0005-0000-0000-0000381E0000}"/>
    <cellStyle name="표준 21 2 4 2 2 3" xfId="5432" xr:uid="{00000000-0005-0000-0000-0000391E0000}"/>
    <cellStyle name="표준 21 2 4 2 2 3 2" xfId="7337" xr:uid="{00000000-0005-0000-0000-00003A1E0000}"/>
    <cellStyle name="표준 21 2 4 2 2 3 2 2" xfId="9860" xr:uid="{00000000-0005-0000-0000-00003B1E0000}"/>
    <cellStyle name="표준 21 2 4 2 2 3 3" xfId="8178" xr:uid="{00000000-0005-0000-0000-00003C1E0000}"/>
    <cellStyle name="표준 21 2 4 2 2 3 4" xfId="9020" xr:uid="{00000000-0005-0000-0000-00003D1E0000}"/>
    <cellStyle name="표준 21 2 4 2 2 3 5" xfId="6490" xr:uid="{00000000-0005-0000-0000-00003E1E0000}"/>
    <cellStyle name="표준 21 2 4 2 2 4" xfId="5433" xr:uid="{00000000-0005-0000-0000-00003F1E0000}"/>
    <cellStyle name="표준 21 2 4 2 2 4 2" xfId="7338" xr:uid="{00000000-0005-0000-0000-0000401E0000}"/>
    <cellStyle name="표준 21 2 4 2 2 4 2 2" xfId="9861" xr:uid="{00000000-0005-0000-0000-0000411E0000}"/>
    <cellStyle name="표준 21 2 4 2 2 4 3" xfId="8179" xr:uid="{00000000-0005-0000-0000-0000421E0000}"/>
    <cellStyle name="표준 21 2 4 2 2 4 4" xfId="9021" xr:uid="{00000000-0005-0000-0000-0000431E0000}"/>
    <cellStyle name="표준 21 2 4 2 2 4 5" xfId="6491" xr:uid="{00000000-0005-0000-0000-0000441E0000}"/>
    <cellStyle name="표준 21 2 4 2 2 5" xfId="7335" xr:uid="{00000000-0005-0000-0000-0000451E0000}"/>
    <cellStyle name="표준 21 2 4 2 2 5 2" xfId="9858" xr:uid="{00000000-0005-0000-0000-0000461E0000}"/>
    <cellStyle name="표준 21 2 4 2 2 6" xfId="8176" xr:uid="{00000000-0005-0000-0000-0000471E0000}"/>
    <cellStyle name="표준 21 2 4 2 2 7" xfId="9018" xr:uid="{00000000-0005-0000-0000-0000481E0000}"/>
    <cellStyle name="표준 21 2 4 2 2 8" xfId="6488" xr:uid="{00000000-0005-0000-0000-0000491E0000}"/>
    <cellStyle name="표준 21 2 4 2 3" xfId="5434" xr:uid="{00000000-0005-0000-0000-00004A1E0000}"/>
    <cellStyle name="표준 21 2 4 2 3 2" xfId="7339" xr:uid="{00000000-0005-0000-0000-00004B1E0000}"/>
    <cellStyle name="표준 21 2 4 2 3 2 2" xfId="9862" xr:uid="{00000000-0005-0000-0000-00004C1E0000}"/>
    <cellStyle name="표준 21 2 4 2 3 3" xfId="8180" xr:uid="{00000000-0005-0000-0000-00004D1E0000}"/>
    <cellStyle name="표준 21 2 4 2 3 4" xfId="9022" xr:uid="{00000000-0005-0000-0000-00004E1E0000}"/>
    <cellStyle name="표준 21 2 4 2 3 5" xfId="6492" xr:uid="{00000000-0005-0000-0000-00004F1E0000}"/>
    <cellStyle name="표준 21 2 4 2 4" xfId="5435" xr:uid="{00000000-0005-0000-0000-0000501E0000}"/>
    <cellStyle name="표준 21 2 4 2 4 2" xfId="7340" xr:uid="{00000000-0005-0000-0000-0000511E0000}"/>
    <cellStyle name="표준 21 2 4 2 4 2 2" xfId="9863" xr:uid="{00000000-0005-0000-0000-0000521E0000}"/>
    <cellStyle name="표준 21 2 4 2 4 3" xfId="8181" xr:uid="{00000000-0005-0000-0000-0000531E0000}"/>
    <cellStyle name="표준 21 2 4 2 4 4" xfId="9023" xr:uid="{00000000-0005-0000-0000-0000541E0000}"/>
    <cellStyle name="표준 21 2 4 2 4 5" xfId="6493" xr:uid="{00000000-0005-0000-0000-0000551E0000}"/>
    <cellStyle name="표준 21 2 4 2 5" xfId="5436" xr:uid="{00000000-0005-0000-0000-0000561E0000}"/>
    <cellStyle name="표준 21 2 4 2 5 2" xfId="7341" xr:uid="{00000000-0005-0000-0000-0000571E0000}"/>
    <cellStyle name="표준 21 2 4 2 5 2 2" xfId="9864" xr:uid="{00000000-0005-0000-0000-0000581E0000}"/>
    <cellStyle name="표준 21 2 4 2 5 3" xfId="8182" xr:uid="{00000000-0005-0000-0000-0000591E0000}"/>
    <cellStyle name="표준 21 2 4 2 5 4" xfId="9024" xr:uid="{00000000-0005-0000-0000-00005A1E0000}"/>
    <cellStyle name="표준 21 2 4 2 5 5" xfId="6494" xr:uid="{00000000-0005-0000-0000-00005B1E0000}"/>
    <cellStyle name="표준 21 2 4 2 6" xfId="7334" xr:uid="{00000000-0005-0000-0000-00005C1E0000}"/>
    <cellStyle name="표준 21 2 4 2 6 2" xfId="9857" xr:uid="{00000000-0005-0000-0000-00005D1E0000}"/>
    <cellStyle name="표준 21 2 4 2 7" xfId="8175" xr:uid="{00000000-0005-0000-0000-00005E1E0000}"/>
    <cellStyle name="표준 21 2 4 2 8" xfId="9017" xr:uid="{00000000-0005-0000-0000-00005F1E0000}"/>
    <cellStyle name="표준 21 2 4 2 9" xfId="6487" xr:uid="{00000000-0005-0000-0000-0000601E0000}"/>
    <cellStyle name="표준 21 2 4 3" xfId="5437" xr:uid="{00000000-0005-0000-0000-0000611E0000}"/>
    <cellStyle name="표준 21 2 4 3 2" xfId="5438" xr:uid="{00000000-0005-0000-0000-0000621E0000}"/>
    <cellStyle name="표준 21 2 4 3 2 2" xfId="7343" xr:uid="{00000000-0005-0000-0000-0000631E0000}"/>
    <cellStyle name="표준 21 2 4 3 2 2 2" xfId="9866" xr:uid="{00000000-0005-0000-0000-0000641E0000}"/>
    <cellStyle name="표준 21 2 4 3 2 3" xfId="8184" xr:uid="{00000000-0005-0000-0000-0000651E0000}"/>
    <cellStyle name="표준 21 2 4 3 2 4" xfId="9026" xr:uid="{00000000-0005-0000-0000-0000661E0000}"/>
    <cellStyle name="표준 21 2 4 3 2 5" xfId="6496" xr:uid="{00000000-0005-0000-0000-0000671E0000}"/>
    <cellStyle name="표준 21 2 4 3 3" xfId="5439" xr:uid="{00000000-0005-0000-0000-0000681E0000}"/>
    <cellStyle name="표준 21 2 4 3 3 2" xfId="7344" xr:uid="{00000000-0005-0000-0000-0000691E0000}"/>
    <cellStyle name="표준 21 2 4 3 3 2 2" xfId="9867" xr:uid="{00000000-0005-0000-0000-00006A1E0000}"/>
    <cellStyle name="표준 21 2 4 3 3 3" xfId="8185" xr:uid="{00000000-0005-0000-0000-00006B1E0000}"/>
    <cellStyle name="표준 21 2 4 3 3 4" xfId="9027" xr:uid="{00000000-0005-0000-0000-00006C1E0000}"/>
    <cellStyle name="표준 21 2 4 3 3 5" xfId="6497" xr:uid="{00000000-0005-0000-0000-00006D1E0000}"/>
    <cellStyle name="표준 21 2 4 3 4" xfId="5440" xr:uid="{00000000-0005-0000-0000-00006E1E0000}"/>
    <cellStyle name="표준 21 2 4 3 4 2" xfId="7345" xr:uid="{00000000-0005-0000-0000-00006F1E0000}"/>
    <cellStyle name="표준 21 2 4 3 4 2 2" xfId="9868" xr:uid="{00000000-0005-0000-0000-0000701E0000}"/>
    <cellStyle name="표준 21 2 4 3 4 3" xfId="8186" xr:uid="{00000000-0005-0000-0000-0000711E0000}"/>
    <cellStyle name="표준 21 2 4 3 4 4" xfId="9028" xr:uid="{00000000-0005-0000-0000-0000721E0000}"/>
    <cellStyle name="표준 21 2 4 3 4 5" xfId="6498" xr:uid="{00000000-0005-0000-0000-0000731E0000}"/>
    <cellStyle name="표준 21 2 4 3 5" xfId="7342" xr:uid="{00000000-0005-0000-0000-0000741E0000}"/>
    <cellStyle name="표준 21 2 4 3 5 2" xfId="9865" xr:uid="{00000000-0005-0000-0000-0000751E0000}"/>
    <cellStyle name="표준 21 2 4 3 6" xfId="8183" xr:uid="{00000000-0005-0000-0000-0000761E0000}"/>
    <cellStyle name="표준 21 2 4 3 7" xfId="9025" xr:uid="{00000000-0005-0000-0000-0000771E0000}"/>
    <cellStyle name="표준 21 2 4 3 8" xfId="6495" xr:uid="{00000000-0005-0000-0000-0000781E0000}"/>
    <cellStyle name="표준 21 2 4 4" xfId="5441" xr:uid="{00000000-0005-0000-0000-0000791E0000}"/>
    <cellStyle name="표준 21 2 4 4 2" xfId="7346" xr:uid="{00000000-0005-0000-0000-00007A1E0000}"/>
    <cellStyle name="표준 21 2 4 4 2 2" xfId="9869" xr:uid="{00000000-0005-0000-0000-00007B1E0000}"/>
    <cellStyle name="표준 21 2 4 4 3" xfId="8187" xr:uid="{00000000-0005-0000-0000-00007C1E0000}"/>
    <cellStyle name="표준 21 2 4 4 4" xfId="9029" xr:uid="{00000000-0005-0000-0000-00007D1E0000}"/>
    <cellStyle name="표준 21 2 4 4 5" xfId="6499" xr:uid="{00000000-0005-0000-0000-00007E1E0000}"/>
    <cellStyle name="표준 21 2 4 5" xfId="5442" xr:uid="{00000000-0005-0000-0000-00007F1E0000}"/>
    <cellStyle name="표준 21 2 4 5 2" xfId="7347" xr:uid="{00000000-0005-0000-0000-0000801E0000}"/>
    <cellStyle name="표준 21 2 4 5 2 2" xfId="9870" xr:uid="{00000000-0005-0000-0000-0000811E0000}"/>
    <cellStyle name="표준 21 2 4 5 3" xfId="8188" xr:uid="{00000000-0005-0000-0000-0000821E0000}"/>
    <cellStyle name="표준 21 2 4 5 4" xfId="9030" xr:uid="{00000000-0005-0000-0000-0000831E0000}"/>
    <cellStyle name="표준 21 2 4 5 5" xfId="6500" xr:uid="{00000000-0005-0000-0000-0000841E0000}"/>
    <cellStyle name="표준 21 2 4 6" xfId="5443" xr:uid="{00000000-0005-0000-0000-0000851E0000}"/>
    <cellStyle name="표준 21 2 4 6 2" xfId="7348" xr:uid="{00000000-0005-0000-0000-0000861E0000}"/>
    <cellStyle name="표준 21 2 4 6 2 2" xfId="9871" xr:uid="{00000000-0005-0000-0000-0000871E0000}"/>
    <cellStyle name="표준 21 2 4 6 3" xfId="8189" xr:uid="{00000000-0005-0000-0000-0000881E0000}"/>
    <cellStyle name="표준 21 2 4 6 4" xfId="9031" xr:uid="{00000000-0005-0000-0000-0000891E0000}"/>
    <cellStyle name="표준 21 2 4 6 5" xfId="6501" xr:uid="{00000000-0005-0000-0000-00008A1E0000}"/>
    <cellStyle name="표준 21 2 4 7" xfId="7333" xr:uid="{00000000-0005-0000-0000-00008B1E0000}"/>
    <cellStyle name="표준 21 2 4 7 2" xfId="9856" xr:uid="{00000000-0005-0000-0000-00008C1E0000}"/>
    <cellStyle name="표준 21 2 4 8" xfId="8174" xr:uid="{00000000-0005-0000-0000-00008D1E0000}"/>
    <cellStyle name="표준 21 2 4 9" xfId="9016" xr:uid="{00000000-0005-0000-0000-00008E1E0000}"/>
    <cellStyle name="표준 21 2 5" xfId="5444" xr:uid="{00000000-0005-0000-0000-00008F1E0000}"/>
    <cellStyle name="표준 21 2 5 10" xfId="6502" xr:uid="{00000000-0005-0000-0000-0000901E0000}"/>
    <cellStyle name="표준 21 2 5 2" xfId="5445" xr:uid="{00000000-0005-0000-0000-0000911E0000}"/>
    <cellStyle name="표준 21 2 5 2 2" xfId="5446" xr:uid="{00000000-0005-0000-0000-0000921E0000}"/>
    <cellStyle name="표준 21 2 5 2 2 2" xfId="5447" xr:uid="{00000000-0005-0000-0000-0000931E0000}"/>
    <cellStyle name="표준 21 2 5 2 2 2 2" xfId="7352" xr:uid="{00000000-0005-0000-0000-0000941E0000}"/>
    <cellStyle name="표준 21 2 5 2 2 2 2 2" xfId="9875" xr:uid="{00000000-0005-0000-0000-0000951E0000}"/>
    <cellStyle name="표준 21 2 5 2 2 2 3" xfId="8193" xr:uid="{00000000-0005-0000-0000-0000961E0000}"/>
    <cellStyle name="표준 21 2 5 2 2 2 4" xfId="9035" xr:uid="{00000000-0005-0000-0000-0000971E0000}"/>
    <cellStyle name="표준 21 2 5 2 2 2 5" xfId="6505" xr:uid="{00000000-0005-0000-0000-0000981E0000}"/>
    <cellStyle name="표준 21 2 5 2 2 3" xfId="5448" xr:uid="{00000000-0005-0000-0000-0000991E0000}"/>
    <cellStyle name="표준 21 2 5 2 2 3 2" xfId="7353" xr:uid="{00000000-0005-0000-0000-00009A1E0000}"/>
    <cellStyle name="표준 21 2 5 2 2 3 2 2" xfId="9876" xr:uid="{00000000-0005-0000-0000-00009B1E0000}"/>
    <cellStyle name="표준 21 2 5 2 2 3 3" xfId="8194" xr:uid="{00000000-0005-0000-0000-00009C1E0000}"/>
    <cellStyle name="표준 21 2 5 2 2 3 4" xfId="9036" xr:uid="{00000000-0005-0000-0000-00009D1E0000}"/>
    <cellStyle name="표준 21 2 5 2 2 3 5" xfId="6506" xr:uid="{00000000-0005-0000-0000-00009E1E0000}"/>
    <cellStyle name="표준 21 2 5 2 2 4" xfId="5449" xr:uid="{00000000-0005-0000-0000-00009F1E0000}"/>
    <cellStyle name="표준 21 2 5 2 2 4 2" xfId="7354" xr:uid="{00000000-0005-0000-0000-0000A01E0000}"/>
    <cellStyle name="표준 21 2 5 2 2 4 2 2" xfId="9877" xr:uid="{00000000-0005-0000-0000-0000A11E0000}"/>
    <cellStyle name="표준 21 2 5 2 2 4 3" xfId="8195" xr:uid="{00000000-0005-0000-0000-0000A21E0000}"/>
    <cellStyle name="표준 21 2 5 2 2 4 4" xfId="9037" xr:uid="{00000000-0005-0000-0000-0000A31E0000}"/>
    <cellStyle name="표준 21 2 5 2 2 4 5" xfId="6507" xr:uid="{00000000-0005-0000-0000-0000A41E0000}"/>
    <cellStyle name="표준 21 2 5 2 2 5" xfId="7351" xr:uid="{00000000-0005-0000-0000-0000A51E0000}"/>
    <cellStyle name="표준 21 2 5 2 2 5 2" xfId="9874" xr:uid="{00000000-0005-0000-0000-0000A61E0000}"/>
    <cellStyle name="표준 21 2 5 2 2 6" xfId="8192" xr:uid="{00000000-0005-0000-0000-0000A71E0000}"/>
    <cellStyle name="표준 21 2 5 2 2 7" xfId="9034" xr:uid="{00000000-0005-0000-0000-0000A81E0000}"/>
    <cellStyle name="표준 21 2 5 2 2 8" xfId="6504" xr:uid="{00000000-0005-0000-0000-0000A91E0000}"/>
    <cellStyle name="표준 21 2 5 2 3" xfId="5450" xr:uid="{00000000-0005-0000-0000-0000AA1E0000}"/>
    <cellStyle name="표준 21 2 5 2 3 2" xfId="7355" xr:uid="{00000000-0005-0000-0000-0000AB1E0000}"/>
    <cellStyle name="표준 21 2 5 2 3 2 2" xfId="9878" xr:uid="{00000000-0005-0000-0000-0000AC1E0000}"/>
    <cellStyle name="표준 21 2 5 2 3 3" xfId="8196" xr:uid="{00000000-0005-0000-0000-0000AD1E0000}"/>
    <cellStyle name="표준 21 2 5 2 3 4" xfId="9038" xr:uid="{00000000-0005-0000-0000-0000AE1E0000}"/>
    <cellStyle name="표준 21 2 5 2 3 5" xfId="6508" xr:uid="{00000000-0005-0000-0000-0000AF1E0000}"/>
    <cellStyle name="표준 21 2 5 2 4" xfId="5451" xr:uid="{00000000-0005-0000-0000-0000B01E0000}"/>
    <cellStyle name="표준 21 2 5 2 4 2" xfId="7356" xr:uid="{00000000-0005-0000-0000-0000B11E0000}"/>
    <cellStyle name="표준 21 2 5 2 4 2 2" xfId="9879" xr:uid="{00000000-0005-0000-0000-0000B21E0000}"/>
    <cellStyle name="표준 21 2 5 2 4 3" xfId="8197" xr:uid="{00000000-0005-0000-0000-0000B31E0000}"/>
    <cellStyle name="표준 21 2 5 2 4 4" xfId="9039" xr:uid="{00000000-0005-0000-0000-0000B41E0000}"/>
    <cellStyle name="표준 21 2 5 2 4 5" xfId="6509" xr:uid="{00000000-0005-0000-0000-0000B51E0000}"/>
    <cellStyle name="표준 21 2 5 2 5" xfId="5452" xr:uid="{00000000-0005-0000-0000-0000B61E0000}"/>
    <cellStyle name="표준 21 2 5 2 5 2" xfId="7357" xr:uid="{00000000-0005-0000-0000-0000B71E0000}"/>
    <cellStyle name="표준 21 2 5 2 5 2 2" xfId="9880" xr:uid="{00000000-0005-0000-0000-0000B81E0000}"/>
    <cellStyle name="표준 21 2 5 2 5 3" xfId="8198" xr:uid="{00000000-0005-0000-0000-0000B91E0000}"/>
    <cellStyle name="표준 21 2 5 2 5 4" xfId="9040" xr:uid="{00000000-0005-0000-0000-0000BA1E0000}"/>
    <cellStyle name="표준 21 2 5 2 5 5" xfId="6510" xr:uid="{00000000-0005-0000-0000-0000BB1E0000}"/>
    <cellStyle name="표준 21 2 5 2 6" xfId="7350" xr:uid="{00000000-0005-0000-0000-0000BC1E0000}"/>
    <cellStyle name="표준 21 2 5 2 6 2" xfId="9873" xr:uid="{00000000-0005-0000-0000-0000BD1E0000}"/>
    <cellStyle name="표준 21 2 5 2 7" xfId="8191" xr:uid="{00000000-0005-0000-0000-0000BE1E0000}"/>
    <cellStyle name="표준 21 2 5 2 8" xfId="9033" xr:uid="{00000000-0005-0000-0000-0000BF1E0000}"/>
    <cellStyle name="표준 21 2 5 2 9" xfId="6503" xr:uid="{00000000-0005-0000-0000-0000C01E0000}"/>
    <cellStyle name="표준 21 2 5 3" xfId="5453" xr:uid="{00000000-0005-0000-0000-0000C11E0000}"/>
    <cellStyle name="표준 21 2 5 3 2" xfId="5454" xr:uid="{00000000-0005-0000-0000-0000C21E0000}"/>
    <cellStyle name="표준 21 2 5 3 2 2" xfId="7359" xr:uid="{00000000-0005-0000-0000-0000C31E0000}"/>
    <cellStyle name="표준 21 2 5 3 2 2 2" xfId="9882" xr:uid="{00000000-0005-0000-0000-0000C41E0000}"/>
    <cellStyle name="표준 21 2 5 3 2 3" xfId="8200" xr:uid="{00000000-0005-0000-0000-0000C51E0000}"/>
    <cellStyle name="표준 21 2 5 3 2 4" xfId="9042" xr:uid="{00000000-0005-0000-0000-0000C61E0000}"/>
    <cellStyle name="표준 21 2 5 3 2 5" xfId="6512" xr:uid="{00000000-0005-0000-0000-0000C71E0000}"/>
    <cellStyle name="표준 21 2 5 3 3" xfId="5455" xr:uid="{00000000-0005-0000-0000-0000C81E0000}"/>
    <cellStyle name="표준 21 2 5 3 3 2" xfId="7360" xr:uid="{00000000-0005-0000-0000-0000C91E0000}"/>
    <cellStyle name="표준 21 2 5 3 3 2 2" xfId="9883" xr:uid="{00000000-0005-0000-0000-0000CA1E0000}"/>
    <cellStyle name="표준 21 2 5 3 3 3" xfId="8201" xr:uid="{00000000-0005-0000-0000-0000CB1E0000}"/>
    <cellStyle name="표준 21 2 5 3 3 4" xfId="9043" xr:uid="{00000000-0005-0000-0000-0000CC1E0000}"/>
    <cellStyle name="표준 21 2 5 3 3 5" xfId="6513" xr:uid="{00000000-0005-0000-0000-0000CD1E0000}"/>
    <cellStyle name="표준 21 2 5 3 4" xfId="5456" xr:uid="{00000000-0005-0000-0000-0000CE1E0000}"/>
    <cellStyle name="표준 21 2 5 3 4 2" xfId="7361" xr:uid="{00000000-0005-0000-0000-0000CF1E0000}"/>
    <cellStyle name="표준 21 2 5 3 4 2 2" xfId="9884" xr:uid="{00000000-0005-0000-0000-0000D01E0000}"/>
    <cellStyle name="표준 21 2 5 3 4 3" xfId="8202" xr:uid="{00000000-0005-0000-0000-0000D11E0000}"/>
    <cellStyle name="표준 21 2 5 3 4 4" xfId="9044" xr:uid="{00000000-0005-0000-0000-0000D21E0000}"/>
    <cellStyle name="표준 21 2 5 3 4 5" xfId="6514" xr:uid="{00000000-0005-0000-0000-0000D31E0000}"/>
    <cellStyle name="표준 21 2 5 3 5" xfId="7358" xr:uid="{00000000-0005-0000-0000-0000D41E0000}"/>
    <cellStyle name="표준 21 2 5 3 5 2" xfId="9881" xr:uid="{00000000-0005-0000-0000-0000D51E0000}"/>
    <cellStyle name="표준 21 2 5 3 6" xfId="8199" xr:uid="{00000000-0005-0000-0000-0000D61E0000}"/>
    <cellStyle name="표준 21 2 5 3 7" xfId="9041" xr:uid="{00000000-0005-0000-0000-0000D71E0000}"/>
    <cellStyle name="표준 21 2 5 3 8" xfId="6511" xr:uid="{00000000-0005-0000-0000-0000D81E0000}"/>
    <cellStyle name="표준 21 2 5 4" xfId="5457" xr:uid="{00000000-0005-0000-0000-0000D91E0000}"/>
    <cellStyle name="표준 21 2 5 4 2" xfId="7362" xr:uid="{00000000-0005-0000-0000-0000DA1E0000}"/>
    <cellStyle name="표준 21 2 5 4 2 2" xfId="9885" xr:uid="{00000000-0005-0000-0000-0000DB1E0000}"/>
    <cellStyle name="표준 21 2 5 4 3" xfId="8203" xr:uid="{00000000-0005-0000-0000-0000DC1E0000}"/>
    <cellStyle name="표준 21 2 5 4 4" xfId="9045" xr:uid="{00000000-0005-0000-0000-0000DD1E0000}"/>
    <cellStyle name="표준 21 2 5 4 5" xfId="6515" xr:uid="{00000000-0005-0000-0000-0000DE1E0000}"/>
    <cellStyle name="표준 21 2 5 5" xfId="5458" xr:uid="{00000000-0005-0000-0000-0000DF1E0000}"/>
    <cellStyle name="표준 21 2 5 5 2" xfId="7363" xr:uid="{00000000-0005-0000-0000-0000E01E0000}"/>
    <cellStyle name="표준 21 2 5 5 2 2" xfId="9886" xr:uid="{00000000-0005-0000-0000-0000E11E0000}"/>
    <cellStyle name="표준 21 2 5 5 3" xfId="8204" xr:uid="{00000000-0005-0000-0000-0000E21E0000}"/>
    <cellStyle name="표준 21 2 5 5 4" xfId="9046" xr:uid="{00000000-0005-0000-0000-0000E31E0000}"/>
    <cellStyle name="표준 21 2 5 5 5" xfId="6516" xr:uid="{00000000-0005-0000-0000-0000E41E0000}"/>
    <cellStyle name="표준 21 2 5 6" xfId="5459" xr:uid="{00000000-0005-0000-0000-0000E51E0000}"/>
    <cellStyle name="표준 21 2 5 6 2" xfId="7364" xr:uid="{00000000-0005-0000-0000-0000E61E0000}"/>
    <cellStyle name="표준 21 2 5 6 2 2" xfId="9887" xr:uid="{00000000-0005-0000-0000-0000E71E0000}"/>
    <cellStyle name="표준 21 2 5 6 3" xfId="8205" xr:uid="{00000000-0005-0000-0000-0000E81E0000}"/>
    <cellStyle name="표준 21 2 5 6 4" xfId="9047" xr:uid="{00000000-0005-0000-0000-0000E91E0000}"/>
    <cellStyle name="표준 21 2 5 6 5" xfId="6517" xr:uid="{00000000-0005-0000-0000-0000EA1E0000}"/>
    <cellStyle name="표준 21 2 5 7" xfId="7349" xr:uid="{00000000-0005-0000-0000-0000EB1E0000}"/>
    <cellStyle name="표준 21 2 5 7 2" xfId="9872" xr:uid="{00000000-0005-0000-0000-0000EC1E0000}"/>
    <cellStyle name="표준 21 2 5 8" xfId="8190" xr:uid="{00000000-0005-0000-0000-0000ED1E0000}"/>
    <cellStyle name="표준 21 2 5 9" xfId="9032" xr:uid="{00000000-0005-0000-0000-0000EE1E0000}"/>
    <cellStyle name="표준 21 2 6" xfId="5460" xr:uid="{00000000-0005-0000-0000-0000EF1E0000}"/>
    <cellStyle name="표준 21 2 6 2" xfId="5461" xr:uid="{00000000-0005-0000-0000-0000F01E0000}"/>
    <cellStyle name="표준 21 2 6 2 2" xfId="5462" xr:uid="{00000000-0005-0000-0000-0000F11E0000}"/>
    <cellStyle name="표준 21 2 6 2 2 2" xfId="7367" xr:uid="{00000000-0005-0000-0000-0000F21E0000}"/>
    <cellStyle name="표준 21 2 6 2 2 2 2" xfId="9890" xr:uid="{00000000-0005-0000-0000-0000F31E0000}"/>
    <cellStyle name="표준 21 2 6 2 2 3" xfId="8208" xr:uid="{00000000-0005-0000-0000-0000F41E0000}"/>
    <cellStyle name="표준 21 2 6 2 2 4" xfId="9050" xr:uid="{00000000-0005-0000-0000-0000F51E0000}"/>
    <cellStyle name="표준 21 2 6 2 2 5" xfId="6520" xr:uid="{00000000-0005-0000-0000-0000F61E0000}"/>
    <cellStyle name="표준 21 2 6 2 3" xfId="5463" xr:uid="{00000000-0005-0000-0000-0000F71E0000}"/>
    <cellStyle name="표준 21 2 6 2 3 2" xfId="7368" xr:uid="{00000000-0005-0000-0000-0000F81E0000}"/>
    <cellStyle name="표준 21 2 6 2 3 2 2" xfId="9891" xr:uid="{00000000-0005-0000-0000-0000F91E0000}"/>
    <cellStyle name="표준 21 2 6 2 3 3" xfId="8209" xr:uid="{00000000-0005-0000-0000-0000FA1E0000}"/>
    <cellStyle name="표준 21 2 6 2 3 4" xfId="9051" xr:uid="{00000000-0005-0000-0000-0000FB1E0000}"/>
    <cellStyle name="표준 21 2 6 2 3 5" xfId="6521" xr:uid="{00000000-0005-0000-0000-0000FC1E0000}"/>
    <cellStyle name="표준 21 2 6 2 4" xfId="5464" xr:uid="{00000000-0005-0000-0000-0000FD1E0000}"/>
    <cellStyle name="표준 21 2 6 2 4 2" xfId="7369" xr:uid="{00000000-0005-0000-0000-0000FE1E0000}"/>
    <cellStyle name="표준 21 2 6 2 4 2 2" xfId="9892" xr:uid="{00000000-0005-0000-0000-0000FF1E0000}"/>
    <cellStyle name="표준 21 2 6 2 4 3" xfId="8210" xr:uid="{00000000-0005-0000-0000-0000001F0000}"/>
    <cellStyle name="표준 21 2 6 2 4 4" xfId="9052" xr:uid="{00000000-0005-0000-0000-0000011F0000}"/>
    <cellStyle name="표준 21 2 6 2 4 5" xfId="6522" xr:uid="{00000000-0005-0000-0000-0000021F0000}"/>
    <cellStyle name="표준 21 2 6 2 5" xfId="7366" xr:uid="{00000000-0005-0000-0000-0000031F0000}"/>
    <cellStyle name="표준 21 2 6 2 5 2" xfId="9889" xr:uid="{00000000-0005-0000-0000-0000041F0000}"/>
    <cellStyle name="표준 21 2 6 2 6" xfId="8207" xr:uid="{00000000-0005-0000-0000-0000051F0000}"/>
    <cellStyle name="표준 21 2 6 2 7" xfId="9049" xr:uid="{00000000-0005-0000-0000-0000061F0000}"/>
    <cellStyle name="표준 21 2 6 2 8" xfId="6519" xr:uid="{00000000-0005-0000-0000-0000071F0000}"/>
    <cellStyle name="표준 21 2 6 3" xfId="5465" xr:uid="{00000000-0005-0000-0000-0000081F0000}"/>
    <cellStyle name="표준 21 2 6 3 2" xfId="7370" xr:uid="{00000000-0005-0000-0000-0000091F0000}"/>
    <cellStyle name="표준 21 2 6 3 2 2" xfId="9893" xr:uid="{00000000-0005-0000-0000-00000A1F0000}"/>
    <cellStyle name="표준 21 2 6 3 3" xfId="8211" xr:uid="{00000000-0005-0000-0000-00000B1F0000}"/>
    <cellStyle name="표준 21 2 6 3 4" xfId="9053" xr:uid="{00000000-0005-0000-0000-00000C1F0000}"/>
    <cellStyle name="표준 21 2 6 3 5" xfId="6523" xr:uid="{00000000-0005-0000-0000-00000D1F0000}"/>
    <cellStyle name="표준 21 2 6 4" xfId="5466" xr:uid="{00000000-0005-0000-0000-00000E1F0000}"/>
    <cellStyle name="표준 21 2 6 4 2" xfId="7371" xr:uid="{00000000-0005-0000-0000-00000F1F0000}"/>
    <cellStyle name="표준 21 2 6 4 2 2" xfId="9894" xr:uid="{00000000-0005-0000-0000-0000101F0000}"/>
    <cellStyle name="표준 21 2 6 4 3" xfId="8212" xr:uid="{00000000-0005-0000-0000-0000111F0000}"/>
    <cellStyle name="표준 21 2 6 4 4" xfId="9054" xr:uid="{00000000-0005-0000-0000-0000121F0000}"/>
    <cellStyle name="표준 21 2 6 4 5" xfId="6524" xr:uid="{00000000-0005-0000-0000-0000131F0000}"/>
    <cellStyle name="표준 21 2 6 5" xfId="5467" xr:uid="{00000000-0005-0000-0000-0000141F0000}"/>
    <cellStyle name="표준 21 2 6 5 2" xfId="7372" xr:uid="{00000000-0005-0000-0000-0000151F0000}"/>
    <cellStyle name="표준 21 2 6 5 2 2" xfId="9895" xr:uid="{00000000-0005-0000-0000-0000161F0000}"/>
    <cellStyle name="표준 21 2 6 5 3" xfId="8213" xr:uid="{00000000-0005-0000-0000-0000171F0000}"/>
    <cellStyle name="표준 21 2 6 5 4" xfId="9055" xr:uid="{00000000-0005-0000-0000-0000181F0000}"/>
    <cellStyle name="표준 21 2 6 5 5" xfId="6525" xr:uid="{00000000-0005-0000-0000-0000191F0000}"/>
    <cellStyle name="표준 21 2 6 6" xfId="7365" xr:uid="{00000000-0005-0000-0000-00001A1F0000}"/>
    <cellStyle name="표준 21 2 6 6 2" xfId="9888" xr:uid="{00000000-0005-0000-0000-00001B1F0000}"/>
    <cellStyle name="표준 21 2 6 7" xfId="8206" xr:uid="{00000000-0005-0000-0000-00001C1F0000}"/>
    <cellStyle name="표준 21 2 6 8" xfId="9048" xr:uid="{00000000-0005-0000-0000-00001D1F0000}"/>
    <cellStyle name="표준 21 2 6 9" xfId="6518" xr:uid="{00000000-0005-0000-0000-00001E1F0000}"/>
    <cellStyle name="표준 21 2 7" xfId="5468" xr:uid="{00000000-0005-0000-0000-00001F1F0000}"/>
    <cellStyle name="표준 21 2 7 2" xfId="5469" xr:uid="{00000000-0005-0000-0000-0000201F0000}"/>
    <cellStyle name="표준 21 2 7 2 2" xfId="7374" xr:uid="{00000000-0005-0000-0000-0000211F0000}"/>
    <cellStyle name="표준 21 2 7 2 2 2" xfId="9897" xr:uid="{00000000-0005-0000-0000-0000221F0000}"/>
    <cellStyle name="표준 21 2 7 2 3" xfId="8215" xr:uid="{00000000-0005-0000-0000-0000231F0000}"/>
    <cellStyle name="표준 21 2 7 2 4" xfId="9057" xr:uid="{00000000-0005-0000-0000-0000241F0000}"/>
    <cellStyle name="표준 21 2 7 2 5" xfId="6527" xr:uid="{00000000-0005-0000-0000-0000251F0000}"/>
    <cellStyle name="표준 21 2 7 3" xfId="5470" xr:uid="{00000000-0005-0000-0000-0000261F0000}"/>
    <cellStyle name="표준 21 2 7 3 2" xfId="7375" xr:uid="{00000000-0005-0000-0000-0000271F0000}"/>
    <cellStyle name="표준 21 2 7 3 2 2" xfId="9898" xr:uid="{00000000-0005-0000-0000-0000281F0000}"/>
    <cellStyle name="표준 21 2 7 3 3" xfId="8216" xr:uid="{00000000-0005-0000-0000-0000291F0000}"/>
    <cellStyle name="표준 21 2 7 3 4" xfId="9058" xr:uid="{00000000-0005-0000-0000-00002A1F0000}"/>
    <cellStyle name="표준 21 2 7 3 5" xfId="6528" xr:uid="{00000000-0005-0000-0000-00002B1F0000}"/>
    <cellStyle name="표준 21 2 7 4" xfId="5471" xr:uid="{00000000-0005-0000-0000-00002C1F0000}"/>
    <cellStyle name="표준 21 2 7 4 2" xfId="7376" xr:uid="{00000000-0005-0000-0000-00002D1F0000}"/>
    <cellStyle name="표준 21 2 7 4 2 2" xfId="9899" xr:uid="{00000000-0005-0000-0000-00002E1F0000}"/>
    <cellStyle name="표준 21 2 7 4 3" xfId="8217" xr:uid="{00000000-0005-0000-0000-00002F1F0000}"/>
    <cellStyle name="표준 21 2 7 4 4" xfId="9059" xr:uid="{00000000-0005-0000-0000-0000301F0000}"/>
    <cellStyle name="표준 21 2 7 4 5" xfId="6529" xr:uid="{00000000-0005-0000-0000-0000311F0000}"/>
    <cellStyle name="표준 21 2 7 5" xfId="7373" xr:uid="{00000000-0005-0000-0000-0000321F0000}"/>
    <cellStyle name="표준 21 2 7 5 2" xfId="9896" xr:uid="{00000000-0005-0000-0000-0000331F0000}"/>
    <cellStyle name="표준 21 2 7 6" xfId="8214" xr:uid="{00000000-0005-0000-0000-0000341F0000}"/>
    <cellStyle name="표준 21 2 7 7" xfId="9056" xr:uid="{00000000-0005-0000-0000-0000351F0000}"/>
    <cellStyle name="표준 21 2 7 8" xfId="6526" xr:uid="{00000000-0005-0000-0000-0000361F0000}"/>
    <cellStyle name="표준 21 2 8" xfId="5472" xr:uid="{00000000-0005-0000-0000-0000371F0000}"/>
    <cellStyle name="표준 21 2 8 2" xfId="7377" xr:uid="{00000000-0005-0000-0000-0000381F0000}"/>
    <cellStyle name="표준 21 2 8 2 2" xfId="9900" xr:uid="{00000000-0005-0000-0000-0000391F0000}"/>
    <cellStyle name="표준 21 2 8 3" xfId="8218" xr:uid="{00000000-0005-0000-0000-00003A1F0000}"/>
    <cellStyle name="표준 21 2 8 4" xfId="9060" xr:uid="{00000000-0005-0000-0000-00003B1F0000}"/>
    <cellStyle name="표준 21 2 8 5" xfId="6530" xr:uid="{00000000-0005-0000-0000-00003C1F0000}"/>
    <cellStyle name="표준 21 2 9" xfId="5473" xr:uid="{00000000-0005-0000-0000-00003D1F0000}"/>
    <cellStyle name="표준 21 2 9 2" xfId="7378" xr:uid="{00000000-0005-0000-0000-00003E1F0000}"/>
    <cellStyle name="표준 21 2 9 2 2" xfId="9901" xr:uid="{00000000-0005-0000-0000-00003F1F0000}"/>
    <cellStyle name="표준 21 2 9 3" xfId="8219" xr:uid="{00000000-0005-0000-0000-0000401F0000}"/>
    <cellStyle name="표준 21 2 9 4" xfId="9061" xr:uid="{00000000-0005-0000-0000-0000411F0000}"/>
    <cellStyle name="표준 21 2 9 5" xfId="6531" xr:uid="{00000000-0005-0000-0000-0000421F0000}"/>
    <cellStyle name="표준 21 3" xfId="5474" xr:uid="{00000000-0005-0000-0000-0000431F0000}"/>
    <cellStyle name="표준 21 3 10" xfId="8220" xr:uid="{00000000-0005-0000-0000-0000441F0000}"/>
    <cellStyle name="표준 21 3 11" xfId="9062" xr:uid="{00000000-0005-0000-0000-0000451F0000}"/>
    <cellStyle name="표준 21 3 12" xfId="6532" xr:uid="{00000000-0005-0000-0000-0000461F0000}"/>
    <cellStyle name="표준 21 3 2" xfId="5475" xr:uid="{00000000-0005-0000-0000-0000471F0000}"/>
    <cellStyle name="표준 21 3 2 10" xfId="6533" xr:uid="{00000000-0005-0000-0000-0000481F0000}"/>
    <cellStyle name="표준 21 3 2 2" xfId="5476" xr:uid="{00000000-0005-0000-0000-0000491F0000}"/>
    <cellStyle name="표준 21 3 2 2 2" xfId="5477" xr:uid="{00000000-0005-0000-0000-00004A1F0000}"/>
    <cellStyle name="표준 21 3 2 2 2 2" xfId="5478" xr:uid="{00000000-0005-0000-0000-00004B1F0000}"/>
    <cellStyle name="표준 21 3 2 2 2 2 2" xfId="7383" xr:uid="{00000000-0005-0000-0000-00004C1F0000}"/>
    <cellStyle name="표준 21 3 2 2 2 2 2 2" xfId="9906" xr:uid="{00000000-0005-0000-0000-00004D1F0000}"/>
    <cellStyle name="표준 21 3 2 2 2 2 3" xfId="8224" xr:uid="{00000000-0005-0000-0000-00004E1F0000}"/>
    <cellStyle name="표준 21 3 2 2 2 2 4" xfId="9066" xr:uid="{00000000-0005-0000-0000-00004F1F0000}"/>
    <cellStyle name="표준 21 3 2 2 2 2 5" xfId="6536" xr:uid="{00000000-0005-0000-0000-0000501F0000}"/>
    <cellStyle name="표준 21 3 2 2 2 3" xfId="5479" xr:uid="{00000000-0005-0000-0000-0000511F0000}"/>
    <cellStyle name="표준 21 3 2 2 2 3 2" xfId="7384" xr:uid="{00000000-0005-0000-0000-0000521F0000}"/>
    <cellStyle name="표준 21 3 2 2 2 3 2 2" xfId="9907" xr:uid="{00000000-0005-0000-0000-0000531F0000}"/>
    <cellStyle name="표준 21 3 2 2 2 3 3" xfId="8225" xr:uid="{00000000-0005-0000-0000-0000541F0000}"/>
    <cellStyle name="표준 21 3 2 2 2 3 4" xfId="9067" xr:uid="{00000000-0005-0000-0000-0000551F0000}"/>
    <cellStyle name="표준 21 3 2 2 2 3 5" xfId="6537" xr:uid="{00000000-0005-0000-0000-0000561F0000}"/>
    <cellStyle name="표준 21 3 2 2 2 4" xfId="5480" xr:uid="{00000000-0005-0000-0000-0000571F0000}"/>
    <cellStyle name="표준 21 3 2 2 2 4 2" xfId="7385" xr:uid="{00000000-0005-0000-0000-0000581F0000}"/>
    <cellStyle name="표준 21 3 2 2 2 4 2 2" xfId="9908" xr:uid="{00000000-0005-0000-0000-0000591F0000}"/>
    <cellStyle name="표준 21 3 2 2 2 4 3" xfId="8226" xr:uid="{00000000-0005-0000-0000-00005A1F0000}"/>
    <cellStyle name="표준 21 3 2 2 2 4 4" xfId="9068" xr:uid="{00000000-0005-0000-0000-00005B1F0000}"/>
    <cellStyle name="표준 21 3 2 2 2 4 5" xfId="6538" xr:uid="{00000000-0005-0000-0000-00005C1F0000}"/>
    <cellStyle name="표준 21 3 2 2 2 5" xfId="7382" xr:uid="{00000000-0005-0000-0000-00005D1F0000}"/>
    <cellStyle name="표준 21 3 2 2 2 5 2" xfId="9905" xr:uid="{00000000-0005-0000-0000-00005E1F0000}"/>
    <cellStyle name="표준 21 3 2 2 2 6" xfId="8223" xr:uid="{00000000-0005-0000-0000-00005F1F0000}"/>
    <cellStyle name="표준 21 3 2 2 2 7" xfId="9065" xr:uid="{00000000-0005-0000-0000-0000601F0000}"/>
    <cellStyle name="표준 21 3 2 2 2 8" xfId="6535" xr:uid="{00000000-0005-0000-0000-0000611F0000}"/>
    <cellStyle name="표준 21 3 2 2 3" xfId="5481" xr:uid="{00000000-0005-0000-0000-0000621F0000}"/>
    <cellStyle name="표준 21 3 2 2 3 2" xfId="7386" xr:uid="{00000000-0005-0000-0000-0000631F0000}"/>
    <cellStyle name="표준 21 3 2 2 3 2 2" xfId="9909" xr:uid="{00000000-0005-0000-0000-0000641F0000}"/>
    <cellStyle name="표준 21 3 2 2 3 3" xfId="8227" xr:uid="{00000000-0005-0000-0000-0000651F0000}"/>
    <cellStyle name="표준 21 3 2 2 3 4" xfId="9069" xr:uid="{00000000-0005-0000-0000-0000661F0000}"/>
    <cellStyle name="표준 21 3 2 2 3 5" xfId="6539" xr:uid="{00000000-0005-0000-0000-0000671F0000}"/>
    <cellStyle name="표준 21 3 2 2 4" xfId="5482" xr:uid="{00000000-0005-0000-0000-0000681F0000}"/>
    <cellStyle name="표준 21 3 2 2 4 2" xfId="7387" xr:uid="{00000000-0005-0000-0000-0000691F0000}"/>
    <cellStyle name="표준 21 3 2 2 4 2 2" xfId="9910" xr:uid="{00000000-0005-0000-0000-00006A1F0000}"/>
    <cellStyle name="표준 21 3 2 2 4 3" xfId="8228" xr:uid="{00000000-0005-0000-0000-00006B1F0000}"/>
    <cellStyle name="표준 21 3 2 2 4 4" xfId="9070" xr:uid="{00000000-0005-0000-0000-00006C1F0000}"/>
    <cellStyle name="표준 21 3 2 2 4 5" xfId="6540" xr:uid="{00000000-0005-0000-0000-00006D1F0000}"/>
    <cellStyle name="표준 21 3 2 2 5" xfId="5483" xr:uid="{00000000-0005-0000-0000-00006E1F0000}"/>
    <cellStyle name="표준 21 3 2 2 5 2" xfId="7388" xr:uid="{00000000-0005-0000-0000-00006F1F0000}"/>
    <cellStyle name="표준 21 3 2 2 5 2 2" xfId="9911" xr:uid="{00000000-0005-0000-0000-0000701F0000}"/>
    <cellStyle name="표준 21 3 2 2 5 3" xfId="8229" xr:uid="{00000000-0005-0000-0000-0000711F0000}"/>
    <cellStyle name="표준 21 3 2 2 5 4" xfId="9071" xr:uid="{00000000-0005-0000-0000-0000721F0000}"/>
    <cellStyle name="표준 21 3 2 2 5 5" xfId="6541" xr:uid="{00000000-0005-0000-0000-0000731F0000}"/>
    <cellStyle name="표준 21 3 2 2 6" xfId="7381" xr:uid="{00000000-0005-0000-0000-0000741F0000}"/>
    <cellStyle name="표준 21 3 2 2 6 2" xfId="9904" xr:uid="{00000000-0005-0000-0000-0000751F0000}"/>
    <cellStyle name="표준 21 3 2 2 7" xfId="8222" xr:uid="{00000000-0005-0000-0000-0000761F0000}"/>
    <cellStyle name="표준 21 3 2 2 8" xfId="9064" xr:uid="{00000000-0005-0000-0000-0000771F0000}"/>
    <cellStyle name="표준 21 3 2 2 9" xfId="6534" xr:uid="{00000000-0005-0000-0000-0000781F0000}"/>
    <cellStyle name="표준 21 3 2 3" xfId="5484" xr:uid="{00000000-0005-0000-0000-0000791F0000}"/>
    <cellStyle name="표준 21 3 2 3 2" xfId="5485" xr:uid="{00000000-0005-0000-0000-00007A1F0000}"/>
    <cellStyle name="표준 21 3 2 3 2 2" xfId="7390" xr:uid="{00000000-0005-0000-0000-00007B1F0000}"/>
    <cellStyle name="표준 21 3 2 3 2 2 2" xfId="9913" xr:uid="{00000000-0005-0000-0000-00007C1F0000}"/>
    <cellStyle name="표준 21 3 2 3 2 3" xfId="8231" xr:uid="{00000000-0005-0000-0000-00007D1F0000}"/>
    <cellStyle name="표준 21 3 2 3 2 4" xfId="9073" xr:uid="{00000000-0005-0000-0000-00007E1F0000}"/>
    <cellStyle name="표준 21 3 2 3 2 5" xfId="6543" xr:uid="{00000000-0005-0000-0000-00007F1F0000}"/>
    <cellStyle name="표준 21 3 2 3 3" xfId="5486" xr:uid="{00000000-0005-0000-0000-0000801F0000}"/>
    <cellStyle name="표준 21 3 2 3 3 2" xfId="7391" xr:uid="{00000000-0005-0000-0000-0000811F0000}"/>
    <cellStyle name="표준 21 3 2 3 3 2 2" xfId="9914" xr:uid="{00000000-0005-0000-0000-0000821F0000}"/>
    <cellStyle name="표준 21 3 2 3 3 3" xfId="8232" xr:uid="{00000000-0005-0000-0000-0000831F0000}"/>
    <cellStyle name="표준 21 3 2 3 3 4" xfId="9074" xr:uid="{00000000-0005-0000-0000-0000841F0000}"/>
    <cellStyle name="표준 21 3 2 3 3 5" xfId="6544" xr:uid="{00000000-0005-0000-0000-0000851F0000}"/>
    <cellStyle name="표준 21 3 2 3 4" xfId="5487" xr:uid="{00000000-0005-0000-0000-0000861F0000}"/>
    <cellStyle name="표준 21 3 2 3 4 2" xfId="7392" xr:uid="{00000000-0005-0000-0000-0000871F0000}"/>
    <cellStyle name="표준 21 3 2 3 4 2 2" xfId="9915" xr:uid="{00000000-0005-0000-0000-0000881F0000}"/>
    <cellStyle name="표준 21 3 2 3 4 3" xfId="8233" xr:uid="{00000000-0005-0000-0000-0000891F0000}"/>
    <cellStyle name="표준 21 3 2 3 4 4" xfId="9075" xr:uid="{00000000-0005-0000-0000-00008A1F0000}"/>
    <cellStyle name="표준 21 3 2 3 4 5" xfId="6545" xr:uid="{00000000-0005-0000-0000-00008B1F0000}"/>
    <cellStyle name="표준 21 3 2 3 5" xfId="7389" xr:uid="{00000000-0005-0000-0000-00008C1F0000}"/>
    <cellStyle name="표준 21 3 2 3 5 2" xfId="9912" xr:uid="{00000000-0005-0000-0000-00008D1F0000}"/>
    <cellStyle name="표준 21 3 2 3 6" xfId="8230" xr:uid="{00000000-0005-0000-0000-00008E1F0000}"/>
    <cellStyle name="표준 21 3 2 3 7" xfId="9072" xr:uid="{00000000-0005-0000-0000-00008F1F0000}"/>
    <cellStyle name="표준 21 3 2 3 8" xfId="6542" xr:uid="{00000000-0005-0000-0000-0000901F0000}"/>
    <cellStyle name="표준 21 3 2 4" xfId="5488" xr:uid="{00000000-0005-0000-0000-0000911F0000}"/>
    <cellStyle name="표준 21 3 2 4 2" xfId="7393" xr:uid="{00000000-0005-0000-0000-0000921F0000}"/>
    <cellStyle name="표준 21 3 2 4 2 2" xfId="9916" xr:uid="{00000000-0005-0000-0000-0000931F0000}"/>
    <cellStyle name="표준 21 3 2 4 3" xfId="8234" xr:uid="{00000000-0005-0000-0000-0000941F0000}"/>
    <cellStyle name="표준 21 3 2 4 4" xfId="9076" xr:uid="{00000000-0005-0000-0000-0000951F0000}"/>
    <cellStyle name="표준 21 3 2 4 5" xfId="6546" xr:uid="{00000000-0005-0000-0000-0000961F0000}"/>
    <cellStyle name="표준 21 3 2 5" xfId="5489" xr:uid="{00000000-0005-0000-0000-0000971F0000}"/>
    <cellStyle name="표준 21 3 2 5 2" xfId="7394" xr:uid="{00000000-0005-0000-0000-0000981F0000}"/>
    <cellStyle name="표준 21 3 2 5 2 2" xfId="9917" xr:uid="{00000000-0005-0000-0000-0000991F0000}"/>
    <cellStyle name="표준 21 3 2 5 3" xfId="8235" xr:uid="{00000000-0005-0000-0000-00009A1F0000}"/>
    <cellStyle name="표준 21 3 2 5 4" xfId="9077" xr:uid="{00000000-0005-0000-0000-00009B1F0000}"/>
    <cellStyle name="표준 21 3 2 5 5" xfId="6547" xr:uid="{00000000-0005-0000-0000-00009C1F0000}"/>
    <cellStyle name="표준 21 3 2 6" xfId="5490" xr:uid="{00000000-0005-0000-0000-00009D1F0000}"/>
    <cellStyle name="표준 21 3 2 6 2" xfId="7395" xr:uid="{00000000-0005-0000-0000-00009E1F0000}"/>
    <cellStyle name="표준 21 3 2 6 2 2" xfId="9918" xr:uid="{00000000-0005-0000-0000-00009F1F0000}"/>
    <cellStyle name="표준 21 3 2 6 3" xfId="8236" xr:uid="{00000000-0005-0000-0000-0000A01F0000}"/>
    <cellStyle name="표준 21 3 2 6 4" xfId="9078" xr:uid="{00000000-0005-0000-0000-0000A11F0000}"/>
    <cellStyle name="표준 21 3 2 6 5" xfId="6548" xr:uid="{00000000-0005-0000-0000-0000A21F0000}"/>
    <cellStyle name="표준 21 3 2 7" xfId="7380" xr:uid="{00000000-0005-0000-0000-0000A31F0000}"/>
    <cellStyle name="표준 21 3 2 7 2" xfId="9903" xr:uid="{00000000-0005-0000-0000-0000A41F0000}"/>
    <cellStyle name="표준 21 3 2 8" xfId="8221" xr:uid="{00000000-0005-0000-0000-0000A51F0000}"/>
    <cellStyle name="표준 21 3 2 9" xfId="9063" xr:uid="{00000000-0005-0000-0000-0000A61F0000}"/>
    <cellStyle name="표준 21 3 3" xfId="5491" xr:uid="{00000000-0005-0000-0000-0000A71F0000}"/>
    <cellStyle name="표준 21 3 3 10" xfId="6549" xr:uid="{00000000-0005-0000-0000-0000A81F0000}"/>
    <cellStyle name="표준 21 3 3 2" xfId="5492" xr:uid="{00000000-0005-0000-0000-0000A91F0000}"/>
    <cellStyle name="표준 21 3 3 2 2" xfId="5493" xr:uid="{00000000-0005-0000-0000-0000AA1F0000}"/>
    <cellStyle name="표준 21 3 3 2 2 2" xfId="5494" xr:uid="{00000000-0005-0000-0000-0000AB1F0000}"/>
    <cellStyle name="표준 21 3 3 2 2 2 2" xfId="7399" xr:uid="{00000000-0005-0000-0000-0000AC1F0000}"/>
    <cellStyle name="표준 21 3 3 2 2 2 2 2" xfId="9922" xr:uid="{00000000-0005-0000-0000-0000AD1F0000}"/>
    <cellStyle name="표준 21 3 3 2 2 2 3" xfId="8240" xr:uid="{00000000-0005-0000-0000-0000AE1F0000}"/>
    <cellStyle name="표준 21 3 3 2 2 2 4" xfId="9082" xr:uid="{00000000-0005-0000-0000-0000AF1F0000}"/>
    <cellStyle name="표준 21 3 3 2 2 2 5" xfId="6552" xr:uid="{00000000-0005-0000-0000-0000B01F0000}"/>
    <cellStyle name="표준 21 3 3 2 2 3" xfId="5495" xr:uid="{00000000-0005-0000-0000-0000B11F0000}"/>
    <cellStyle name="표준 21 3 3 2 2 3 2" xfId="7400" xr:uid="{00000000-0005-0000-0000-0000B21F0000}"/>
    <cellStyle name="표준 21 3 3 2 2 3 2 2" xfId="9923" xr:uid="{00000000-0005-0000-0000-0000B31F0000}"/>
    <cellStyle name="표준 21 3 3 2 2 3 3" xfId="8241" xr:uid="{00000000-0005-0000-0000-0000B41F0000}"/>
    <cellStyle name="표준 21 3 3 2 2 3 4" xfId="9083" xr:uid="{00000000-0005-0000-0000-0000B51F0000}"/>
    <cellStyle name="표준 21 3 3 2 2 3 5" xfId="6553" xr:uid="{00000000-0005-0000-0000-0000B61F0000}"/>
    <cellStyle name="표준 21 3 3 2 2 4" xfId="5496" xr:uid="{00000000-0005-0000-0000-0000B71F0000}"/>
    <cellStyle name="표준 21 3 3 2 2 4 2" xfId="7401" xr:uid="{00000000-0005-0000-0000-0000B81F0000}"/>
    <cellStyle name="표준 21 3 3 2 2 4 2 2" xfId="9924" xr:uid="{00000000-0005-0000-0000-0000B91F0000}"/>
    <cellStyle name="표준 21 3 3 2 2 4 3" xfId="8242" xr:uid="{00000000-0005-0000-0000-0000BA1F0000}"/>
    <cellStyle name="표준 21 3 3 2 2 4 4" xfId="9084" xr:uid="{00000000-0005-0000-0000-0000BB1F0000}"/>
    <cellStyle name="표준 21 3 3 2 2 4 5" xfId="6554" xr:uid="{00000000-0005-0000-0000-0000BC1F0000}"/>
    <cellStyle name="표준 21 3 3 2 2 5" xfId="7398" xr:uid="{00000000-0005-0000-0000-0000BD1F0000}"/>
    <cellStyle name="표준 21 3 3 2 2 5 2" xfId="9921" xr:uid="{00000000-0005-0000-0000-0000BE1F0000}"/>
    <cellStyle name="표준 21 3 3 2 2 6" xfId="8239" xr:uid="{00000000-0005-0000-0000-0000BF1F0000}"/>
    <cellStyle name="표준 21 3 3 2 2 7" xfId="9081" xr:uid="{00000000-0005-0000-0000-0000C01F0000}"/>
    <cellStyle name="표준 21 3 3 2 2 8" xfId="6551" xr:uid="{00000000-0005-0000-0000-0000C11F0000}"/>
    <cellStyle name="표준 21 3 3 2 3" xfId="5497" xr:uid="{00000000-0005-0000-0000-0000C21F0000}"/>
    <cellStyle name="표준 21 3 3 2 3 2" xfId="7402" xr:uid="{00000000-0005-0000-0000-0000C31F0000}"/>
    <cellStyle name="표준 21 3 3 2 3 2 2" xfId="9925" xr:uid="{00000000-0005-0000-0000-0000C41F0000}"/>
    <cellStyle name="표준 21 3 3 2 3 3" xfId="8243" xr:uid="{00000000-0005-0000-0000-0000C51F0000}"/>
    <cellStyle name="표준 21 3 3 2 3 4" xfId="9085" xr:uid="{00000000-0005-0000-0000-0000C61F0000}"/>
    <cellStyle name="표준 21 3 3 2 3 5" xfId="6555" xr:uid="{00000000-0005-0000-0000-0000C71F0000}"/>
    <cellStyle name="표준 21 3 3 2 4" xfId="5498" xr:uid="{00000000-0005-0000-0000-0000C81F0000}"/>
    <cellStyle name="표준 21 3 3 2 4 2" xfId="7403" xr:uid="{00000000-0005-0000-0000-0000C91F0000}"/>
    <cellStyle name="표준 21 3 3 2 4 2 2" xfId="9926" xr:uid="{00000000-0005-0000-0000-0000CA1F0000}"/>
    <cellStyle name="표준 21 3 3 2 4 3" xfId="8244" xr:uid="{00000000-0005-0000-0000-0000CB1F0000}"/>
    <cellStyle name="표준 21 3 3 2 4 4" xfId="9086" xr:uid="{00000000-0005-0000-0000-0000CC1F0000}"/>
    <cellStyle name="표준 21 3 3 2 4 5" xfId="6556" xr:uid="{00000000-0005-0000-0000-0000CD1F0000}"/>
    <cellStyle name="표준 21 3 3 2 5" xfId="5499" xr:uid="{00000000-0005-0000-0000-0000CE1F0000}"/>
    <cellStyle name="표준 21 3 3 2 5 2" xfId="7404" xr:uid="{00000000-0005-0000-0000-0000CF1F0000}"/>
    <cellStyle name="표준 21 3 3 2 5 2 2" xfId="9927" xr:uid="{00000000-0005-0000-0000-0000D01F0000}"/>
    <cellStyle name="표준 21 3 3 2 5 3" xfId="8245" xr:uid="{00000000-0005-0000-0000-0000D11F0000}"/>
    <cellStyle name="표준 21 3 3 2 5 4" xfId="9087" xr:uid="{00000000-0005-0000-0000-0000D21F0000}"/>
    <cellStyle name="표준 21 3 3 2 5 5" xfId="6557" xr:uid="{00000000-0005-0000-0000-0000D31F0000}"/>
    <cellStyle name="표준 21 3 3 2 6" xfId="7397" xr:uid="{00000000-0005-0000-0000-0000D41F0000}"/>
    <cellStyle name="표준 21 3 3 2 6 2" xfId="9920" xr:uid="{00000000-0005-0000-0000-0000D51F0000}"/>
    <cellStyle name="표준 21 3 3 2 7" xfId="8238" xr:uid="{00000000-0005-0000-0000-0000D61F0000}"/>
    <cellStyle name="표준 21 3 3 2 8" xfId="9080" xr:uid="{00000000-0005-0000-0000-0000D71F0000}"/>
    <cellStyle name="표준 21 3 3 2 9" xfId="6550" xr:uid="{00000000-0005-0000-0000-0000D81F0000}"/>
    <cellStyle name="표준 21 3 3 3" xfId="5500" xr:uid="{00000000-0005-0000-0000-0000D91F0000}"/>
    <cellStyle name="표준 21 3 3 3 2" xfId="5501" xr:uid="{00000000-0005-0000-0000-0000DA1F0000}"/>
    <cellStyle name="표준 21 3 3 3 2 2" xfId="7406" xr:uid="{00000000-0005-0000-0000-0000DB1F0000}"/>
    <cellStyle name="표준 21 3 3 3 2 2 2" xfId="9929" xr:uid="{00000000-0005-0000-0000-0000DC1F0000}"/>
    <cellStyle name="표준 21 3 3 3 2 3" xfId="8247" xr:uid="{00000000-0005-0000-0000-0000DD1F0000}"/>
    <cellStyle name="표준 21 3 3 3 2 4" xfId="9089" xr:uid="{00000000-0005-0000-0000-0000DE1F0000}"/>
    <cellStyle name="표준 21 3 3 3 2 5" xfId="6559" xr:uid="{00000000-0005-0000-0000-0000DF1F0000}"/>
    <cellStyle name="표준 21 3 3 3 3" xfId="5502" xr:uid="{00000000-0005-0000-0000-0000E01F0000}"/>
    <cellStyle name="표준 21 3 3 3 3 2" xfId="7407" xr:uid="{00000000-0005-0000-0000-0000E11F0000}"/>
    <cellStyle name="표준 21 3 3 3 3 2 2" xfId="9930" xr:uid="{00000000-0005-0000-0000-0000E21F0000}"/>
    <cellStyle name="표준 21 3 3 3 3 3" xfId="8248" xr:uid="{00000000-0005-0000-0000-0000E31F0000}"/>
    <cellStyle name="표준 21 3 3 3 3 4" xfId="9090" xr:uid="{00000000-0005-0000-0000-0000E41F0000}"/>
    <cellStyle name="표준 21 3 3 3 3 5" xfId="6560" xr:uid="{00000000-0005-0000-0000-0000E51F0000}"/>
    <cellStyle name="표준 21 3 3 3 4" xfId="5503" xr:uid="{00000000-0005-0000-0000-0000E61F0000}"/>
    <cellStyle name="표준 21 3 3 3 4 2" xfId="7408" xr:uid="{00000000-0005-0000-0000-0000E71F0000}"/>
    <cellStyle name="표준 21 3 3 3 4 2 2" xfId="9931" xr:uid="{00000000-0005-0000-0000-0000E81F0000}"/>
    <cellStyle name="표준 21 3 3 3 4 3" xfId="8249" xr:uid="{00000000-0005-0000-0000-0000E91F0000}"/>
    <cellStyle name="표준 21 3 3 3 4 4" xfId="9091" xr:uid="{00000000-0005-0000-0000-0000EA1F0000}"/>
    <cellStyle name="표준 21 3 3 3 4 5" xfId="6561" xr:uid="{00000000-0005-0000-0000-0000EB1F0000}"/>
    <cellStyle name="표준 21 3 3 3 5" xfId="7405" xr:uid="{00000000-0005-0000-0000-0000EC1F0000}"/>
    <cellStyle name="표준 21 3 3 3 5 2" xfId="9928" xr:uid="{00000000-0005-0000-0000-0000ED1F0000}"/>
    <cellStyle name="표준 21 3 3 3 6" xfId="8246" xr:uid="{00000000-0005-0000-0000-0000EE1F0000}"/>
    <cellStyle name="표준 21 3 3 3 7" xfId="9088" xr:uid="{00000000-0005-0000-0000-0000EF1F0000}"/>
    <cellStyle name="표준 21 3 3 3 8" xfId="6558" xr:uid="{00000000-0005-0000-0000-0000F01F0000}"/>
    <cellStyle name="표준 21 3 3 4" xfId="5504" xr:uid="{00000000-0005-0000-0000-0000F11F0000}"/>
    <cellStyle name="표준 21 3 3 4 2" xfId="7409" xr:uid="{00000000-0005-0000-0000-0000F21F0000}"/>
    <cellStyle name="표준 21 3 3 4 2 2" xfId="9932" xr:uid="{00000000-0005-0000-0000-0000F31F0000}"/>
    <cellStyle name="표준 21 3 3 4 3" xfId="8250" xr:uid="{00000000-0005-0000-0000-0000F41F0000}"/>
    <cellStyle name="표준 21 3 3 4 4" xfId="9092" xr:uid="{00000000-0005-0000-0000-0000F51F0000}"/>
    <cellStyle name="표준 21 3 3 4 5" xfId="6562" xr:uid="{00000000-0005-0000-0000-0000F61F0000}"/>
    <cellStyle name="표준 21 3 3 5" xfId="5505" xr:uid="{00000000-0005-0000-0000-0000F71F0000}"/>
    <cellStyle name="표준 21 3 3 5 2" xfId="7410" xr:uid="{00000000-0005-0000-0000-0000F81F0000}"/>
    <cellStyle name="표준 21 3 3 5 2 2" xfId="9933" xr:uid="{00000000-0005-0000-0000-0000F91F0000}"/>
    <cellStyle name="표준 21 3 3 5 3" xfId="8251" xr:uid="{00000000-0005-0000-0000-0000FA1F0000}"/>
    <cellStyle name="표준 21 3 3 5 4" xfId="9093" xr:uid="{00000000-0005-0000-0000-0000FB1F0000}"/>
    <cellStyle name="표준 21 3 3 5 5" xfId="6563" xr:uid="{00000000-0005-0000-0000-0000FC1F0000}"/>
    <cellStyle name="표준 21 3 3 6" xfId="5506" xr:uid="{00000000-0005-0000-0000-0000FD1F0000}"/>
    <cellStyle name="표준 21 3 3 6 2" xfId="7411" xr:uid="{00000000-0005-0000-0000-0000FE1F0000}"/>
    <cellStyle name="표준 21 3 3 6 2 2" xfId="9934" xr:uid="{00000000-0005-0000-0000-0000FF1F0000}"/>
    <cellStyle name="표준 21 3 3 6 3" xfId="8252" xr:uid="{00000000-0005-0000-0000-000000200000}"/>
    <cellStyle name="표준 21 3 3 6 4" xfId="9094" xr:uid="{00000000-0005-0000-0000-000001200000}"/>
    <cellStyle name="표준 21 3 3 6 5" xfId="6564" xr:uid="{00000000-0005-0000-0000-000002200000}"/>
    <cellStyle name="표준 21 3 3 7" xfId="7396" xr:uid="{00000000-0005-0000-0000-000003200000}"/>
    <cellStyle name="표준 21 3 3 7 2" xfId="9919" xr:uid="{00000000-0005-0000-0000-000004200000}"/>
    <cellStyle name="표준 21 3 3 8" xfId="8237" xr:uid="{00000000-0005-0000-0000-000005200000}"/>
    <cellStyle name="표준 21 3 3 9" xfId="9079" xr:uid="{00000000-0005-0000-0000-000006200000}"/>
    <cellStyle name="표준 21 3 4" xfId="5507" xr:uid="{00000000-0005-0000-0000-000007200000}"/>
    <cellStyle name="표준 21 3 4 2" xfId="5508" xr:uid="{00000000-0005-0000-0000-000008200000}"/>
    <cellStyle name="표준 21 3 4 2 2" xfId="5509" xr:uid="{00000000-0005-0000-0000-000009200000}"/>
    <cellStyle name="표준 21 3 4 2 2 2" xfId="7414" xr:uid="{00000000-0005-0000-0000-00000A200000}"/>
    <cellStyle name="표준 21 3 4 2 2 2 2" xfId="9937" xr:uid="{00000000-0005-0000-0000-00000B200000}"/>
    <cellStyle name="표준 21 3 4 2 2 3" xfId="8255" xr:uid="{00000000-0005-0000-0000-00000C200000}"/>
    <cellStyle name="표준 21 3 4 2 2 4" xfId="9097" xr:uid="{00000000-0005-0000-0000-00000D200000}"/>
    <cellStyle name="표준 21 3 4 2 2 5" xfId="6567" xr:uid="{00000000-0005-0000-0000-00000E200000}"/>
    <cellStyle name="표준 21 3 4 2 3" xfId="5510" xr:uid="{00000000-0005-0000-0000-00000F200000}"/>
    <cellStyle name="표준 21 3 4 2 3 2" xfId="7415" xr:uid="{00000000-0005-0000-0000-000010200000}"/>
    <cellStyle name="표준 21 3 4 2 3 2 2" xfId="9938" xr:uid="{00000000-0005-0000-0000-000011200000}"/>
    <cellStyle name="표준 21 3 4 2 3 3" xfId="8256" xr:uid="{00000000-0005-0000-0000-000012200000}"/>
    <cellStyle name="표준 21 3 4 2 3 4" xfId="9098" xr:uid="{00000000-0005-0000-0000-000013200000}"/>
    <cellStyle name="표준 21 3 4 2 3 5" xfId="6568" xr:uid="{00000000-0005-0000-0000-000014200000}"/>
    <cellStyle name="표준 21 3 4 2 4" xfId="5511" xr:uid="{00000000-0005-0000-0000-000015200000}"/>
    <cellStyle name="표준 21 3 4 2 4 2" xfId="7416" xr:uid="{00000000-0005-0000-0000-000016200000}"/>
    <cellStyle name="표준 21 3 4 2 4 2 2" xfId="9939" xr:uid="{00000000-0005-0000-0000-000017200000}"/>
    <cellStyle name="표준 21 3 4 2 4 3" xfId="8257" xr:uid="{00000000-0005-0000-0000-000018200000}"/>
    <cellStyle name="표준 21 3 4 2 4 4" xfId="9099" xr:uid="{00000000-0005-0000-0000-000019200000}"/>
    <cellStyle name="표준 21 3 4 2 4 5" xfId="6569" xr:uid="{00000000-0005-0000-0000-00001A200000}"/>
    <cellStyle name="표준 21 3 4 2 5" xfId="7413" xr:uid="{00000000-0005-0000-0000-00001B200000}"/>
    <cellStyle name="표준 21 3 4 2 5 2" xfId="9936" xr:uid="{00000000-0005-0000-0000-00001C200000}"/>
    <cellStyle name="표준 21 3 4 2 6" xfId="8254" xr:uid="{00000000-0005-0000-0000-00001D200000}"/>
    <cellStyle name="표준 21 3 4 2 7" xfId="9096" xr:uid="{00000000-0005-0000-0000-00001E200000}"/>
    <cellStyle name="표준 21 3 4 2 8" xfId="6566" xr:uid="{00000000-0005-0000-0000-00001F200000}"/>
    <cellStyle name="표준 21 3 4 3" xfId="5512" xr:uid="{00000000-0005-0000-0000-000020200000}"/>
    <cellStyle name="표준 21 3 4 3 2" xfId="7417" xr:uid="{00000000-0005-0000-0000-000021200000}"/>
    <cellStyle name="표준 21 3 4 3 2 2" xfId="9940" xr:uid="{00000000-0005-0000-0000-000022200000}"/>
    <cellStyle name="표준 21 3 4 3 3" xfId="8258" xr:uid="{00000000-0005-0000-0000-000023200000}"/>
    <cellStyle name="표준 21 3 4 3 4" xfId="9100" xr:uid="{00000000-0005-0000-0000-000024200000}"/>
    <cellStyle name="표준 21 3 4 3 5" xfId="6570" xr:uid="{00000000-0005-0000-0000-000025200000}"/>
    <cellStyle name="표준 21 3 4 4" xfId="5513" xr:uid="{00000000-0005-0000-0000-000026200000}"/>
    <cellStyle name="표준 21 3 4 4 2" xfId="7418" xr:uid="{00000000-0005-0000-0000-000027200000}"/>
    <cellStyle name="표준 21 3 4 4 2 2" xfId="9941" xr:uid="{00000000-0005-0000-0000-000028200000}"/>
    <cellStyle name="표준 21 3 4 4 3" xfId="8259" xr:uid="{00000000-0005-0000-0000-000029200000}"/>
    <cellStyle name="표준 21 3 4 4 4" xfId="9101" xr:uid="{00000000-0005-0000-0000-00002A200000}"/>
    <cellStyle name="표준 21 3 4 4 5" xfId="6571" xr:uid="{00000000-0005-0000-0000-00002B200000}"/>
    <cellStyle name="표준 21 3 4 5" xfId="5514" xr:uid="{00000000-0005-0000-0000-00002C200000}"/>
    <cellStyle name="표준 21 3 4 5 2" xfId="7419" xr:uid="{00000000-0005-0000-0000-00002D200000}"/>
    <cellStyle name="표준 21 3 4 5 2 2" xfId="9942" xr:uid="{00000000-0005-0000-0000-00002E200000}"/>
    <cellStyle name="표준 21 3 4 5 3" xfId="8260" xr:uid="{00000000-0005-0000-0000-00002F200000}"/>
    <cellStyle name="표준 21 3 4 5 4" xfId="9102" xr:uid="{00000000-0005-0000-0000-000030200000}"/>
    <cellStyle name="표준 21 3 4 5 5" xfId="6572" xr:uid="{00000000-0005-0000-0000-000031200000}"/>
    <cellStyle name="표준 21 3 4 6" xfId="7412" xr:uid="{00000000-0005-0000-0000-000032200000}"/>
    <cellStyle name="표준 21 3 4 6 2" xfId="9935" xr:uid="{00000000-0005-0000-0000-000033200000}"/>
    <cellStyle name="표준 21 3 4 7" xfId="8253" xr:uid="{00000000-0005-0000-0000-000034200000}"/>
    <cellStyle name="표준 21 3 4 8" xfId="9095" xr:uid="{00000000-0005-0000-0000-000035200000}"/>
    <cellStyle name="표준 21 3 4 9" xfId="6565" xr:uid="{00000000-0005-0000-0000-000036200000}"/>
    <cellStyle name="표준 21 3 5" xfId="5515" xr:uid="{00000000-0005-0000-0000-000037200000}"/>
    <cellStyle name="표준 21 3 5 2" xfId="5516" xr:uid="{00000000-0005-0000-0000-000038200000}"/>
    <cellStyle name="표준 21 3 5 2 2" xfId="7421" xr:uid="{00000000-0005-0000-0000-000039200000}"/>
    <cellStyle name="표준 21 3 5 2 2 2" xfId="9944" xr:uid="{00000000-0005-0000-0000-00003A200000}"/>
    <cellStyle name="표준 21 3 5 2 3" xfId="8262" xr:uid="{00000000-0005-0000-0000-00003B200000}"/>
    <cellStyle name="표준 21 3 5 2 4" xfId="9104" xr:uid="{00000000-0005-0000-0000-00003C200000}"/>
    <cellStyle name="표준 21 3 5 2 5" xfId="6574" xr:uid="{00000000-0005-0000-0000-00003D200000}"/>
    <cellStyle name="표준 21 3 5 3" xfId="5517" xr:uid="{00000000-0005-0000-0000-00003E200000}"/>
    <cellStyle name="표준 21 3 5 3 2" xfId="7422" xr:uid="{00000000-0005-0000-0000-00003F200000}"/>
    <cellStyle name="표준 21 3 5 3 2 2" xfId="9945" xr:uid="{00000000-0005-0000-0000-000040200000}"/>
    <cellStyle name="표준 21 3 5 3 3" xfId="8263" xr:uid="{00000000-0005-0000-0000-000041200000}"/>
    <cellStyle name="표준 21 3 5 3 4" xfId="9105" xr:uid="{00000000-0005-0000-0000-000042200000}"/>
    <cellStyle name="표준 21 3 5 3 5" xfId="6575" xr:uid="{00000000-0005-0000-0000-000043200000}"/>
    <cellStyle name="표준 21 3 5 4" xfId="5518" xr:uid="{00000000-0005-0000-0000-000044200000}"/>
    <cellStyle name="표준 21 3 5 4 2" xfId="7423" xr:uid="{00000000-0005-0000-0000-000045200000}"/>
    <cellStyle name="표준 21 3 5 4 2 2" xfId="9946" xr:uid="{00000000-0005-0000-0000-000046200000}"/>
    <cellStyle name="표준 21 3 5 4 3" xfId="8264" xr:uid="{00000000-0005-0000-0000-000047200000}"/>
    <cellStyle name="표준 21 3 5 4 4" xfId="9106" xr:uid="{00000000-0005-0000-0000-000048200000}"/>
    <cellStyle name="표준 21 3 5 4 5" xfId="6576" xr:uid="{00000000-0005-0000-0000-000049200000}"/>
    <cellStyle name="표준 21 3 5 5" xfId="7420" xr:uid="{00000000-0005-0000-0000-00004A200000}"/>
    <cellStyle name="표준 21 3 5 5 2" xfId="9943" xr:uid="{00000000-0005-0000-0000-00004B200000}"/>
    <cellStyle name="표준 21 3 5 6" xfId="8261" xr:uid="{00000000-0005-0000-0000-00004C200000}"/>
    <cellStyle name="표준 21 3 5 7" xfId="9103" xr:uid="{00000000-0005-0000-0000-00004D200000}"/>
    <cellStyle name="표준 21 3 5 8" xfId="6573" xr:uid="{00000000-0005-0000-0000-00004E200000}"/>
    <cellStyle name="표준 21 3 6" xfId="5519" xr:uid="{00000000-0005-0000-0000-00004F200000}"/>
    <cellStyle name="표준 21 3 6 2" xfId="7424" xr:uid="{00000000-0005-0000-0000-000050200000}"/>
    <cellStyle name="표준 21 3 6 2 2" xfId="9947" xr:uid="{00000000-0005-0000-0000-000051200000}"/>
    <cellStyle name="표준 21 3 6 3" xfId="8265" xr:uid="{00000000-0005-0000-0000-000052200000}"/>
    <cellStyle name="표준 21 3 6 4" xfId="9107" xr:uid="{00000000-0005-0000-0000-000053200000}"/>
    <cellStyle name="표준 21 3 6 5" xfId="6577" xr:uid="{00000000-0005-0000-0000-000054200000}"/>
    <cellStyle name="표준 21 3 7" xfId="5520" xr:uid="{00000000-0005-0000-0000-000055200000}"/>
    <cellStyle name="표준 21 3 7 2" xfId="7425" xr:uid="{00000000-0005-0000-0000-000056200000}"/>
    <cellStyle name="표준 21 3 7 2 2" xfId="9948" xr:uid="{00000000-0005-0000-0000-000057200000}"/>
    <cellStyle name="표준 21 3 7 3" xfId="8266" xr:uid="{00000000-0005-0000-0000-000058200000}"/>
    <cellStyle name="표준 21 3 7 4" xfId="9108" xr:uid="{00000000-0005-0000-0000-000059200000}"/>
    <cellStyle name="표준 21 3 7 5" xfId="6578" xr:uid="{00000000-0005-0000-0000-00005A200000}"/>
    <cellStyle name="표준 21 3 8" xfId="5521" xr:uid="{00000000-0005-0000-0000-00005B200000}"/>
    <cellStyle name="표준 21 3 8 2" xfId="7426" xr:uid="{00000000-0005-0000-0000-00005C200000}"/>
    <cellStyle name="표준 21 3 8 2 2" xfId="9949" xr:uid="{00000000-0005-0000-0000-00005D200000}"/>
    <cellStyle name="표준 21 3 8 3" xfId="8267" xr:uid="{00000000-0005-0000-0000-00005E200000}"/>
    <cellStyle name="표준 21 3 8 4" xfId="9109" xr:uid="{00000000-0005-0000-0000-00005F200000}"/>
    <cellStyle name="표준 21 3 8 5" xfId="6579" xr:uid="{00000000-0005-0000-0000-000060200000}"/>
    <cellStyle name="표준 21 3 9" xfId="7379" xr:uid="{00000000-0005-0000-0000-000061200000}"/>
    <cellStyle name="표준 21 3 9 2" xfId="9902" xr:uid="{00000000-0005-0000-0000-000062200000}"/>
    <cellStyle name="표준 21 4" xfId="5522" xr:uid="{00000000-0005-0000-0000-000063200000}"/>
    <cellStyle name="표준 21 4 10" xfId="8268" xr:uid="{00000000-0005-0000-0000-000064200000}"/>
    <cellStyle name="표준 21 4 11" xfId="9110" xr:uid="{00000000-0005-0000-0000-000065200000}"/>
    <cellStyle name="표준 21 4 12" xfId="6580" xr:uid="{00000000-0005-0000-0000-000066200000}"/>
    <cellStyle name="표준 21 4 2" xfId="5523" xr:uid="{00000000-0005-0000-0000-000067200000}"/>
    <cellStyle name="표준 21 4 2 10" xfId="6581" xr:uid="{00000000-0005-0000-0000-000068200000}"/>
    <cellStyle name="표준 21 4 2 2" xfId="5524" xr:uid="{00000000-0005-0000-0000-000069200000}"/>
    <cellStyle name="표준 21 4 2 2 2" xfId="5525" xr:uid="{00000000-0005-0000-0000-00006A200000}"/>
    <cellStyle name="표준 21 4 2 2 2 2" xfId="5526" xr:uid="{00000000-0005-0000-0000-00006B200000}"/>
    <cellStyle name="표준 21 4 2 2 2 2 2" xfId="7431" xr:uid="{00000000-0005-0000-0000-00006C200000}"/>
    <cellStyle name="표준 21 4 2 2 2 2 2 2" xfId="9954" xr:uid="{00000000-0005-0000-0000-00006D200000}"/>
    <cellStyle name="표준 21 4 2 2 2 2 3" xfId="8272" xr:uid="{00000000-0005-0000-0000-00006E200000}"/>
    <cellStyle name="표준 21 4 2 2 2 2 4" xfId="9114" xr:uid="{00000000-0005-0000-0000-00006F200000}"/>
    <cellStyle name="표준 21 4 2 2 2 2 5" xfId="6584" xr:uid="{00000000-0005-0000-0000-000070200000}"/>
    <cellStyle name="표준 21 4 2 2 2 3" xfId="5527" xr:uid="{00000000-0005-0000-0000-000071200000}"/>
    <cellStyle name="표준 21 4 2 2 2 3 2" xfId="7432" xr:uid="{00000000-0005-0000-0000-000072200000}"/>
    <cellStyle name="표준 21 4 2 2 2 3 2 2" xfId="9955" xr:uid="{00000000-0005-0000-0000-000073200000}"/>
    <cellStyle name="표준 21 4 2 2 2 3 3" xfId="8273" xr:uid="{00000000-0005-0000-0000-000074200000}"/>
    <cellStyle name="표준 21 4 2 2 2 3 4" xfId="9115" xr:uid="{00000000-0005-0000-0000-000075200000}"/>
    <cellStyle name="표준 21 4 2 2 2 3 5" xfId="6585" xr:uid="{00000000-0005-0000-0000-000076200000}"/>
    <cellStyle name="표준 21 4 2 2 2 4" xfId="5528" xr:uid="{00000000-0005-0000-0000-000077200000}"/>
    <cellStyle name="표준 21 4 2 2 2 4 2" xfId="7433" xr:uid="{00000000-0005-0000-0000-000078200000}"/>
    <cellStyle name="표준 21 4 2 2 2 4 2 2" xfId="9956" xr:uid="{00000000-0005-0000-0000-000079200000}"/>
    <cellStyle name="표준 21 4 2 2 2 4 3" xfId="8274" xr:uid="{00000000-0005-0000-0000-00007A200000}"/>
    <cellStyle name="표준 21 4 2 2 2 4 4" xfId="9116" xr:uid="{00000000-0005-0000-0000-00007B200000}"/>
    <cellStyle name="표준 21 4 2 2 2 4 5" xfId="6586" xr:uid="{00000000-0005-0000-0000-00007C200000}"/>
    <cellStyle name="표준 21 4 2 2 2 5" xfId="7430" xr:uid="{00000000-0005-0000-0000-00007D200000}"/>
    <cellStyle name="표준 21 4 2 2 2 5 2" xfId="9953" xr:uid="{00000000-0005-0000-0000-00007E200000}"/>
    <cellStyle name="표준 21 4 2 2 2 6" xfId="8271" xr:uid="{00000000-0005-0000-0000-00007F200000}"/>
    <cellStyle name="표준 21 4 2 2 2 7" xfId="9113" xr:uid="{00000000-0005-0000-0000-000080200000}"/>
    <cellStyle name="표준 21 4 2 2 2 8" xfId="6583" xr:uid="{00000000-0005-0000-0000-000081200000}"/>
    <cellStyle name="표준 21 4 2 2 3" xfId="5529" xr:uid="{00000000-0005-0000-0000-000082200000}"/>
    <cellStyle name="표준 21 4 2 2 3 2" xfId="7434" xr:uid="{00000000-0005-0000-0000-000083200000}"/>
    <cellStyle name="표준 21 4 2 2 3 2 2" xfId="9957" xr:uid="{00000000-0005-0000-0000-000084200000}"/>
    <cellStyle name="표준 21 4 2 2 3 3" xfId="8275" xr:uid="{00000000-0005-0000-0000-000085200000}"/>
    <cellStyle name="표준 21 4 2 2 3 4" xfId="9117" xr:uid="{00000000-0005-0000-0000-000086200000}"/>
    <cellStyle name="표준 21 4 2 2 3 5" xfId="6587" xr:uid="{00000000-0005-0000-0000-000087200000}"/>
    <cellStyle name="표준 21 4 2 2 4" xfId="5530" xr:uid="{00000000-0005-0000-0000-000088200000}"/>
    <cellStyle name="표준 21 4 2 2 4 2" xfId="7435" xr:uid="{00000000-0005-0000-0000-000089200000}"/>
    <cellStyle name="표준 21 4 2 2 4 2 2" xfId="9958" xr:uid="{00000000-0005-0000-0000-00008A200000}"/>
    <cellStyle name="표준 21 4 2 2 4 3" xfId="8276" xr:uid="{00000000-0005-0000-0000-00008B200000}"/>
    <cellStyle name="표준 21 4 2 2 4 4" xfId="9118" xr:uid="{00000000-0005-0000-0000-00008C200000}"/>
    <cellStyle name="표준 21 4 2 2 4 5" xfId="6588" xr:uid="{00000000-0005-0000-0000-00008D200000}"/>
    <cellStyle name="표준 21 4 2 2 5" xfId="5531" xr:uid="{00000000-0005-0000-0000-00008E200000}"/>
    <cellStyle name="표준 21 4 2 2 5 2" xfId="7436" xr:uid="{00000000-0005-0000-0000-00008F200000}"/>
    <cellStyle name="표준 21 4 2 2 5 2 2" xfId="9959" xr:uid="{00000000-0005-0000-0000-000090200000}"/>
    <cellStyle name="표준 21 4 2 2 5 3" xfId="8277" xr:uid="{00000000-0005-0000-0000-000091200000}"/>
    <cellStyle name="표준 21 4 2 2 5 4" xfId="9119" xr:uid="{00000000-0005-0000-0000-000092200000}"/>
    <cellStyle name="표준 21 4 2 2 5 5" xfId="6589" xr:uid="{00000000-0005-0000-0000-000093200000}"/>
    <cellStyle name="표준 21 4 2 2 6" xfId="7429" xr:uid="{00000000-0005-0000-0000-000094200000}"/>
    <cellStyle name="표준 21 4 2 2 6 2" xfId="9952" xr:uid="{00000000-0005-0000-0000-000095200000}"/>
    <cellStyle name="표준 21 4 2 2 7" xfId="8270" xr:uid="{00000000-0005-0000-0000-000096200000}"/>
    <cellStyle name="표준 21 4 2 2 8" xfId="9112" xr:uid="{00000000-0005-0000-0000-000097200000}"/>
    <cellStyle name="표준 21 4 2 2 9" xfId="6582" xr:uid="{00000000-0005-0000-0000-000098200000}"/>
    <cellStyle name="표준 21 4 2 3" xfId="5532" xr:uid="{00000000-0005-0000-0000-000099200000}"/>
    <cellStyle name="표준 21 4 2 3 2" xfId="5533" xr:uid="{00000000-0005-0000-0000-00009A200000}"/>
    <cellStyle name="표준 21 4 2 3 2 2" xfId="7438" xr:uid="{00000000-0005-0000-0000-00009B200000}"/>
    <cellStyle name="표준 21 4 2 3 2 2 2" xfId="9961" xr:uid="{00000000-0005-0000-0000-00009C200000}"/>
    <cellStyle name="표준 21 4 2 3 2 3" xfId="8279" xr:uid="{00000000-0005-0000-0000-00009D200000}"/>
    <cellStyle name="표준 21 4 2 3 2 4" xfId="9121" xr:uid="{00000000-0005-0000-0000-00009E200000}"/>
    <cellStyle name="표준 21 4 2 3 2 5" xfId="6591" xr:uid="{00000000-0005-0000-0000-00009F200000}"/>
    <cellStyle name="표준 21 4 2 3 3" xfId="5534" xr:uid="{00000000-0005-0000-0000-0000A0200000}"/>
    <cellStyle name="표준 21 4 2 3 3 2" xfId="7439" xr:uid="{00000000-0005-0000-0000-0000A1200000}"/>
    <cellStyle name="표준 21 4 2 3 3 2 2" xfId="9962" xr:uid="{00000000-0005-0000-0000-0000A2200000}"/>
    <cellStyle name="표준 21 4 2 3 3 3" xfId="8280" xr:uid="{00000000-0005-0000-0000-0000A3200000}"/>
    <cellStyle name="표준 21 4 2 3 3 4" xfId="9122" xr:uid="{00000000-0005-0000-0000-0000A4200000}"/>
    <cellStyle name="표준 21 4 2 3 3 5" xfId="6592" xr:uid="{00000000-0005-0000-0000-0000A5200000}"/>
    <cellStyle name="표준 21 4 2 3 4" xfId="5535" xr:uid="{00000000-0005-0000-0000-0000A6200000}"/>
    <cellStyle name="표준 21 4 2 3 4 2" xfId="7440" xr:uid="{00000000-0005-0000-0000-0000A7200000}"/>
    <cellStyle name="표준 21 4 2 3 4 2 2" xfId="9963" xr:uid="{00000000-0005-0000-0000-0000A8200000}"/>
    <cellStyle name="표준 21 4 2 3 4 3" xfId="8281" xr:uid="{00000000-0005-0000-0000-0000A9200000}"/>
    <cellStyle name="표준 21 4 2 3 4 4" xfId="9123" xr:uid="{00000000-0005-0000-0000-0000AA200000}"/>
    <cellStyle name="표준 21 4 2 3 4 5" xfId="6593" xr:uid="{00000000-0005-0000-0000-0000AB200000}"/>
    <cellStyle name="표준 21 4 2 3 5" xfId="7437" xr:uid="{00000000-0005-0000-0000-0000AC200000}"/>
    <cellStyle name="표준 21 4 2 3 5 2" xfId="9960" xr:uid="{00000000-0005-0000-0000-0000AD200000}"/>
    <cellStyle name="표준 21 4 2 3 6" xfId="8278" xr:uid="{00000000-0005-0000-0000-0000AE200000}"/>
    <cellStyle name="표준 21 4 2 3 7" xfId="9120" xr:uid="{00000000-0005-0000-0000-0000AF200000}"/>
    <cellStyle name="표준 21 4 2 3 8" xfId="6590" xr:uid="{00000000-0005-0000-0000-0000B0200000}"/>
    <cellStyle name="표준 21 4 2 4" xfId="5536" xr:uid="{00000000-0005-0000-0000-0000B1200000}"/>
    <cellStyle name="표준 21 4 2 4 2" xfId="7441" xr:uid="{00000000-0005-0000-0000-0000B2200000}"/>
    <cellStyle name="표준 21 4 2 4 2 2" xfId="9964" xr:uid="{00000000-0005-0000-0000-0000B3200000}"/>
    <cellStyle name="표준 21 4 2 4 3" xfId="8282" xr:uid="{00000000-0005-0000-0000-0000B4200000}"/>
    <cellStyle name="표준 21 4 2 4 4" xfId="9124" xr:uid="{00000000-0005-0000-0000-0000B5200000}"/>
    <cellStyle name="표준 21 4 2 4 5" xfId="6594" xr:uid="{00000000-0005-0000-0000-0000B6200000}"/>
    <cellStyle name="표준 21 4 2 5" xfId="5537" xr:uid="{00000000-0005-0000-0000-0000B7200000}"/>
    <cellStyle name="표준 21 4 2 5 2" xfId="7442" xr:uid="{00000000-0005-0000-0000-0000B8200000}"/>
    <cellStyle name="표준 21 4 2 5 2 2" xfId="9965" xr:uid="{00000000-0005-0000-0000-0000B9200000}"/>
    <cellStyle name="표준 21 4 2 5 3" xfId="8283" xr:uid="{00000000-0005-0000-0000-0000BA200000}"/>
    <cellStyle name="표준 21 4 2 5 4" xfId="9125" xr:uid="{00000000-0005-0000-0000-0000BB200000}"/>
    <cellStyle name="표준 21 4 2 5 5" xfId="6595" xr:uid="{00000000-0005-0000-0000-0000BC200000}"/>
    <cellStyle name="표준 21 4 2 6" xfId="5538" xr:uid="{00000000-0005-0000-0000-0000BD200000}"/>
    <cellStyle name="표준 21 4 2 6 2" xfId="7443" xr:uid="{00000000-0005-0000-0000-0000BE200000}"/>
    <cellStyle name="표준 21 4 2 6 2 2" xfId="9966" xr:uid="{00000000-0005-0000-0000-0000BF200000}"/>
    <cellStyle name="표준 21 4 2 6 3" xfId="8284" xr:uid="{00000000-0005-0000-0000-0000C0200000}"/>
    <cellStyle name="표준 21 4 2 6 4" xfId="9126" xr:uid="{00000000-0005-0000-0000-0000C1200000}"/>
    <cellStyle name="표준 21 4 2 6 5" xfId="6596" xr:uid="{00000000-0005-0000-0000-0000C2200000}"/>
    <cellStyle name="표준 21 4 2 7" xfId="7428" xr:uid="{00000000-0005-0000-0000-0000C3200000}"/>
    <cellStyle name="표준 21 4 2 7 2" xfId="9951" xr:uid="{00000000-0005-0000-0000-0000C4200000}"/>
    <cellStyle name="표준 21 4 2 8" xfId="8269" xr:uid="{00000000-0005-0000-0000-0000C5200000}"/>
    <cellStyle name="표준 21 4 2 9" xfId="9111" xr:uid="{00000000-0005-0000-0000-0000C6200000}"/>
    <cellStyle name="표준 21 4 3" xfId="5539" xr:uid="{00000000-0005-0000-0000-0000C7200000}"/>
    <cellStyle name="표준 21 4 3 10" xfId="6597" xr:uid="{00000000-0005-0000-0000-0000C8200000}"/>
    <cellStyle name="표준 21 4 3 2" xfId="5540" xr:uid="{00000000-0005-0000-0000-0000C9200000}"/>
    <cellStyle name="표준 21 4 3 2 2" xfId="5541" xr:uid="{00000000-0005-0000-0000-0000CA200000}"/>
    <cellStyle name="표준 21 4 3 2 2 2" xfId="5542" xr:uid="{00000000-0005-0000-0000-0000CB200000}"/>
    <cellStyle name="표준 21 4 3 2 2 2 2" xfId="7447" xr:uid="{00000000-0005-0000-0000-0000CC200000}"/>
    <cellStyle name="표준 21 4 3 2 2 2 2 2" xfId="9970" xr:uid="{00000000-0005-0000-0000-0000CD200000}"/>
    <cellStyle name="표준 21 4 3 2 2 2 3" xfId="8288" xr:uid="{00000000-0005-0000-0000-0000CE200000}"/>
    <cellStyle name="표준 21 4 3 2 2 2 4" xfId="9130" xr:uid="{00000000-0005-0000-0000-0000CF200000}"/>
    <cellStyle name="표준 21 4 3 2 2 2 5" xfId="6600" xr:uid="{00000000-0005-0000-0000-0000D0200000}"/>
    <cellStyle name="표준 21 4 3 2 2 3" xfId="5543" xr:uid="{00000000-0005-0000-0000-0000D1200000}"/>
    <cellStyle name="표준 21 4 3 2 2 3 2" xfId="7448" xr:uid="{00000000-0005-0000-0000-0000D2200000}"/>
    <cellStyle name="표준 21 4 3 2 2 3 2 2" xfId="9971" xr:uid="{00000000-0005-0000-0000-0000D3200000}"/>
    <cellStyle name="표준 21 4 3 2 2 3 3" xfId="8289" xr:uid="{00000000-0005-0000-0000-0000D4200000}"/>
    <cellStyle name="표준 21 4 3 2 2 3 4" xfId="9131" xr:uid="{00000000-0005-0000-0000-0000D5200000}"/>
    <cellStyle name="표준 21 4 3 2 2 3 5" xfId="6601" xr:uid="{00000000-0005-0000-0000-0000D6200000}"/>
    <cellStyle name="표준 21 4 3 2 2 4" xfId="5544" xr:uid="{00000000-0005-0000-0000-0000D7200000}"/>
    <cellStyle name="표준 21 4 3 2 2 4 2" xfId="7449" xr:uid="{00000000-0005-0000-0000-0000D8200000}"/>
    <cellStyle name="표준 21 4 3 2 2 4 2 2" xfId="9972" xr:uid="{00000000-0005-0000-0000-0000D9200000}"/>
    <cellStyle name="표준 21 4 3 2 2 4 3" xfId="8290" xr:uid="{00000000-0005-0000-0000-0000DA200000}"/>
    <cellStyle name="표준 21 4 3 2 2 4 4" xfId="9132" xr:uid="{00000000-0005-0000-0000-0000DB200000}"/>
    <cellStyle name="표준 21 4 3 2 2 4 5" xfId="6602" xr:uid="{00000000-0005-0000-0000-0000DC200000}"/>
    <cellStyle name="표준 21 4 3 2 2 5" xfId="7446" xr:uid="{00000000-0005-0000-0000-0000DD200000}"/>
    <cellStyle name="표준 21 4 3 2 2 5 2" xfId="9969" xr:uid="{00000000-0005-0000-0000-0000DE200000}"/>
    <cellStyle name="표준 21 4 3 2 2 6" xfId="8287" xr:uid="{00000000-0005-0000-0000-0000DF200000}"/>
    <cellStyle name="표준 21 4 3 2 2 7" xfId="9129" xr:uid="{00000000-0005-0000-0000-0000E0200000}"/>
    <cellStyle name="표준 21 4 3 2 2 8" xfId="6599" xr:uid="{00000000-0005-0000-0000-0000E1200000}"/>
    <cellStyle name="표준 21 4 3 2 3" xfId="5545" xr:uid="{00000000-0005-0000-0000-0000E2200000}"/>
    <cellStyle name="표준 21 4 3 2 3 2" xfId="7450" xr:uid="{00000000-0005-0000-0000-0000E3200000}"/>
    <cellStyle name="표준 21 4 3 2 3 2 2" xfId="9973" xr:uid="{00000000-0005-0000-0000-0000E4200000}"/>
    <cellStyle name="표준 21 4 3 2 3 3" xfId="8291" xr:uid="{00000000-0005-0000-0000-0000E5200000}"/>
    <cellStyle name="표준 21 4 3 2 3 4" xfId="9133" xr:uid="{00000000-0005-0000-0000-0000E6200000}"/>
    <cellStyle name="표준 21 4 3 2 3 5" xfId="6603" xr:uid="{00000000-0005-0000-0000-0000E7200000}"/>
    <cellStyle name="표준 21 4 3 2 4" xfId="5546" xr:uid="{00000000-0005-0000-0000-0000E8200000}"/>
    <cellStyle name="표준 21 4 3 2 4 2" xfId="7451" xr:uid="{00000000-0005-0000-0000-0000E9200000}"/>
    <cellStyle name="표준 21 4 3 2 4 2 2" xfId="9974" xr:uid="{00000000-0005-0000-0000-0000EA200000}"/>
    <cellStyle name="표준 21 4 3 2 4 3" xfId="8292" xr:uid="{00000000-0005-0000-0000-0000EB200000}"/>
    <cellStyle name="표준 21 4 3 2 4 4" xfId="9134" xr:uid="{00000000-0005-0000-0000-0000EC200000}"/>
    <cellStyle name="표준 21 4 3 2 4 5" xfId="6604" xr:uid="{00000000-0005-0000-0000-0000ED200000}"/>
    <cellStyle name="표준 21 4 3 2 5" xfId="5547" xr:uid="{00000000-0005-0000-0000-0000EE200000}"/>
    <cellStyle name="표준 21 4 3 2 5 2" xfId="7452" xr:uid="{00000000-0005-0000-0000-0000EF200000}"/>
    <cellStyle name="표준 21 4 3 2 5 2 2" xfId="9975" xr:uid="{00000000-0005-0000-0000-0000F0200000}"/>
    <cellStyle name="표준 21 4 3 2 5 3" xfId="8293" xr:uid="{00000000-0005-0000-0000-0000F1200000}"/>
    <cellStyle name="표준 21 4 3 2 5 4" xfId="9135" xr:uid="{00000000-0005-0000-0000-0000F2200000}"/>
    <cellStyle name="표준 21 4 3 2 5 5" xfId="6605" xr:uid="{00000000-0005-0000-0000-0000F3200000}"/>
    <cellStyle name="표준 21 4 3 2 6" xfId="7445" xr:uid="{00000000-0005-0000-0000-0000F4200000}"/>
    <cellStyle name="표준 21 4 3 2 6 2" xfId="9968" xr:uid="{00000000-0005-0000-0000-0000F5200000}"/>
    <cellStyle name="표준 21 4 3 2 7" xfId="8286" xr:uid="{00000000-0005-0000-0000-0000F6200000}"/>
    <cellStyle name="표준 21 4 3 2 8" xfId="9128" xr:uid="{00000000-0005-0000-0000-0000F7200000}"/>
    <cellStyle name="표준 21 4 3 2 9" xfId="6598" xr:uid="{00000000-0005-0000-0000-0000F8200000}"/>
    <cellStyle name="표준 21 4 3 3" xfId="5548" xr:uid="{00000000-0005-0000-0000-0000F9200000}"/>
    <cellStyle name="표준 21 4 3 3 2" xfId="5549" xr:uid="{00000000-0005-0000-0000-0000FA200000}"/>
    <cellStyle name="표준 21 4 3 3 2 2" xfId="7454" xr:uid="{00000000-0005-0000-0000-0000FB200000}"/>
    <cellStyle name="표준 21 4 3 3 2 2 2" xfId="9977" xr:uid="{00000000-0005-0000-0000-0000FC200000}"/>
    <cellStyle name="표준 21 4 3 3 2 3" xfId="8295" xr:uid="{00000000-0005-0000-0000-0000FD200000}"/>
    <cellStyle name="표준 21 4 3 3 2 4" xfId="9137" xr:uid="{00000000-0005-0000-0000-0000FE200000}"/>
    <cellStyle name="표준 21 4 3 3 2 5" xfId="6607" xr:uid="{00000000-0005-0000-0000-0000FF200000}"/>
    <cellStyle name="표준 21 4 3 3 3" xfId="5550" xr:uid="{00000000-0005-0000-0000-000000210000}"/>
    <cellStyle name="표준 21 4 3 3 3 2" xfId="7455" xr:uid="{00000000-0005-0000-0000-000001210000}"/>
    <cellStyle name="표준 21 4 3 3 3 2 2" xfId="9978" xr:uid="{00000000-0005-0000-0000-000002210000}"/>
    <cellStyle name="표준 21 4 3 3 3 3" xfId="8296" xr:uid="{00000000-0005-0000-0000-000003210000}"/>
    <cellStyle name="표준 21 4 3 3 3 4" xfId="9138" xr:uid="{00000000-0005-0000-0000-000004210000}"/>
    <cellStyle name="표준 21 4 3 3 3 5" xfId="6608" xr:uid="{00000000-0005-0000-0000-000005210000}"/>
    <cellStyle name="표준 21 4 3 3 4" xfId="5551" xr:uid="{00000000-0005-0000-0000-000006210000}"/>
    <cellStyle name="표준 21 4 3 3 4 2" xfId="7456" xr:uid="{00000000-0005-0000-0000-000007210000}"/>
    <cellStyle name="표준 21 4 3 3 4 2 2" xfId="9979" xr:uid="{00000000-0005-0000-0000-000008210000}"/>
    <cellStyle name="표준 21 4 3 3 4 3" xfId="8297" xr:uid="{00000000-0005-0000-0000-000009210000}"/>
    <cellStyle name="표준 21 4 3 3 4 4" xfId="9139" xr:uid="{00000000-0005-0000-0000-00000A210000}"/>
    <cellStyle name="표준 21 4 3 3 4 5" xfId="6609" xr:uid="{00000000-0005-0000-0000-00000B210000}"/>
    <cellStyle name="표준 21 4 3 3 5" xfId="7453" xr:uid="{00000000-0005-0000-0000-00000C210000}"/>
    <cellStyle name="표준 21 4 3 3 5 2" xfId="9976" xr:uid="{00000000-0005-0000-0000-00000D210000}"/>
    <cellStyle name="표준 21 4 3 3 6" xfId="8294" xr:uid="{00000000-0005-0000-0000-00000E210000}"/>
    <cellStyle name="표준 21 4 3 3 7" xfId="9136" xr:uid="{00000000-0005-0000-0000-00000F210000}"/>
    <cellStyle name="표준 21 4 3 3 8" xfId="6606" xr:uid="{00000000-0005-0000-0000-000010210000}"/>
    <cellStyle name="표준 21 4 3 4" xfId="5552" xr:uid="{00000000-0005-0000-0000-000011210000}"/>
    <cellStyle name="표준 21 4 3 4 2" xfId="7457" xr:uid="{00000000-0005-0000-0000-000012210000}"/>
    <cellStyle name="표준 21 4 3 4 2 2" xfId="9980" xr:uid="{00000000-0005-0000-0000-000013210000}"/>
    <cellStyle name="표준 21 4 3 4 3" xfId="8298" xr:uid="{00000000-0005-0000-0000-000014210000}"/>
    <cellStyle name="표준 21 4 3 4 4" xfId="9140" xr:uid="{00000000-0005-0000-0000-000015210000}"/>
    <cellStyle name="표준 21 4 3 4 5" xfId="6610" xr:uid="{00000000-0005-0000-0000-000016210000}"/>
    <cellStyle name="표준 21 4 3 5" xfId="5553" xr:uid="{00000000-0005-0000-0000-000017210000}"/>
    <cellStyle name="표준 21 4 3 5 2" xfId="7458" xr:uid="{00000000-0005-0000-0000-000018210000}"/>
    <cellStyle name="표준 21 4 3 5 2 2" xfId="9981" xr:uid="{00000000-0005-0000-0000-000019210000}"/>
    <cellStyle name="표준 21 4 3 5 3" xfId="8299" xr:uid="{00000000-0005-0000-0000-00001A210000}"/>
    <cellStyle name="표준 21 4 3 5 4" xfId="9141" xr:uid="{00000000-0005-0000-0000-00001B210000}"/>
    <cellStyle name="표준 21 4 3 5 5" xfId="6611" xr:uid="{00000000-0005-0000-0000-00001C210000}"/>
    <cellStyle name="표준 21 4 3 6" xfId="5554" xr:uid="{00000000-0005-0000-0000-00001D210000}"/>
    <cellStyle name="표준 21 4 3 6 2" xfId="7459" xr:uid="{00000000-0005-0000-0000-00001E210000}"/>
    <cellStyle name="표준 21 4 3 6 2 2" xfId="9982" xr:uid="{00000000-0005-0000-0000-00001F210000}"/>
    <cellStyle name="표준 21 4 3 6 3" xfId="8300" xr:uid="{00000000-0005-0000-0000-000020210000}"/>
    <cellStyle name="표준 21 4 3 6 4" xfId="9142" xr:uid="{00000000-0005-0000-0000-000021210000}"/>
    <cellStyle name="표준 21 4 3 6 5" xfId="6612" xr:uid="{00000000-0005-0000-0000-000022210000}"/>
    <cellStyle name="표준 21 4 3 7" xfId="7444" xr:uid="{00000000-0005-0000-0000-000023210000}"/>
    <cellStyle name="표준 21 4 3 7 2" xfId="9967" xr:uid="{00000000-0005-0000-0000-000024210000}"/>
    <cellStyle name="표준 21 4 3 8" xfId="8285" xr:uid="{00000000-0005-0000-0000-000025210000}"/>
    <cellStyle name="표준 21 4 3 9" xfId="9127" xr:uid="{00000000-0005-0000-0000-000026210000}"/>
    <cellStyle name="표준 21 4 4" xfId="5555" xr:uid="{00000000-0005-0000-0000-000027210000}"/>
    <cellStyle name="표준 21 4 4 2" xfId="5556" xr:uid="{00000000-0005-0000-0000-000028210000}"/>
    <cellStyle name="표준 21 4 4 2 2" xfId="5557" xr:uid="{00000000-0005-0000-0000-000029210000}"/>
    <cellStyle name="표준 21 4 4 2 2 2" xfId="7462" xr:uid="{00000000-0005-0000-0000-00002A210000}"/>
    <cellStyle name="표준 21 4 4 2 2 2 2" xfId="9985" xr:uid="{00000000-0005-0000-0000-00002B210000}"/>
    <cellStyle name="표준 21 4 4 2 2 3" xfId="8303" xr:uid="{00000000-0005-0000-0000-00002C210000}"/>
    <cellStyle name="표준 21 4 4 2 2 4" xfId="9145" xr:uid="{00000000-0005-0000-0000-00002D210000}"/>
    <cellStyle name="표준 21 4 4 2 2 5" xfId="6615" xr:uid="{00000000-0005-0000-0000-00002E210000}"/>
    <cellStyle name="표준 21 4 4 2 3" xfId="5558" xr:uid="{00000000-0005-0000-0000-00002F210000}"/>
    <cellStyle name="표준 21 4 4 2 3 2" xfId="7463" xr:uid="{00000000-0005-0000-0000-000030210000}"/>
    <cellStyle name="표준 21 4 4 2 3 2 2" xfId="9986" xr:uid="{00000000-0005-0000-0000-000031210000}"/>
    <cellStyle name="표준 21 4 4 2 3 3" xfId="8304" xr:uid="{00000000-0005-0000-0000-000032210000}"/>
    <cellStyle name="표준 21 4 4 2 3 4" xfId="9146" xr:uid="{00000000-0005-0000-0000-000033210000}"/>
    <cellStyle name="표준 21 4 4 2 3 5" xfId="6616" xr:uid="{00000000-0005-0000-0000-000034210000}"/>
    <cellStyle name="표준 21 4 4 2 4" xfId="5559" xr:uid="{00000000-0005-0000-0000-000035210000}"/>
    <cellStyle name="표준 21 4 4 2 4 2" xfId="7464" xr:uid="{00000000-0005-0000-0000-000036210000}"/>
    <cellStyle name="표준 21 4 4 2 4 2 2" xfId="9987" xr:uid="{00000000-0005-0000-0000-000037210000}"/>
    <cellStyle name="표준 21 4 4 2 4 3" xfId="8305" xr:uid="{00000000-0005-0000-0000-000038210000}"/>
    <cellStyle name="표준 21 4 4 2 4 4" xfId="9147" xr:uid="{00000000-0005-0000-0000-000039210000}"/>
    <cellStyle name="표준 21 4 4 2 4 5" xfId="6617" xr:uid="{00000000-0005-0000-0000-00003A210000}"/>
    <cellStyle name="표준 21 4 4 2 5" xfId="7461" xr:uid="{00000000-0005-0000-0000-00003B210000}"/>
    <cellStyle name="표준 21 4 4 2 5 2" xfId="9984" xr:uid="{00000000-0005-0000-0000-00003C210000}"/>
    <cellStyle name="표준 21 4 4 2 6" xfId="8302" xr:uid="{00000000-0005-0000-0000-00003D210000}"/>
    <cellStyle name="표준 21 4 4 2 7" xfId="9144" xr:uid="{00000000-0005-0000-0000-00003E210000}"/>
    <cellStyle name="표준 21 4 4 2 8" xfId="6614" xr:uid="{00000000-0005-0000-0000-00003F210000}"/>
    <cellStyle name="표준 21 4 4 3" xfId="5560" xr:uid="{00000000-0005-0000-0000-000040210000}"/>
    <cellStyle name="표준 21 4 4 3 2" xfId="7465" xr:uid="{00000000-0005-0000-0000-000041210000}"/>
    <cellStyle name="표준 21 4 4 3 2 2" xfId="9988" xr:uid="{00000000-0005-0000-0000-000042210000}"/>
    <cellStyle name="표준 21 4 4 3 3" xfId="8306" xr:uid="{00000000-0005-0000-0000-000043210000}"/>
    <cellStyle name="표준 21 4 4 3 4" xfId="9148" xr:uid="{00000000-0005-0000-0000-000044210000}"/>
    <cellStyle name="표준 21 4 4 3 5" xfId="6618" xr:uid="{00000000-0005-0000-0000-000045210000}"/>
    <cellStyle name="표준 21 4 4 4" xfId="5561" xr:uid="{00000000-0005-0000-0000-000046210000}"/>
    <cellStyle name="표준 21 4 4 4 2" xfId="7466" xr:uid="{00000000-0005-0000-0000-000047210000}"/>
    <cellStyle name="표준 21 4 4 4 2 2" xfId="9989" xr:uid="{00000000-0005-0000-0000-000048210000}"/>
    <cellStyle name="표준 21 4 4 4 3" xfId="8307" xr:uid="{00000000-0005-0000-0000-000049210000}"/>
    <cellStyle name="표준 21 4 4 4 4" xfId="9149" xr:uid="{00000000-0005-0000-0000-00004A210000}"/>
    <cellStyle name="표준 21 4 4 4 5" xfId="6619" xr:uid="{00000000-0005-0000-0000-00004B210000}"/>
    <cellStyle name="표준 21 4 4 5" xfId="5562" xr:uid="{00000000-0005-0000-0000-00004C210000}"/>
    <cellStyle name="표준 21 4 4 5 2" xfId="7467" xr:uid="{00000000-0005-0000-0000-00004D210000}"/>
    <cellStyle name="표준 21 4 4 5 2 2" xfId="9990" xr:uid="{00000000-0005-0000-0000-00004E210000}"/>
    <cellStyle name="표준 21 4 4 5 3" xfId="8308" xr:uid="{00000000-0005-0000-0000-00004F210000}"/>
    <cellStyle name="표준 21 4 4 5 4" xfId="9150" xr:uid="{00000000-0005-0000-0000-000050210000}"/>
    <cellStyle name="표준 21 4 4 5 5" xfId="6620" xr:uid="{00000000-0005-0000-0000-000051210000}"/>
    <cellStyle name="표준 21 4 4 6" xfId="7460" xr:uid="{00000000-0005-0000-0000-000052210000}"/>
    <cellStyle name="표준 21 4 4 6 2" xfId="9983" xr:uid="{00000000-0005-0000-0000-000053210000}"/>
    <cellStyle name="표준 21 4 4 7" xfId="8301" xr:uid="{00000000-0005-0000-0000-000054210000}"/>
    <cellStyle name="표준 21 4 4 8" xfId="9143" xr:uid="{00000000-0005-0000-0000-000055210000}"/>
    <cellStyle name="표준 21 4 4 9" xfId="6613" xr:uid="{00000000-0005-0000-0000-000056210000}"/>
    <cellStyle name="표준 21 4 5" xfId="5563" xr:uid="{00000000-0005-0000-0000-000057210000}"/>
    <cellStyle name="표준 21 4 5 2" xfId="5564" xr:uid="{00000000-0005-0000-0000-000058210000}"/>
    <cellStyle name="표준 21 4 5 2 2" xfId="7469" xr:uid="{00000000-0005-0000-0000-000059210000}"/>
    <cellStyle name="표준 21 4 5 2 2 2" xfId="9992" xr:uid="{00000000-0005-0000-0000-00005A210000}"/>
    <cellStyle name="표준 21 4 5 2 3" xfId="8310" xr:uid="{00000000-0005-0000-0000-00005B210000}"/>
    <cellStyle name="표준 21 4 5 2 4" xfId="9152" xr:uid="{00000000-0005-0000-0000-00005C210000}"/>
    <cellStyle name="표준 21 4 5 2 5" xfId="6622" xr:uid="{00000000-0005-0000-0000-00005D210000}"/>
    <cellStyle name="표준 21 4 5 3" xfId="5565" xr:uid="{00000000-0005-0000-0000-00005E210000}"/>
    <cellStyle name="표준 21 4 5 3 2" xfId="7470" xr:uid="{00000000-0005-0000-0000-00005F210000}"/>
    <cellStyle name="표준 21 4 5 3 2 2" xfId="9993" xr:uid="{00000000-0005-0000-0000-000060210000}"/>
    <cellStyle name="표준 21 4 5 3 3" xfId="8311" xr:uid="{00000000-0005-0000-0000-000061210000}"/>
    <cellStyle name="표준 21 4 5 3 4" xfId="9153" xr:uid="{00000000-0005-0000-0000-000062210000}"/>
    <cellStyle name="표준 21 4 5 3 5" xfId="6623" xr:uid="{00000000-0005-0000-0000-000063210000}"/>
    <cellStyle name="표준 21 4 5 4" xfId="5566" xr:uid="{00000000-0005-0000-0000-000064210000}"/>
    <cellStyle name="표준 21 4 5 4 2" xfId="7471" xr:uid="{00000000-0005-0000-0000-000065210000}"/>
    <cellStyle name="표준 21 4 5 4 2 2" xfId="9994" xr:uid="{00000000-0005-0000-0000-000066210000}"/>
    <cellStyle name="표준 21 4 5 4 3" xfId="8312" xr:uid="{00000000-0005-0000-0000-000067210000}"/>
    <cellStyle name="표준 21 4 5 4 4" xfId="9154" xr:uid="{00000000-0005-0000-0000-000068210000}"/>
    <cellStyle name="표준 21 4 5 4 5" xfId="6624" xr:uid="{00000000-0005-0000-0000-000069210000}"/>
    <cellStyle name="표준 21 4 5 5" xfId="7468" xr:uid="{00000000-0005-0000-0000-00006A210000}"/>
    <cellStyle name="표준 21 4 5 5 2" xfId="9991" xr:uid="{00000000-0005-0000-0000-00006B210000}"/>
    <cellStyle name="표준 21 4 5 6" xfId="8309" xr:uid="{00000000-0005-0000-0000-00006C210000}"/>
    <cellStyle name="표준 21 4 5 7" xfId="9151" xr:uid="{00000000-0005-0000-0000-00006D210000}"/>
    <cellStyle name="표준 21 4 5 8" xfId="6621" xr:uid="{00000000-0005-0000-0000-00006E210000}"/>
    <cellStyle name="표준 21 4 6" xfId="5567" xr:uid="{00000000-0005-0000-0000-00006F210000}"/>
    <cellStyle name="표준 21 4 6 2" xfId="7472" xr:uid="{00000000-0005-0000-0000-000070210000}"/>
    <cellStyle name="표준 21 4 6 2 2" xfId="9995" xr:uid="{00000000-0005-0000-0000-000071210000}"/>
    <cellStyle name="표준 21 4 6 3" xfId="8313" xr:uid="{00000000-0005-0000-0000-000072210000}"/>
    <cellStyle name="표준 21 4 6 4" xfId="9155" xr:uid="{00000000-0005-0000-0000-000073210000}"/>
    <cellStyle name="표준 21 4 6 5" xfId="6625" xr:uid="{00000000-0005-0000-0000-000074210000}"/>
    <cellStyle name="표준 21 4 7" xfId="5568" xr:uid="{00000000-0005-0000-0000-000075210000}"/>
    <cellStyle name="표준 21 4 7 2" xfId="7473" xr:uid="{00000000-0005-0000-0000-000076210000}"/>
    <cellStyle name="표준 21 4 7 2 2" xfId="9996" xr:uid="{00000000-0005-0000-0000-000077210000}"/>
    <cellStyle name="표준 21 4 7 3" xfId="8314" xr:uid="{00000000-0005-0000-0000-000078210000}"/>
    <cellStyle name="표준 21 4 7 4" xfId="9156" xr:uid="{00000000-0005-0000-0000-000079210000}"/>
    <cellStyle name="표준 21 4 7 5" xfId="6626" xr:uid="{00000000-0005-0000-0000-00007A210000}"/>
    <cellStyle name="표준 21 4 8" xfId="5569" xr:uid="{00000000-0005-0000-0000-00007B210000}"/>
    <cellStyle name="표준 21 4 8 2" xfId="7474" xr:uid="{00000000-0005-0000-0000-00007C210000}"/>
    <cellStyle name="표준 21 4 8 2 2" xfId="9997" xr:uid="{00000000-0005-0000-0000-00007D210000}"/>
    <cellStyle name="표준 21 4 8 3" xfId="8315" xr:uid="{00000000-0005-0000-0000-00007E210000}"/>
    <cellStyle name="표준 21 4 8 4" xfId="9157" xr:uid="{00000000-0005-0000-0000-00007F210000}"/>
    <cellStyle name="표준 21 4 8 5" xfId="6627" xr:uid="{00000000-0005-0000-0000-000080210000}"/>
    <cellStyle name="표준 21 4 9" xfId="7427" xr:uid="{00000000-0005-0000-0000-000081210000}"/>
    <cellStyle name="표준 21 4 9 2" xfId="9950" xr:uid="{00000000-0005-0000-0000-000082210000}"/>
    <cellStyle name="표준 21 5" xfId="5570" xr:uid="{00000000-0005-0000-0000-000083210000}"/>
    <cellStyle name="표준 21 5 10" xfId="6628" xr:uid="{00000000-0005-0000-0000-000084210000}"/>
    <cellStyle name="표준 21 5 2" xfId="5571" xr:uid="{00000000-0005-0000-0000-000085210000}"/>
    <cellStyle name="표준 21 5 2 2" xfId="5572" xr:uid="{00000000-0005-0000-0000-000086210000}"/>
    <cellStyle name="표준 21 5 2 2 2" xfId="5573" xr:uid="{00000000-0005-0000-0000-000087210000}"/>
    <cellStyle name="표준 21 5 2 2 2 2" xfId="7478" xr:uid="{00000000-0005-0000-0000-000088210000}"/>
    <cellStyle name="표준 21 5 2 2 2 2 2" xfId="10001" xr:uid="{00000000-0005-0000-0000-000089210000}"/>
    <cellStyle name="표준 21 5 2 2 2 3" xfId="8319" xr:uid="{00000000-0005-0000-0000-00008A210000}"/>
    <cellStyle name="표준 21 5 2 2 2 4" xfId="9161" xr:uid="{00000000-0005-0000-0000-00008B210000}"/>
    <cellStyle name="표준 21 5 2 2 2 5" xfId="6631" xr:uid="{00000000-0005-0000-0000-00008C210000}"/>
    <cellStyle name="표준 21 5 2 2 3" xfId="5574" xr:uid="{00000000-0005-0000-0000-00008D210000}"/>
    <cellStyle name="표준 21 5 2 2 3 2" xfId="7479" xr:uid="{00000000-0005-0000-0000-00008E210000}"/>
    <cellStyle name="표준 21 5 2 2 3 2 2" xfId="10002" xr:uid="{00000000-0005-0000-0000-00008F210000}"/>
    <cellStyle name="표준 21 5 2 2 3 3" xfId="8320" xr:uid="{00000000-0005-0000-0000-000090210000}"/>
    <cellStyle name="표준 21 5 2 2 3 4" xfId="9162" xr:uid="{00000000-0005-0000-0000-000091210000}"/>
    <cellStyle name="표준 21 5 2 2 3 5" xfId="6632" xr:uid="{00000000-0005-0000-0000-000092210000}"/>
    <cellStyle name="표준 21 5 2 2 4" xfId="5575" xr:uid="{00000000-0005-0000-0000-000093210000}"/>
    <cellStyle name="표준 21 5 2 2 4 2" xfId="7480" xr:uid="{00000000-0005-0000-0000-000094210000}"/>
    <cellStyle name="표준 21 5 2 2 4 2 2" xfId="10003" xr:uid="{00000000-0005-0000-0000-000095210000}"/>
    <cellStyle name="표준 21 5 2 2 4 3" xfId="8321" xr:uid="{00000000-0005-0000-0000-000096210000}"/>
    <cellStyle name="표준 21 5 2 2 4 4" xfId="9163" xr:uid="{00000000-0005-0000-0000-000097210000}"/>
    <cellStyle name="표준 21 5 2 2 4 5" xfId="6633" xr:uid="{00000000-0005-0000-0000-000098210000}"/>
    <cellStyle name="표준 21 5 2 2 5" xfId="7477" xr:uid="{00000000-0005-0000-0000-000099210000}"/>
    <cellStyle name="표준 21 5 2 2 5 2" xfId="10000" xr:uid="{00000000-0005-0000-0000-00009A210000}"/>
    <cellStyle name="표준 21 5 2 2 6" xfId="8318" xr:uid="{00000000-0005-0000-0000-00009B210000}"/>
    <cellStyle name="표준 21 5 2 2 7" xfId="9160" xr:uid="{00000000-0005-0000-0000-00009C210000}"/>
    <cellStyle name="표준 21 5 2 2 8" xfId="6630" xr:uid="{00000000-0005-0000-0000-00009D210000}"/>
    <cellStyle name="표준 21 5 2 3" xfId="5576" xr:uid="{00000000-0005-0000-0000-00009E210000}"/>
    <cellStyle name="표준 21 5 2 3 2" xfId="7481" xr:uid="{00000000-0005-0000-0000-00009F210000}"/>
    <cellStyle name="표준 21 5 2 3 2 2" xfId="10004" xr:uid="{00000000-0005-0000-0000-0000A0210000}"/>
    <cellStyle name="표준 21 5 2 3 3" xfId="8322" xr:uid="{00000000-0005-0000-0000-0000A1210000}"/>
    <cellStyle name="표준 21 5 2 3 4" xfId="9164" xr:uid="{00000000-0005-0000-0000-0000A2210000}"/>
    <cellStyle name="표준 21 5 2 3 5" xfId="6634" xr:uid="{00000000-0005-0000-0000-0000A3210000}"/>
    <cellStyle name="표준 21 5 2 4" xfId="5577" xr:uid="{00000000-0005-0000-0000-0000A4210000}"/>
    <cellStyle name="표준 21 5 2 4 2" xfId="7482" xr:uid="{00000000-0005-0000-0000-0000A5210000}"/>
    <cellStyle name="표준 21 5 2 4 2 2" xfId="10005" xr:uid="{00000000-0005-0000-0000-0000A6210000}"/>
    <cellStyle name="표준 21 5 2 4 3" xfId="8323" xr:uid="{00000000-0005-0000-0000-0000A7210000}"/>
    <cellStyle name="표준 21 5 2 4 4" xfId="9165" xr:uid="{00000000-0005-0000-0000-0000A8210000}"/>
    <cellStyle name="표준 21 5 2 4 5" xfId="6635" xr:uid="{00000000-0005-0000-0000-0000A9210000}"/>
    <cellStyle name="표준 21 5 2 5" xfId="5578" xr:uid="{00000000-0005-0000-0000-0000AA210000}"/>
    <cellStyle name="표준 21 5 2 5 2" xfId="7483" xr:uid="{00000000-0005-0000-0000-0000AB210000}"/>
    <cellStyle name="표준 21 5 2 5 2 2" xfId="10006" xr:uid="{00000000-0005-0000-0000-0000AC210000}"/>
    <cellStyle name="표준 21 5 2 5 3" xfId="8324" xr:uid="{00000000-0005-0000-0000-0000AD210000}"/>
    <cellStyle name="표준 21 5 2 5 4" xfId="9166" xr:uid="{00000000-0005-0000-0000-0000AE210000}"/>
    <cellStyle name="표준 21 5 2 5 5" xfId="6636" xr:uid="{00000000-0005-0000-0000-0000AF210000}"/>
    <cellStyle name="표준 21 5 2 6" xfId="7476" xr:uid="{00000000-0005-0000-0000-0000B0210000}"/>
    <cellStyle name="표준 21 5 2 6 2" xfId="9999" xr:uid="{00000000-0005-0000-0000-0000B1210000}"/>
    <cellStyle name="표준 21 5 2 7" xfId="8317" xr:uid="{00000000-0005-0000-0000-0000B2210000}"/>
    <cellStyle name="표준 21 5 2 8" xfId="9159" xr:uid="{00000000-0005-0000-0000-0000B3210000}"/>
    <cellStyle name="표준 21 5 2 9" xfId="6629" xr:uid="{00000000-0005-0000-0000-0000B4210000}"/>
    <cellStyle name="표준 21 5 3" xfId="5579" xr:uid="{00000000-0005-0000-0000-0000B5210000}"/>
    <cellStyle name="표준 21 5 3 2" xfId="5580" xr:uid="{00000000-0005-0000-0000-0000B6210000}"/>
    <cellStyle name="표준 21 5 3 2 2" xfId="7485" xr:uid="{00000000-0005-0000-0000-0000B7210000}"/>
    <cellStyle name="표준 21 5 3 2 2 2" xfId="10008" xr:uid="{00000000-0005-0000-0000-0000B8210000}"/>
    <cellStyle name="표준 21 5 3 2 3" xfId="8326" xr:uid="{00000000-0005-0000-0000-0000B9210000}"/>
    <cellStyle name="표준 21 5 3 2 4" xfId="9168" xr:uid="{00000000-0005-0000-0000-0000BA210000}"/>
    <cellStyle name="표준 21 5 3 2 5" xfId="6638" xr:uid="{00000000-0005-0000-0000-0000BB210000}"/>
    <cellStyle name="표준 21 5 3 3" xfId="5581" xr:uid="{00000000-0005-0000-0000-0000BC210000}"/>
    <cellStyle name="표준 21 5 3 3 2" xfId="7486" xr:uid="{00000000-0005-0000-0000-0000BD210000}"/>
    <cellStyle name="표준 21 5 3 3 2 2" xfId="10009" xr:uid="{00000000-0005-0000-0000-0000BE210000}"/>
    <cellStyle name="표준 21 5 3 3 3" xfId="8327" xr:uid="{00000000-0005-0000-0000-0000BF210000}"/>
    <cellStyle name="표준 21 5 3 3 4" xfId="9169" xr:uid="{00000000-0005-0000-0000-0000C0210000}"/>
    <cellStyle name="표준 21 5 3 3 5" xfId="6639" xr:uid="{00000000-0005-0000-0000-0000C1210000}"/>
    <cellStyle name="표준 21 5 3 4" xfId="5582" xr:uid="{00000000-0005-0000-0000-0000C2210000}"/>
    <cellStyle name="표준 21 5 3 4 2" xfId="7487" xr:uid="{00000000-0005-0000-0000-0000C3210000}"/>
    <cellStyle name="표준 21 5 3 4 2 2" xfId="10010" xr:uid="{00000000-0005-0000-0000-0000C4210000}"/>
    <cellStyle name="표준 21 5 3 4 3" xfId="8328" xr:uid="{00000000-0005-0000-0000-0000C5210000}"/>
    <cellStyle name="표준 21 5 3 4 4" xfId="9170" xr:uid="{00000000-0005-0000-0000-0000C6210000}"/>
    <cellStyle name="표준 21 5 3 4 5" xfId="6640" xr:uid="{00000000-0005-0000-0000-0000C7210000}"/>
    <cellStyle name="표준 21 5 3 5" xfId="7484" xr:uid="{00000000-0005-0000-0000-0000C8210000}"/>
    <cellStyle name="표준 21 5 3 5 2" xfId="10007" xr:uid="{00000000-0005-0000-0000-0000C9210000}"/>
    <cellStyle name="표준 21 5 3 6" xfId="8325" xr:uid="{00000000-0005-0000-0000-0000CA210000}"/>
    <cellStyle name="표준 21 5 3 7" xfId="9167" xr:uid="{00000000-0005-0000-0000-0000CB210000}"/>
    <cellStyle name="표준 21 5 3 8" xfId="6637" xr:uid="{00000000-0005-0000-0000-0000CC210000}"/>
    <cellStyle name="표준 21 5 4" xfId="5583" xr:uid="{00000000-0005-0000-0000-0000CD210000}"/>
    <cellStyle name="표준 21 5 4 2" xfId="7488" xr:uid="{00000000-0005-0000-0000-0000CE210000}"/>
    <cellStyle name="표준 21 5 4 2 2" xfId="10011" xr:uid="{00000000-0005-0000-0000-0000CF210000}"/>
    <cellStyle name="표준 21 5 4 3" xfId="8329" xr:uid="{00000000-0005-0000-0000-0000D0210000}"/>
    <cellStyle name="표준 21 5 4 4" xfId="9171" xr:uid="{00000000-0005-0000-0000-0000D1210000}"/>
    <cellStyle name="표준 21 5 4 5" xfId="6641" xr:uid="{00000000-0005-0000-0000-0000D2210000}"/>
    <cellStyle name="표준 21 5 5" xfId="5584" xr:uid="{00000000-0005-0000-0000-0000D3210000}"/>
    <cellStyle name="표준 21 5 5 2" xfId="7489" xr:uid="{00000000-0005-0000-0000-0000D4210000}"/>
    <cellStyle name="표준 21 5 5 2 2" xfId="10012" xr:uid="{00000000-0005-0000-0000-0000D5210000}"/>
    <cellStyle name="표준 21 5 5 3" xfId="8330" xr:uid="{00000000-0005-0000-0000-0000D6210000}"/>
    <cellStyle name="표준 21 5 5 4" xfId="9172" xr:uid="{00000000-0005-0000-0000-0000D7210000}"/>
    <cellStyle name="표준 21 5 5 5" xfId="6642" xr:uid="{00000000-0005-0000-0000-0000D8210000}"/>
    <cellStyle name="표준 21 5 6" xfId="5585" xr:uid="{00000000-0005-0000-0000-0000D9210000}"/>
    <cellStyle name="표준 21 5 6 2" xfId="7490" xr:uid="{00000000-0005-0000-0000-0000DA210000}"/>
    <cellStyle name="표준 21 5 6 2 2" xfId="10013" xr:uid="{00000000-0005-0000-0000-0000DB210000}"/>
    <cellStyle name="표준 21 5 6 3" xfId="8331" xr:uid="{00000000-0005-0000-0000-0000DC210000}"/>
    <cellStyle name="표준 21 5 6 4" xfId="9173" xr:uid="{00000000-0005-0000-0000-0000DD210000}"/>
    <cellStyle name="표준 21 5 6 5" xfId="6643" xr:uid="{00000000-0005-0000-0000-0000DE210000}"/>
    <cellStyle name="표준 21 5 7" xfId="7475" xr:uid="{00000000-0005-0000-0000-0000DF210000}"/>
    <cellStyle name="표준 21 5 7 2" xfId="9998" xr:uid="{00000000-0005-0000-0000-0000E0210000}"/>
    <cellStyle name="표준 21 5 8" xfId="8316" xr:uid="{00000000-0005-0000-0000-0000E1210000}"/>
    <cellStyle name="표준 21 5 9" xfId="9158" xr:uid="{00000000-0005-0000-0000-0000E2210000}"/>
    <cellStyle name="표준 21 6" xfId="5586" xr:uid="{00000000-0005-0000-0000-0000E3210000}"/>
    <cellStyle name="표준 21 6 10" xfId="6644" xr:uid="{00000000-0005-0000-0000-0000E4210000}"/>
    <cellStyle name="표준 21 6 2" xfId="5587" xr:uid="{00000000-0005-0000-0000-0000E5210000}"/>
    <cellStyle name="표준 21 6 2 2" xfId="5588" xr:uid="{00000000-0005-0000-0000-0000E6210000}"/>
    <cellStyle name="표준 21 6 2 2 2" xfId="5589" xr:uid="{00000000-0005-0000-0000-0000E7210000}"/>
    <cellStyle name="표준 21 6 2 2 2 2" xfId="7494" xr:uid="{00000000-0005-0000-0000-0000E8210000}"/>
    <cellStyle name="표준 21 6 2 2 2 2 2" xfId="10017" xr:uid="{00000000-0005-0000-0000-0000E9210000}"/>
    <cellStyle name="표준 21 6 2 2 2 3" xfId="8335" xr:uid="{00000000-0005-0000-0000-0000EA210000}"/>
    <cellStyle name="표준 21 6 2 2 2 4" xfId="9177" xr:uid="{00000000-0005-0000-0000-0000EB210000}"/>
    <cellStyle name="표준 21 6 2 2 2 5" xfId="6647" xr:uid="{00000000-0005-0000-0000-0000EC210000}"/>
    <cellStyle name="표준 21 6 2 2 3" xfId="5590" xr:uid="{00000000-0005-0000-0000-0000ED210000}"/>
    <cellStyle name="표준 21 6 2 2 3 2" xfId="7495" xr:uid="{00000000-0005-0000-0000-0000EE210000}"/>
    <cellStyle name="표준 21 6 2 2 3 2 2" xfId="10018" xr:uid="{00000000-0005-0000-0000-0000EF210000}"/>
    <cellStyle name="표준 21 6 2 2 3 3" xfId="8336" xr:uid="{00000000-0005-0000-0000-0000F0210000}"/>
    <cellStyle name="표준 21 6 2 2 3 4" xfId="9178" xr:uid="{00000000-0005-0000-0000-0000F1210000}"/>
    <cellStyle name="표준 21 6 2 2 3 5" xfId="6648" xr:uid="{00000000-0005-0000-0000-0000F2210000}"/>
    <cellStyle name="표준 21 6 2 2 4" xfId="5591" xr:uid="{00000000-0005-0000-0000-0000F3210000}"/>
    <cellStyle name="표준 21 6 2 2 4 2" xfId="7496" xr:uid="{00000000-0005-0000-0000-0000F4210000}"/>
    <cellStyle name="표준 21 6 2 2 4 2 2" xfId="10019" xr:uid="{00000000-0005-0000-0000-0000F5210000}"/>
    <cellStyle name="표준 21 6 2 2 4 3" xfId="8337" xr:uid="{00000000-0005-0000-0000-0000F6210000}"/>
    <cellStyle name="표준 21 6 2 2 4 4" xfId="9179" xr:uid="{00000000-0005-0000-0000-0000F7210000}"/>
    <cellStyle name="표준 21 6 2 2 4 5" xfId="6649" xr:uid="{00000000-0005-0000-0000-0000F8210000}"/>
    <cellStyle name="표준 21 6 2 2 5" xfId="7493" xr:uid="{00000000-0005-0000-0000-0000F9210000}"/>
    <cellStyle name="표준 21 6 2 2 5 2" xfId="10016" xr:uid="{00000000-0005-0000-0000-0000FA210000}"/>
    <cellStyle name="표준 21 6 2 2 6" xfId="8334" xr:uid="{00000000-0005-0000-0000-0000FB210000}"/>
    <cellStyle name="표준 21 6 2 2 7" xfId="9176" xr:uid="{00000000-0005-0000-0000-0000FC210000}"/>
    <cellStyle name="표준 21 6 2 2 8" xfId="6646" xr:uid="{00000000-0005-0000-0000-0000FD210000}"/>
    <cellStyle name="표준 21 6 2 3" xfId="5592" xr:uid="{00000000-0005-0000-0000-0000FE210000}"/>
    <cellStyle name="표준 21 6 2 3 2" xfId="7497" xr:uid="{00000000-0005-0000-0000-0000FF210000}"/>
    <cellStyle name="표준 21 6 2 3 2 2" xfId="10020" xr:uid="{00000000-0005-0000-0000-000000220000}"/>
    <cellStyle name="표준 21 6 2 3 3" xfId="8338" xr:uid="{00000000-0005-0000-0000-000001220000}"/>
    <cellStyle name="표준 21 6 2 3 4" xfId="9180" xr:uid="{00000000-0005-0000-0000-000002220000}"/>
    <cellStyle name="표준 21 6 2 3 5" xfId="6650" xr:uid="{00000000-0005-0000-0000-000003220000}"/>
    <cellStyle name="표준 21 6 2 4" xfId="5593" xr:uid="{00000000-0005-0000-0000-000004220000}"/>
    <cellStyle name="표준 21 6 2 4 2" xfId="7498" xr:uid="{00000000-0005-0000-0000-000005220000}"/>
    <cellStyle name="표준 21 6 2 4 2 2" xfId="10021" xr:uid="{00000000-0005-0000-0000-000006220000}"/>
    <cellStyle name="표준 21 6 2 4 3" xfId="8339" xr:uid="{00000000-0005-0000-0000-000007220000}"/>
    <cellStyle name="표준 21 6 2 4 4" xfId="9181" xr:uid="{00000000-0005-0000-0000-000008220000}"/>
    <cellStyle name="표준 21 6 2 4 5" xfId="6651" xr:uid="{00000000-0005-0000-0000-000009220000}"/>
    <cellStyle name="표준 21 6 2 5" xfId="5594" xr:uid="{00000000-0005-0000-0000-00000A220000}"/>
    <cellStyle name="표준 21 6 2 5 2" xfId="7499" xr:uid="{00000000-0005-0000-0000-00000B220000}"/>
    <cellStyle name="표준 21 6 2 5 2 2" xfId="10022" xr:uid="{00000000-0005-0000-0000-00000C220000}"/>
    <cellStyle name="표준 21 6 2 5 3" xfId="8340" xr:uid="{00000000-0005-0000-0000-00000D220000}"/>
    <cellStyle name="표준 21 6 2 5 4" xfId="9182" xr:uid="{00000000-0005-0000-0000-00000E220000}"/>
    <cellStyle name="표준 21 6 2 5 5" xfId="6652" xr:uid="{00000000-0005-0000-0000-00000F220000}"/>
    <cellStyle name="표준 21 6 2 6" xfId="7492" xr:uid="{00000000-0005-0000-0000-000010220000}"/>
    <cellStyle name="표준 21 6 2 6 2" xfId="10015" xr:uid="{00000000-0005-0000-0000-000011220000}"/>
    <cellStyle name="표준 21 6 2 7" xfId="8333" xr:uid="{00000000-0005-0000-0000-000012220000}"/>
    <cellStyle name="표준 21 6 2 8" xfId="9175" xr:uid="{00000000-0005-0000-0000-000013220000}"/>
    <cellStyle name="표준 21 6 2 9" xfId="6645" xr:uid="{00000000-0005-0000-0000-000014220000}"/>
    <cellStyle name="표준 21 6 3" xfId="5595" xr:uid="{00000000-0005-0000-0000-000015220000}"/>
    <cellStyle name="표준 21 6 3 2" xfId="5596" xr:uid="{00000000-0005-0000-0000-000016220000}"/>
    <cellStyle name="표준 21 6 3 2 2" xfId="7501" xr:uid="{00000000-0005-0000-0000-000017220000}"/>
    <cellStyle name="표준 21 6 3 2 2 2" xfId="10024" xr:uid="{00000000-0005-0000-0000-000018220000}"/>
    <cellStyle name="표준 21 6 3 2 3" xfId="8342" xr:uid="{00000000-0005-0000-0000-000019220000}"/>
    <cellStyle name="표준 21 6 3 2 4" xfId="9184" xr:uid="{00000000-0005-0000-0000-00001A220000}"/>
    <cellStyle name="표준 21 6 3 2 5" xfId="6654" xr:uid="{00000000-0005-0000-0000-00001B220000}"/>
    <cellStyle name="표준 21 6 3 3" xfId="5597" xr:uid="{00000000-0005-0000-0000-00001C220000}"/>
    <cellStyle name="표준 21 6 3 3 2" xfId="7502" xr:uid="{00000000-0005-0000-0000-00001D220000}"/>
    <cellStyle name="표준 21 6 3 3 2 2" xfId="10025" xr:uid="{00000000-0005-0000-0000-00001E220000}"/>
    <cellStyle name="표준 21 6 3 3 3" xfId="8343" xr:uid="{00000000-0005-0000-0000-00001F220000}"/>
    <cellStyle name="표준 21 6 3 3 4" xfId="9185" xr:uid="{00000000-0005-0000-0000-000020220000}"/>
    <cellStyle name="표준 21 6 3 3 5" xfId="6655" xr:uid="{00000000-0005-0000-0000-000021220000}"/>
    <cellStyle name="표준 21 6 3 4" xfId="5598" xr:uid="{00000000-0005-0000-0000-000022220000}"/>
    <cellStyle name="표준 21 6 3 4 2" xfId="7503" xr:uid="{00000000-0005-0000-0000-000023220000}"/>
    <cellStyle name="표준 21 6 3 4 2 2" xfId="10026" xr:uid="{00000000-0005-0000-0000-000024220000}"/>
    <cellStyle name="표준 21 6 3 4 3" xfId="8344" xr:uid="{00000000-0005-0000-0000-000025220000}"/>
    <cellStyle name="표준 21 6 3 4 4" xfId="9186" xr:uid="{00000000-0005-0000-0000-000026220000}"/>
    <cellStyle name="표준 21 6 3 4 5" xfId="6656" xr:uid="{00000000-0005-0000-0000-000027220000}"/>
    <cellStyle name="표준 21 6 3 5" xfId="7500" xr:uid="{00000000-0005-0000-0000-000028220000}"/>
    <cellStyle name="표준 21 6 3 5 2" xfId="10023" xr:uid="{00000000-0005-0000-0000-000029220000}"/>
    <cellStyle name="표준 21 6 3 6" xfId="8341" xr:uid="{00000000-0005-0000-0000-00002A220000}"/>
    <cellStyle name="표준 21 6 3 7" xfId="9183" xr:uid="{00000000-0005-0000-0000-00002B220000}"/>
    <cellStyle name="표준 21 6 3 8" xfId="6653" xr:uid="{00000000-0005-0000-0000-00002C220000}"/>
    <cellStyle name="표준 21 6 4" xfId="5599" xr:uid="{00000000-0005-0000-0000-00002D220000}"/>
    <cellStyle name="표준 21 6 4 2" xfId="7504" xr:uid="{00000000-0005-0000-0000-00002E220000}"/>
    <cellStyle name="표준 21 6 4 2 2" xfId="10027" xr:uid="{00000000-0005-0000-0000-00002F220000}"/>
    <cellStyle name="표준 21 6 4 3" xfId="8345" xr:uid="{00000000-0005-0000-0000-000030220000}"/>
    <cellStyle name="표준 21 6 4 4" xfId="9187" xr:uid="{00000000-0005-0000-0000-000031220000}"/>
    <cellStyle name="표준 21 6 4 5" xfId="6657" xr:uid="{00000000-0005-0000-0000-000032220000}"/>
    <cellStyle name="표준 21 6 5" xfId="5600" xr:uid="{00000000-0005-0000-0000-000033220000}"/>
    <cellStyle name="표준 21 6 5 2" xfId="7505" xr:uid="{00000000-0005-0000-0000-000034220000}"/>
    <cellStyle name="표준 21 6 5 2 2" xfId="10028" xr:uid="{00000000-0005-0000-0000-000035220000}"/>
    <cellStyle name="표준 21 6 5 3" xfId="8346" xr:uid="{00000000-0005-0000-0000-000036220000}"/>
    <cellStyle name="표준 21 6 5 4" xfId="9188" xr:uid="{00000000-0005-0000-0000-000037220000}"/>
    <cellStyle name="표준 21 6 5 5" xfId="6658" xr:uid="{00000000-0005-0000-0000-000038220000}"/>
    <cellStyle name="표준 21 6 6" xfId="5601" xr:uid="{00000000-0005-0000-0000-000039220000}"/>
    <cellStyle name="표준 21 6 6 2" xfId="7506" xr:uid="{00000000-0005-0000-0000-00003A220000}"/>
    <cellStyle name="표준 21 6 6 2 2" xfId="10029" xr:uid="{00000000-0005-0000-0000-00003B220000}"/>
    <cellStyle name="표준 21 6 6 3" xfId="8347" xr:uid="{00000000-0005-0000-0000-00003C220000}"/>
    <cellStyle name="표준 21 6 6 4" xfId="9189" xr:uid="{00000000-0005-0000-0000-00003D220000}"/>
    <cellStyle name="표준 21 6 6 5" xfId="6659" xr:uid="{00000000-0005-0000-0000-00003E220000}"/>
    <cellStyle name="표준 21 6 7" xfId="7491" xr:uid="{00000000-0005-0000-0000-00003F220000}"/>
    <cellStyle name="표준 21 6 7 2" xfId="10014" xr:uid="{00000000-0005-0000-0000-000040220000}"/>
    <cellStyle name="표준 21 6 8" xfId="8332" xr:uid="{00000000-0005-0000-0000-000041220000}"/>
    <cellStyle name="표준 21 6 9" xfId="9174" xr:uid="{00000000-0005-0000-0000-000042220000}"/>
    <cellStyle name="표준 21 7" xfId="5602" xr:uid="{00000000-0005-0000-0000-000043220000}"/>
    <cellStyle name="표준 21 7 2" xfId="5603" xr:uid="{00000000-0005-0000-0000-000044220000}"/>
    <cellStyle name="표준 21 7 2 2" xfId="5604" xr:uid="{00000000-0005-0000-0000-000045220000}"/>
    <cellStyle name="표준 21 7 2 2 2" xfId="7509" xr:uid="{00000000-0005-0000-0000-000046220000}"/>
    <cellStyle name="표준 21 7 2 2 2 2" xfId="10032" xr:uid="{00000000-0005-0000-0000-000047220000}"/>
    <cellStyle name="표준 21 7 2 2 3" xfId="8350" xr:uid="{00000000-0005-0000-0000-000048220000}"/>
    <cellStyle name="표준 21 7 2 2 4" xfId="9192" xr:uid="{00000000-0005-0000-0000-000049220000}"/>
    <cellStyle name="표준 21 7 2 2 5" xfId="6662" xr:uid="{00000000-0005-0000-0000-00004A220000}"/>
    <cellStyle name="표준 21 7 2 3" xfId="5605" xr:uid="{00000000-0005-0000-0000-00004B220000}"/>
    <cellStyle name="표준 21 7 2 3 2" xfId="7510" xr:uid="{00000000-0005-0000-0000-00004C220000}"/>
    <cellStyle name="표준 21 7 2 3 2 2" xfId="10033" xr:uid="{00000000-0005-0000-0000-00004D220000}"/>
    <cellStyle name="표준 21 7 2 3 3" xfId="8351" xr:uid="{00000000-0005-0000-0000-00004E220000}"/>
    <cellStyle name="표준 21 7 2 3 4" xfId="9193" xr:uid="{00000000-0005-0000-0000-00004F220000}"/>
    <cellStyle name="표준 21 7 2 3 5" xfId="6663" xr:uid="{00000000-0005-0000-0000-000050220000}"/>
    <cellStyle name="표준 21 7 2 4" xfId="5606" xr:uid="{00000000-0005-0000-0000-000051220000}"/>
    <cellStyle name="표준 21 7 2 4 2" xfId="7511" xr:uid="{00000000-0005-0000-0000-000052220000}"/>
    <cellStyle name="표준 21 7 2 4 2 2" xfId="10034" xr:uid="{00000000-0005-0000-0000-000053220000}"/>
    <cellStyle name="표준 21 7 2 4 3" xfId="8352" xr:uid="{00000000-0005-0000-0000-000054220000}"/>
    <cellStyle name="표준 21 7 2 4 4" xfId="9194" xr:uid="{00000000-0005-0000-0000-000055220000}"/>
    <cellStyle name="표준 21 7 2 4 5" xfId="6664" xr:uid="{00000000-0005-0000-0000-000056220000}"/>
    <cellStyle name="표준 21 7 2 5" xfId="7508" xr:uid="{00000000-0005-0000-0000-000057220000}"/>
    <cellStyle name="표준 21 7 2 5 2" xfId="10031" xr:uid="{00000000-0005-0000-0000-000058220000}"/>
    <cellStyle name="표준 21 7 2 6" xfId="8349" xr:uid="{00000000-0005-0000-0000-000059220000}"/>
    <cellStyle name="표준 21 7 2 7" xfId="9191" xr:uid="{00000000-0005-0000-0000-00005A220000}"/>
    <cellStyle name="표준 21 7 2 8" xfId="6661" xr:uid="{00000000-0005-0000-0000-00005B220000}"/>
    <cellStyle name="표준 21 7 3" xfId="5607" xr:uid="{00000000-0005-0000-0000-00005C220000}"/>
    <cellStyle name="표준 21 7 3 2" xfId="7512" xr:uid="{00000000-0005-0000-0000-00005D220000}"/>
    <cellStyle name="표준 21 7 3 2 2" xfId="10035" xr:uid="{00000000-0005-0000-0000-00005E220000}"/>
    <cellStyle name="표준 21 7 3 3" xfId="8353" xr:uid="{00000000-0005-0000-0000-00005F220000}"/>
    <cellStyle name="표준 21 7 3 4" xfId="9195" xr:uid="{00000000-0005-0000-0000-000060220000}"/>
    <cellStyle name="표준 21 7 3 5" xfId="6665" xr:uid="{00000000-0005-0000-0000-000061220000}"/>
    <cellStyle name="표준 21 7 4" xfId="5608" xr:uid="{00000000-0005-0000-0000-000062220000}"/>
    <cellStyle name="표준 21 7 4 2" xfId="7513" xr:uid="{00000000-0005-0000-0000-000063220000}"/>
    <cellStyle name="표준 21 7 4 2 2" xfId="10036" xr:uid="{00000000-0005-0000-0000-000064220000}"/>
    <cellStyle name="표준 21 7 4 3" xfId="8354" xr:uid="{00000000-0005-0000-0000-000065220000}"/>
    <cellStyle name="표준 21 7 4 4" xfId="9196" xr:uid="{00000000-0005-0000-0000-000066220000}"/>
    <cellStyle name="표준 21 7 4 5" xfId="6666" xr:uid="{00000000-0005-0000-0000-000067220000}"/>
    <cellStyle name="표준 21 7 5" xfId="5609" xr:uid="{00000000-0005-0000-0000-000068220000}"/>
    <cellStyle name="표준 21 7 5 2" xfId="7514" xr:uid="{00000000-0005-0000-0000-000069220000}"/>
    <cellStyle name="표준 21 7 5 2 2" xfId="10037" xr:uid="{00000000-0005-0000-0000-00006A220000}"/>
    <cellStyle name="표준 21 7 5 3" xfId="8355" xr:uid="{00000000-0005-0000-0000-00006B220000}"/>
    <cellStyle name="표준 21 7 5 4" xfId="9197" xr:uid="{00000000-0005-0000-0000-00006C220000}"/>
    <cellStyle name="표준 21 7 5 5" xfId="6667" xr:uid="{00000000-0005-0000-0000-00006D220000}"/>
    <cellStyle name="표준 21 7 6" xfId="7507" xr:uid="{00000000-0005-0000-0000-00006E220000}"/>
    <cellStyle name="표준 21 7 6 2" xfId="10030" xr:uid="{00000000-0005-0000-0000-00006F220000}"/>
    <cellStyle name="표준 21 7 7" xfId="8348" xr:uid="{00000000-0005-0000-0000-000070220000}"/>
    <cellStyle name="표준 21 7 8" xfId="9190" xr:uid="{00000000-0005-0000-0000-000071220000}"/>
    <cellStyle name="표준 21 7 9" xfId="6660" xr:uid="{00000000-0005-0000-0000-000072220000}"/>
    <cellStyle name="표준 21 8" xfId="5610" xr:uid="{00000000-0005-0000-0000-000073220000}"/>
    <cellStyle name="표준 21 8 2" xfId="5611" xr:uid="{00000000-0005-0000-0000-000074220000}"/>
    <cellStyle name="표준 21 8 2 2" xfId="7516" xr:uid="{00000000-0005-0000-0000-000075220000}"/>
    <cellStyle name="표준 21 8 2 2 2" xfId="10039" xr:uid="{00000000-0005-0000-0000-000076220000}"/>
    <cellStyle name="표준 21 8 2 3" xfId="8357" xr:uid="{00000000-0005-0000-0000-000077220000}"/>
    <cellStyle name="표준 21 8 2 4" xfId="9199" xr:uid="{00000000-0005-0000-0000-000078220000}"/>
    <cellStyle name="표준 21 8 2 5" xfId="6669" xr:uid="{00000000-0005-0000-0000-000079220000}"/>
    <cellStyle name="표준 21 8 3" xfId="5612" xr:uid="{00000000-0005-0000-0000-00007A220000}"/>
    <cellStyle name="표준 21 8 3 2" xfId="7517" xr:uid="{00000000-0005-0000-0000-00007B220000}"/>
    <cellStyle name="표준 21 8 3 2 2" xfId="10040" xr:uid="{00000000-0005-0000-0000-00007C220000}"/>
    <cellStyle name="표준 21 8 3 3" xfId="8358" xr:uid="{00000000-0005-0000-0000-00007D220000}"/>
    <cellStyle name="표준 21 8 3 4" xfId="9200" xr:uid="{00000000-0005-0000-0000-00007E220000}"/>
    <cellStyle name="표준 21 8 3 5" xfId="6670" xr:uid="{00000000-0005-0000-0000-00007F220000}"/>
    <cellStyle name="표준 21 8 4" xfId="5613" xr:uid="{00000000-0005-0000-0000-000080220000}"/>
    <cellStyle name="표준 21 8 4 2" xfId="7518" xr:uid="{00000000-0005-0000-0000-000081220000}"/>
    <cellStyle name="표준 21 8 4 2 2" xfId="10041" xr:uid="{00000000-0005-0000-0000-000082220000}"/>
    <cellStyle name="표준 21 8 4 3" xfId="8359" xr:uid="{00000000-0005-0000-0000-000083220000}"/>
    <cellStyle name="표준 21 8 4 4" xfId="9201" xr:uid="{00000000-0005-0000-0000-000084220000}"/>
    <cellStyle name="표준 21 8 4 5" xfId="6671" xr:uid="{00000000-0005-0000-0000-000085220000}"/>
    <cellStyle name="표준 21 8 5" xfId="7515" xr:uid="{00000000-0005-0000-0000-000086220000}"/>
    <cellStyle name="표준 21 8 5 2" xfId="10038" xr:uid="{00000000-0005-0000-0000-000087220000}"/>
    <cellStyle name="표준 21 8 6" xfId="8356" xr:uid="{00000000-0005-0000-0000-000088220000}"/>
    <cellStyle name="표준 21 8 7" xfId="9198" xr:uid="{00000000-0005-0000-0000-000089220000}"/>
    <cellStyle name="표준 21 8 8" xfId="6668" xr:uid="{00000000-0005-0000-0000-00008A220000}"/>
    <cellStyle name="표준 21 9" xfId="5614" xr:uid="{00000000-0005-0000-0000-00008B220000}"/>
    <cellStyle name="표준 21 9 2" xfId="7519" xr:uid="{00000000-0005-0000-0000-00008C220000}"/>
    <cellStyle name="표준 21 9 2 2" xfId="10042" xr:uid="{00000000-0005-0000-0000-00008D220000}"/>
    <cellStyle name="표준 21 9 3" xfId="8360" xr:uid="{00000000-0005-0000-0000-00008E220000}"/>
    <cellStyle name="표준 21 9 4" xfId="9202" xr:uid="{00000000-0005-0000-0000-00008F220000}"/>
    <cellStyle name="표준 21 9 5" xfId="6672" xr:uid="{00000000-0005-0000-0000-000090220000}"/>
    <cellStyle name="표준 22" xfId="5615" xr:uid="{00000000-0005-0000-0000-000091220000}"/>
    <cellStyle name="표준 22 10" xfId="5616" xr:uid="{00000000-0005-0000-0000-000092220000}"/>
    <cellStyle name="표준 22 10 2" xfId="7521" xr:uid="{00000000-0005-0000-0000-000093220000}"/>
    <cellStyle name="표준 22 10 2 2" xfId="10044" xr:uid="{00000000-0005-0000-0000-000094220000}"/>
    <cellStyle name="표준 22 10 3" xfId="8362" xr:uid="{00000000-0005-0000-0000-000095220000}"/>
    <cellStyle name="표준 22 10 4" xfId="9204" xr:uid="{00000000-0005-0000-0000-000096220000}"/>
    <cellStyle name="표준 22 10 5" xfId="6674" xr:uid="{00000000-0005-0000-0000-000097220000}"/>
    <cellStyle name="표준 22 11" xfId="7520" xr:uid="{00000000-0005-0000-0000-000098220000}"/>
    <cellStyle name="표준 22 11 2" xfId="10043" xr:uid="{00000000-0005-0000-0000-000099220000}"/>
    <cellStyle name="표준 22 12" xfId="8361" xr:uid="{00000000-0005-0000-0000-00009A220000}"/>
    <cellStyle name="표준 22 13" xfId="9203" xr:uid="{00000000-0005-0000-0000-00009B220000}"/>
    <cellStyle name="표준 22 14" xfId="6673" xr:uid="{00000000-0005-0000-0000-00009C220000}"/>
    <cellStyle name="표준 22 2" xfId="5617" xr:uid="{00000000-0005-0000-0000-00009D220000}"/>
    <cellStyle name="표준 22 2 10" xfId="8363" xr:uid="{00000000-0005-0000-0000-00009E220000}"/>
    <cellStyle name="표준 22 2 11" xfId="9205" xr:uid="{00000000-0005-0000-0000-00009F220000}"/>
    <cellStyle name="표준 22 2 12" xfId="6675" xr:uid="{00000000-0005-0000-0000-0000A0220000}"/>
    <cellStyle name="표준 22 2 2" xfId="5618" xr:uid="{00000000-0005-0000-0000-0000A1220000}"/>
    <cellStyle name="표준 22 2 2 10" xfId="6676" xr:uid="{00000000-0005-0000-0000-0000A2220000}"/>
    <cellStyle name="표준 22 2 2 2" xfId="5619" xr:uid="{00000000-0005-0000-0000-0000A3220000}"/>
    <cellStyle name="표준 22 2 2 2 2" xfId="5620" xr:uid="{00000000-0005-0000-0000-0000A4220000}"/>
    <cellStyle name="표준 22 2 2 2 2 2" xfId="5621" xr:uid="{00000000-0005-0000-0000-0000A5220000}"/>
    <cellStyle name="표준 22 2 2 2 2 2 2" xfId="7526" xr:uid="{00000000-0005-0000-0000-0000A6220000}"/>
    <cellStyle name="표준 22 2 2 2 2 2 2 2" xfId="10049" xr:uid="{00000000-0005-0000-0000-0000A7220000}"/>
    <cellStyle name="표준 22 2 2 2 2 2 3" xfId="8367" xr:uid="{00000000-0005-0000-0000-0000A8220000}"/>
    <cellStyle name="표준 22 2 2 2 2 2 4" xfId="9209" xr:uid="{00000000-0005-0000-0000-0000A9220000}"/>
    <cellStyle name="표준 22 2 2 2 2 2 5" xfId="6679" xr:uid="{00000000-0005-0000-0000-0000AA220000}"/>
    <cellStyle name="표준 22 2 2 2 2 3" xfId="5622" xr:uid="{00000000-0005-0000-0000-0000AB220000}"/>
    <cellStyle name="표준 22 2 2 2 2 3 2" xfId="7527" xr:uid="{00000000-0005-0000-0000-0000AC220000}"/>
    <cellStyle name="표준 22 2 2 2 2 3 2 2" xfId="10050" xr:uid="{00000000-0005-0000-0000-0000AD220000}"/>
    <cellStyle name="표준 22 2 2 2 2 3 3" xfId="8368" xr:uid="{00000000-0005-0000-0000-0000AE220000}"/>
    <cellStyle name="표준 22 2 2 2 2 3 4" xfId="9210" xr:uid="{00000000-0005-0000-0000-0000AF220000}"/>
    <cellStyle name="표준 22 2 2 2 2 3 5" xfId="6680" xr:uid="{00000000-0005-0000-0000-0000B0220000}"/>
    <cellStyle name="표준 22 2 2 2 2 4" xfId="5623" xr:uid="{00000000-0005-0000-0000-0000B1220000}"/>
    <cellStyle name="표준 22 2 2 2 2 4 2" xfId="7528" xr:uid="{00000000-0005-0000-0000-0000B2220000}"/>
    <cellStyle name="표준 22 2 2 2 2 4 2 2" xfId="10051" xr:uid="{00000000-0005-0000-0000-0000B3220000}"/>
    <cellStyle name="표준 22 2 2 2 2 4 3" xfId="8369" xr:uid="{00000000-0005-0000-0000-0000B4220000}"/>
    <cellStyle name="표준 22 2 2 2 2 4 4" xfId="9211" xr:uid="{00000000-0005-0000-0000-0000B5220000}"/>
    <cellStyle name="표준 22 2 2 2 2 4 5" xfId="6681" xr:uid="{00000000-0005-0000-0000-0000B6220000}"/>
    <cellStyle name="표준 22 2 2 2 2 5" xfId="7525" xr:uid="{00000000-0005-0000-0000-0000B7220000}"/>
    <cellStyle name="표준 22 2 2 2 2 5 2" xfId="10048" xr:uid="{00000000-0005-0000-0000-0000B8220000}"/>
    <cellStyle name="표준 22 2 2 2 2 6" xfId="8366" xr:uid="{00000000-0005-0000-0000-0000B9220000}"/>
    <cellStyle name="표준 22 2 2 2 2 7" xfId="9208" xr:uid="{00000000-0005-0000-0000-0000BA220000}"/>
    <cellStyle name="표준 22 2 2 2 2 8" xfId="6678" xr:uid="{00000000-0005-0000-0000-0000BB220000}"/>
    <cellStyle name="표준 22 2 2 2 3" xfId="5624" xr:uid="{00000000-0005-0000-0000-0000BC220000}"/>
    <cellStyle name="표준 22 2 2 2 3 2" xfId="7529" xr:uid="{00000000-0005-0000-0000-0000BD220000}"/>
    <cellStyle name="표준 22 2 2 2 3 2 2" xfId="10052" xr:uid="{00000000-0005-0000-0000-0000BE220000}"/>
    <cellStyle name="표준 22 2 2 2 3 3" xfId="8370" xr:uid="{00000000-0005-0000-0000-0000BF220000}"/>
    <cellStyle name="표준 22 2 2 2 3 4" xfId="9212" xr:uid="{00000000-0005-0000-0000-0000C0220000}"/>
    <cellStyle name="표준 22 2 2 2 3 5" xfId="6682" xr:uid="{00000000-0005-0000-0000-0000C1220000}"/>
    <cellStyle name="표준 22 2 2 2 4" xfId="5625" xr:uid="{00000000-0005-0000-0000-0000C2220000}"/>
    <cellStyle name="표준 22 2 2 2 4 2" xfId="7530" xr:uid="{00000000-0005-0000-0000-0000C3220000}"/>
    <cellStyle name="표준 22 2 2 2 4 2 2" xfId="10053" xr:uid="{00000000-0005-0000-0000-0000C4220000}"/>
    <cellStyle name="표준 22 2 2 2 4 3" xfId="8371" xr:uid="{00000000-0005-0000-0000-0000C5220000}"/>
    <cellStyle name="표준 22 2 2 2 4 4" xfId="9213" xr:uid="{00000000-0005-0000-0000-0000C6220000}"/>
    <cellStyle name="표준 22 2 2 2 4 5" xfId="6683" xr:uid="{00000000-0005-0000-0000-0000C7220000}"/>
    <cellStyle name="표준 22 2 2 2 5" xfId="5626" xr:uid="{00000000-0005-0000-0000-0000C8220000}"/>
    <cellStyle name="표준 22 2 2 2 5 2" xfId="7531" xr:uid="{00000000-0005-0000-0000-0000C9220000}"/>
    <cellStyle name="표준 22 2 2 2 5 2 2" xfId="10054" xr:uid="{00000000-0005-0000-0000-0000CA220000}"/>
    <cellStyle name="표준 22 2 2 2 5 3" xfId="8372" xr:uid="{00000000-0005-0000-0000-0000CB220000}"/>
    <cellStyle name="표준 22 2 2 2 5 4" xfId="9214" xr:uid="{00000000-0005-0000-0000-0000CC220000}"/>
    <cellStyle name="표준 22 2 2 2 5 5" xfId="6684" xr:uid="{00000000-0005-0000-0000-0000CD220000}"/>
    <cellStyle name="표준 22 2 2 2 6" xfId="7524" xr:uid="{00000000-0005-0000-0000-0000CE220000}"/>
    <cellStyle name="표준 22 2 2 2 6 2" xfId="10047" xr:uid="{00000000-0005-0000-0000-0000CF220000}"/>
    <cellStyle name="표준 22 2 2 2 7" xfId="8365" xr:uid="{00000000-0005-0000-0000-0000D0220000}"/>
    <cellStyle name="표준 22 2 2 2 8" xfId="9207" xr:uid="{00000000-0005-0000-0000-0000D1220000}"/>
    <cellStyle name="표준 22 2 2 2 9" xfId="6677" xr:uid="{00000000-0005-0000-0000-0000D2220000}"/>
    <cellStyle name="표준 22 2 2 3" xfId="5627" xr:uid="{00000000-0005-0000-0000-0000D3220000}"/>
    <cellStyle name="표준 22 2 2 3 2" xfId="5628" xr:uid="{00000000-0005-0000-0000-0000D4220000}"/>
    <cellStyle name="표준 22 2 2 3 2 2" xfId="7533" xr:uid="{00000000-0005-0000-0000-0000D5220000}"/>
    <cellStyle name="표준 22 2 2 3 2 2 2" xfId="10056" xr:uid="{00000000-0005-0000-0000-0000D6220000}"/>
    <cellStyle name="표준 22 2 2 3 2 3" xfId="8374" xr:uid="{00000000-0005-0000-0000-0000D7220000}"/>
    <cellStyle name="표준 22 2 2 3 2 4" xfId="9216" xr:uid="{00000000-0005-0000-0000-0000D8220000}"/>
    <cellStyle name="표준 22 2 2 3 2 5" xfId="6686" xr:uid="{00000000-0005-0000-0000-0000D9220000}"/>
    <cellStyle name="표준 22 2 2 3 3" xfId="5629" xr:uid="{00000000-0005-0000-0000-0000DA220000}"/>
    <cellStyle name="표준 22 2 2 3 3 2" xfId="7534" xr:uid="{00000000-0005-0000-0000-0000DB220000}"/>
    <cellStyle name="표준 22 2 2 3 3 2 2" xfId="10057" xr:uid="{00000000-0005-0000-0000-0000DC220000}"/>
    <cellStyle name="표준 22 2 2 3 3 3" xfId="8375" xr:uid="{00000000-0005-0000-0000-0000DD220000}"/>
    <cellStyle name="표준 22 2 2 3 3 4" xfId="9217" xr:uid="{00000000-0005-0000-0000-0000DE220000}"/>
    <cellStyle name="표준 22 2 2 3 3 5" xfId="6687" xr:uid="{00000000-0005-0000-0000-0000DF220000}"/>
    <cellStyle name="표준 22 2 2 3 4" xfId="5630" xr:uid="{00000000-0005-0000-0000-0000E0220000}"/>
    <cellStyle name="표준 22 2 2 3 4 2" xfId="7535" xr:uid="{00000000-0005-0000-0000-0000E1220000}"/>
    <cellStyle name="표준 22 2 2 3 4 2 2" xfId="10058" xr:uid="{00000000-0005-0000-0000-0000E2220000}"/>
    <cellStyle name="표준 22 2 2 3 4 3" xfId="8376" xr:uid="{00000000-0005-0000-0000-0000E3220000}"/>
    <cellStyle name="표준 22 2 2 3 4 4" xfId="9218" xr:uid="{00000000-0005-0000-0000-0000E4220000}"/>
    <cellStyle name="표준 22 2 2 3 4 5" xfId="6688" xr:uid="{00000000-0005-0000-0000-0000E5220000}"/>
    <cellStyle name="표준 22 2 2 3 5" xfId="7532" xr:uid="{00000000-0005-0000-0000-0000E6220000}"/>
    <cellStyle name="표준 22 2 2 3 5 2" xfId="10055" xr:uid="{00000000-0005-0000-0000-0000E7220000}"/>
    <cellStyle name="표준 22 2 2 3 6" xfId="8373" xr:uid="{00000000-0005-0000-0000-0000E8220000}"/>
    <cellStyle name="표준 22 2 2 3 7" xfId="9215" xr:uid="{00000000-0005-0000-0000-0000E9220000}"/>
    <cellStyle name="표준 22 2 2 3 8" xfId="6685" xr:uid="{00000000-0005-0000-0000-0000EA220000}"/>
    <cellStyle name="표준 22 2 2 4" xfId="5631" xr:uid="{00000000-0005-0000-0000-0000EB220000}"/>
    <cellStyle name="표준 22 2 2 4 2" xfId="7536" xr:uid="{00000000-0005-0000-0000-0000EC220000}"/>
    <cellStyle name="표준 22 2 2 4 2 2" xfId="10059" xr:uid="{00000000-0005-0000-0000-0000ED220000}"/>
    <cellStyle name="표준 22 2 2 4 3" xfId="8377" xr:uid="{00000000-0005-0000-0000-0000EE220000}"/>
    <cellStyle name="표준 22 2 2 4 4" xfId="9219" xr:uid="{00000000-0005-0000-0000-0000EF220000}"/>
    <cellStyle name="표준 22 2 2 4 5" xfId="6689" xr:uid="{00000000-0005-0000-0000-0000F0220000}"/>
    <cellStyle name="표준 22 2 2 5" xfId="5632" xr:uid="{00000000-0005-0000-0000-0000F1220000}"/>
    <cellStyle name="표준 22 2 2 5 2" xfId="7537" xr:uid="{00000000-0005-0000-0000-0000F2220000}"/>
    <cellStyle name="표준 22 2 2 5 2 2" xfId="10060" xr:uid="{00000000-0005-0000-0000-0000F3220000}"/>
    <cellStyle name="표준 22 2 2 5 3" xfId="8378" xr:uid="{00000000-0005-0000-0000-0000F4220000}"/>
    <cellStyle name="표준 22 2 2 5 4" xfId="9220" xr:uid="{00000000-0005-0000-0000-0000F5220000}"/>
    <cellStyle name="표준 22 2 2 5 5" xfId="6690" xr:uid="{00000000-0005-0000-0000-0000F6220000}"/>
    <cellStyle name="표준 22 2 2 6" xfId="5633" xr:uid="{00000000-0005-0000-0000-0000F7220000}"/>
    <cellStyle name="표준 22 2 2 6 2" xfId="7538" xr:uid="{00000000-0005-0000-0000-0000F8220000}"/>
    <cellStyle name="표준 22 2 2 6 2 2" xfId="10061" xr:uid="{00000000-0005-0000-0000-0000F9220000}"/>
    <cellStyle name="표준 22 2 2 6 3" xfId="8379" xr:uid="{00000000-0005-0000-0000-0000FA220000}"/>
    <cellStyle name="표준 22 2 2 6 4" xfId="9221" xr:uid="{00000000-0005-0000-0000-0000FB220000}"/>
    <cellStyle name="표준 22 2 2 6 5" xfId="6691" xr:uid="{00000000-0005-0000-0000-0000FC220000}"/>
    <cellStyle name="표준 22 2 2 7" xfId="7523" xr:uid="{00000000-0005-0000-0000-0000FD220000}"/>
    <cellStyle name="표준 22 2 2 7 2" xfId="10046" xr:uid="{00000000-0005-0000-0000-0000FE220000}"/>
    <cellStyle name="표준 22 2 2 8" xfId="8364" xr:uid="{00000000-0005-0000-0000-0000FF220000}"/>
    <cellStyle name="표준 22 2 2 9" xfId="9206" xr:uid="{00000000-0005-0000-0000-000000230000}"/>
    <cellStyle name="표준 22 2 3" xfId="5634" xr:uid="{00000000-0005-0000-0000-000001230000}"/>
    <cellStyle name="표준 22 2 3 10" xfId="6692" xr:uid="{00000000-0005-0000-0000-000002230000}"/>
    <cellStyle name="표준 22 2 3 2" xfId="5635" xr:uid="{00000000-0005-0000-0000-000003230000}"/>
    <cellStyle name="표준 22 2 3 2 2" xfId="5636" xr:uid="{00000000-0005-0000-0000-000004230000}"/>
    <cellStyle name="표준 22 2 3 2 2 2" xfId="5637" xr:uid="{00000000-0005-0000-0000-000005230000}"/>
    <cellStyle name="표준 22 2 3 2 2 2 2" xfId="7542" xr:uid="{00000000-0005-0000-0000-000006230000}"/>
    <cellStyle name="표준 22 2 3 2 2 2 2 2" xfId="10065" xr:uid="{00000000-0005-0000-0000-000007230000}"/>
    <cellStyle name="표준 22 2 3 2 2 2 3" xfId="8383" xr:uid="{00000000-0005-0000-0000-000008230000}"/>
    <cellStyle name="표준 22 2 3 2 2 2 4" xfId="9225" xr:uid="{00000000-0005-0000-0000-000009230000}"/>
    <cellStyle name="표준 22 2 3 2 2 2 5" xfId="6695" xr:uid="{00000000-0005-0000-0000-00000A230000}"/>
    <cellStyle name="표준 22 2 3 2 2 3" xfId="5638" xr:uid="{00000000-0005-0000-0000-00000B230000}"/>
    <cellStyle name="표준 22 2 3 2 2 3 2" xfId="7543" xr:uid="{00000000-0005-0000-0000-00000C230000}"/>
    <cellStyle name="표준 22 2 3 2 2 3 2 2" xfId="10066" xr:uid="{00000000-0005-0000-0000-00000D230000}"/>
    <cellStyle name="표준 22 2 3 2 2 3 3" xfId="8384" xr:uid="{00000000-0005-0000-0000-00000E230000}"/>
    <cellStyle name="표준 22 2 3 2 2 3 4" xfId="9226" xr:uid="{00000000-0005-0000-0000-00000F230000}"/>
    <cellStyle name="표준 22 2 3 2 2 3 5" xfId="6696" xr:uid="{00000000-0005-0000-0000-000010230000}"/>
    <cellStyle name="표준 22 2 3 2 2 4" xfId="5639" xr:uid="{00000000-0005-0000-0000-000011230000}"/>
    <cellStyle name="표준 22 2 3 2 2 4 2" xfId="7544" xr:uid="{00000000-0005-0000-0000-000012230000}"/>
    <cellStyle name="표준 22 2 3 2 2 4 2 2" xfId="10067" xr:uid="{00000000-0005-0000-0000-000013230000}"/>
    <cellStyle name="표준 22 2 3 2 2 4 3" xfId="8385" xr:uid="{00000000-0005-0000-0000-000014230000}"/>
    <cellStyle name="표준 22 2 3 2 2 4 4" xfId="9227" xr:uid="{00000000-0005-0000-0000-000015230000}"/>
    <cellStyle name="표준 22 2 3 2 2 4 5" xfId="6697" xr:uid="{00000000-0005-0000-0000-000016230000}"/>
    <cellStyle name="표준 22 2 3 2 2 5" xfId="7541" xr:uid="{00000000-0005-0000-0000-000017230000}"/>
    <cellStyle name="표준 22 2 3 2 2 5 2" xfId="10064" xr:uid="{00000000-0005-0000-0000-000018230000}"/>
    <cellStyle name="표준 22 2 3 2 2 6" xfId="8382" xr:uid="{00000000-0005-0000-0000-000019230000}"/>
    <cellStyle name="표준 22 2 3 2 2 7" xfId="9224" xr:uid="{00000000-0005-0000-0000-00001A230000}"/>
    <cellStyle name="표준 22 2 3 2 2 8" xfId="6694" xr:uid="{00000000-0005-0000-0000-00001B230000}"/>
    <cellStyle name="표준 22 2 3 2 3" xfId="5640" xr:uid="{00000000-0005-0000-0000-00001C230000}"/>
    <cellStyle name="표준 22 2 3 2 3 2" xfId="7545" xr:uid="{00000000-0005-0000-0000-00001D230000}"/>
    <cellStyle name="표준 22 2 3 2 3 2 2" xfId="10068" xr:uid="{00000000-0005-0000-0000-00001E230000}"/>
    <cellStyle name="표준 22 2 3 2 3 3" xfId="8386" xr:uid="{00000000-0005-0000-0000-00001F230000}"/>
    <cellStyle name="표준 22 2 3 2 3 4" xfId="9228" xr:uid="{00000000-0005-0000-0000-000020230000}"/>
    <cellStyle name="표준 22 2 3 2 3 5" xfId="6698" xr:uid="{00000000-0005-0000-0000-000021230000}"/>
    <cellStyle name="표준 22 2 3 2 4" xfId="5641" xr:uid="{00000000-0005-0000-0000-000022230000}"/>
    <cellStyle name="표준 22 2 3 2 4 2" xfId="7546" xr:uid="{00000000-0005-0000-0000-000023230000}"/>
    <cellStyle name="표준 22 2 3 2 4 2 2" xfId="10069" xr:uid="{00000000-0005-0000-0000-000024230000}"/>
    <cellStyle name="표준 22 2 3 2 4 3" xfId="8387" xr:uid="{00000000-0005-0000-0000-000025230000}"/>
    <cellStyle name="표준 22 2 3 2 4 4" xfId="9229" xr:uid="{00000000-0005-0000-0000-000026230000}"/>
    <cellStyle name="표준 22 2 3 2 4 5" xfId="6699" xr:uid="{00000000-0005-0000-0000-000027230000}"/>
    <cellStyle name="표준 22 2 3 2 5" xfId="5642" xr:uid="{00000000-0005-0000-0000-000028230000}"/>
    <cellStyle name="표준 22 2 3 2 5 2" xfId="7547" xr:uid="{00000000-0005-0000-0000-000029230000}"/>
    <cellStyle name="표준 22 2 3 2 5 2 2" xfId="10070" xr:uid="{00000000-0005-0000-0000-00002A230000}"/>
    <cellStyle name="표준 22 2 3 2 5 3" xfId="8388" xr:uid="{00000000-0005-0000-0000-00002B230000}"/>
    <cellStyle name="표준 22 2 3 2 5 4" xfId="9230" xr:uid="{00000000-0005-0000-0000-00002C230000}"/>
    <cellStyle name="표준 22 2 3 2 5 5" xfId="6700" xr:uid="{00000000-0005-0000-0000-00002D230000}"/>
    <cellStyle name="표준 22 2 3 2 6" xfId="7540" xr:uid="{00000000-0005-0000-0000-00002E230000}"/>
    <cellStyle name="표준 22 2 3 2 6 2" xfId="10063" xr:uid="{00000000-0005-0000-0000-00002F230000}"/>
    <cellStyle name="표준 22 2 3 2 7" xfId="8381" xr:uid="{00000000-0005-0000-0000-000030230000}"/>
    <cellStyle name="표준 22 2 3 2 8" xfId="9223" xr:uid="{00000000-0005-0000-0000-000031230000}"/>
    <cellStyle name="표준 22 2 3 2 9" xfId="6693" xr:uid="{00000000-0005-0000-0000-000032230000}"/>
    <cellStyle name="표준 22 2 3 3" xfId="5643" xr:uid="{00000000-0005-0000-0000-000033230000}"/>
    <cellStyle name="표준 22 2 3 3 2" xfId="5644" xr:uid="{00000000-0005-0000-0000-000034230000}"/>
    <cellStyle name="표준 22 2 3 3 2 2" xfId="7549" xr:uid="{00000000-0005-0000-0000-000035230000}"/>
    <cellStyle name="표준 22 2 3 3 2 2 2" xfId="10072" xr:uid="{00000000-0005-0000-0000-000036230000}"/>
    <cellStyle name="표준 22 2 3 3 2 3" xfId="8390" xr:uid="{00000000-0005-0000-0000-000037230000}"/>
    <cellStyle name="표준 22 2 3 3 2 4" xfId="9232" xr:uid="{00000000-0005-0000-0000-000038230000}"/>
    <cellStyle name="표준 22 2 3 3 2 5" xfId="6702" xr:uid="{00000000-0005-0000-0000-000039230000}"/>
    <cellStyle name="표준 22 2 3 3 3" xfId="5645" xr:uid="{00000000-0005-0000-0000-00003A230000}"/>
    <cellStyle name="표준 22 2 3 3 3 2" xfId="7550" xr:uid="{00000000-0005-0000-0000-00003B230000}"/>
    <cellStyle name="표준 22 2 3 3 3 2 2" xfId="10073" xr:uid="{00000000-0005-0000-0000-00003C230000}"/>
    <cellStyle name="표준 22 2 3 3 3 3" xfId="8391" xr:uid="{00000000-0005-0000-0000-00003D230000}"/>
    <cellStyle name="표준 22 2 3 3 3 4" xfId="9233" xr:uid="{00000000-0005-0000-0000-00003E230000}"/>
    <cellStyle name="표준 22 2 3 3 3 5" xfId="6703" xr:uid="{00000000-0005-0000-0000-00003F230000}"/>
    <cellStyle name="표준 22 2 3 3 4" xfId="5646" xr:uid="{00000000-0005-0000-0000-000040230000}"/>
    <cellStyle name="표준 22 2 3 3 4 2" xfId="7551" xr:uid="{00000000-0005-0000-0000-000041230000}"/>
    <cellStyle name="표준 22 2 3 3 4 2 2" xfId="10074" xr:uid="{00000000-0005-0000-0000-000042230000}"/>
    <cellStyle name="표준 22 2 3 3 4 3" xfId="8392" xr:uid="{00000000-0005-0000-0000-000043230000}"/>
    <cellStyle name="표준 22 2 3 3 4 4" xfId="9234" xr:uid="{00000000-0005-0000-0000-000044230000}"/>
    <cellStyle name="표준 22 2 3 3 4 5" xfId="6704" xr:uid="{00000000-0005-0000-0000-000045230000}"/>
    <cellStyle name="표준 22 2 3 3 5" xfId="7548" xr:uid="{00000000-0005-0000-0000-000046230000}"/>
    <cellStyle name="표준 22 2 3 3 5 2" xfId="10071" xr:uid="{00000000-0005-0000-0000-000047230000}"/>
    <cellStyle name="표준 22 2 3 3 6" xfId="8389" xr:uid="{00000000-0005-0000-0000-000048230000}"/>
    <cellStyle name="표준 22 2 3 3 7" xfId="9231" xr:uid="{00000000-0005-0000-0000-000049230000}"/>
    <cellStyle name="표준 22 2 3 3 8" xfId="6701" xr:uid="{00000000-0005-0000-0000-00004A230000}"/>
    <cellStyle name="표준 22 2 3 4" xfId="5647" xr:uid="{00000000-0005-0000-0000-00004B230000}"/>
    <cellStyle name="표준 22 2 3 4 2" xfId="7552" xr:uid="{00000000-0005-0000-0000-00004C230000}"/>
    <cellStyle name="표준 22 2 3 4 2 2" xfId="10075" xr:uid="{00000000-0005-0000-0000-00004D230000}"/>
    <cellStyle name="표준 22 2 3 4 3" xfId="8393" xr:uid="{00000000-0005-0000-0000-00004E230000}"/>
    <cellStyle name="표준 22 2 3 4 4" xfId="9235" xr:uid="{00000000-0005-0000-0000-00004F230000}"/>
    <cellStyle name="표준 22 2 3 4 5" xfId="6705" xr:uid="{00000000-0005-0000-0000-000050230000}"/>
    <cellStyle name="표준 22 2 3 5" xfId="5648" xr:uid="{00000000-0005-0000-0000-000051230000}"/>
    <cellStyle name="표준 22 2 3 5 2" xfId="7553" xr:uid="{00000000-0005-0000-0000-000052230000}"/>
    <cellStyle name="표준 22 2 3 5 2 2" xfId="10076" xr:uid="{00000000-0005-0000-0000-000053230000}"/>
    <cellStyle name="표준 22 2 3 5 3" xfId="8394" xr:uid="{00000000-0005-0000-0000-000054230000}"/>
    <cellStyle name="표준 22 2 3 5 4" xfId="9236" xr:uid="{00000000-0005-0000-0000-000055230000}"/>
    <cellStyle name="표준 22 2 3 5 5" xfId="6706" xr:uid="{00000000-0005-0000-0000-000056230000}"/>
    <cellStyle name="표준 22 2 3 6" xfId="5649" xr:uid="{00000000-0005-0000-0000-000057230000}"/>
    <cellStyle name="표준 22 2 3 6 2" xfId="7554" xr:uid="{00000000-0005-0000-0000-000058230000}"/>
    <cellStyle name="표준 22 2 3 6 2 2" xfId="10077" xr:uid="{00000000-0005-0000-0000-000059230000}"/>
    <cellStyle name="표준 22 2 3 6 3" xfId="8395" xr:uid="{00000000-0005-0000-0000-00005A230000}"/>
    <cellStyle name="표준 22 2 3 6 4" xfId="9237" xr:uid="{00000000-0005-0000-0000-00005B230000}"/>
    <cellStyle name="표준 22 2 3 6 5" xfId="6707" xr:uid="{00000000-0005-0000-0000-00005C230000}"/>
    <cellStyle name="표준 22 2 3 7" xfId="7539" xr:uid="{00000000-0005-0000-0000-00005D230000}"/>
    <cellStyle name="표준 22 2 3 7 2" xfId="10062" xr:uid="{00000000-0005-0000-0000-00005E230000}"/>
    <cellStyle name="표준 22 2 3 8" xfId="8380" xr:uid="{00000000-0005-0000-0000-00005F230000}"/>
    <cellStyle name="표준 22 2 3 9" xfId="9222" xr:uid="{00000000-0005-0000-0000-000060230000}"/>
    <cellStyle name="표준 22 2 4" xfId="5650" xr:uid="{00000000-0005-0000-0000-000061230000}"/>
    <cellStyle name="표준 22 2 4 2" xfId="5651" xr:uid="{00000000-0005-0000-0000-000062230000}"/>
    <cellStyle name="표준 22 2 4 2 2" xfId="5652" xr:uid="{00000000-0005-0000-0000-000063230000}"/>
    <cellStyle name="표준 22 2 4 2 2 2" xfId="7557" xr:uid="{00000000-0005-0000-0000-000064230000}"/>
    <cellStyle name="표준 22 2 4 2 2 2 2" xfId="10080" xr:uid="{00000000-0005-0000-0000-000065230000}"/>
    <cellStyle name="표준 22 2 4 2 2 3" xfId="8398" xr:uid="{00000000-0005-0000-0000-000066230000}"/>
    <cellStyle name="표준 22 2 4 2 2 4" xfId="9240" xr:uid="{00000000-0005-0000-0000-000067230000}"/>
    <cellStyle name="표준 22 2 4 2 2 5" xfId="6710" xr:uid="{00000000-0005-0000-0000-000068230000}"/>
    <cellStyle name="표준 22 2 4 2 3" xfId="5653" xr:uid="{00000000-0005-0000-0000-000069230000}"/>
    <cellStyle name="표준 22 2 4 2 3 2" xfId="7558" xr:uid="{00000000-0005-0000-0000-00006A230000}"/>
    <cellStyle name="표준 22 2 4 2 3 2 2" xfId="10081" xr:uid="{00000000-0005-0000-0000-00006B230000}"/>
    <cellStyle name="표준 22 2 4 2 3 3" xfId="8399" xr:uid="{00000000-0005-0000-0000-00006C230000}"/>
    <cellStyle name="표준 22 2 4 2 3 4" xfId="9241" xr:uid="{00000000-0005-0000-0000-00006D230000}"/>
    <cellStyle name="표준 22 2 4 2 3 5" xfId="6711" xr:uid="{00000000-0005-0000-0000-00006E230000}"/>
    <cellStyle name="표준 22 2 4 2 4" xfId="5654" xr:uid="{00000000-0005-0000-0000-00006F230000}"/>
    <cellStyle name="표준 22 2 4 2 4 2" xfId="7559" xr:uid="{00000000-0005-0000-0000-000070230000}"/>
    <cellStyle name="표준 22 2 4 2 4 2 2" xfId="10082" xr:uid="{00000000-0005-0000-0000-000071230000}"/>
    <cellStyle name="표준 22 2 4 2 4 3" xfId="8400" xr:uid="{00000000-0005-0000-0000-000072230000}"/>
    <cellStyle name="표준 22 2 4 2 4 4" xfId="9242" xr:uid="{00000000-0005-0000-0000-000073230000}"/>
    <cellStyle name="표준 22 2 4 2 4 5" xfId="6712" xr:uid="{00000000-0005-0000-0000-000074230000}"/>
    <cellStyle name="표준 22 2 4 2 5" xfId="7556" xr:uid="{00000000-0005-0000-0000-000075230000}"/>
    <cellStyle name="표준 22 2 4 2 5 2" xfId="10079" xr:uid="{00000000-0005-0000-0000-000076230000}"/>
    <cellStyle name="표준 22 2 4 2 6" xfId="8397" xr:uid="{00000000-0005-0000-0000-000077230000}"/>
    <cellStyle name="표준 22 2 4 2 7" xfId="9239" xr:uid="{00000000-0005-0000-0000-000078230000}"/>
    <cellStyle name="표준 22 2 4 2 8" xfId="6709" xr:uid="{00000000-0005-0000-0000-000079230000}"/>
    <cellStyle name="표준 22 2 4 3" xfId="5655" xr:uid="{00000000-0005-0000-0000-00007A230000}"/>
    <cellStyle name="표준 22 2 4 3 2" xfId="7560" xr:uid="{00000000-0005-0000-0000-00007B230000}"/>
    <cellStyle name="표준 22 2 4 3 2 2" xfId="10083" xr:uid="{00000000-0005-0000-0000-00007C230000}"/>
    <cellStyle name="표준 22 2 4 3 3" xfId="8401" xr:uid="{00000000-0005-0000-0000-00007D230000}"/>
    <cellStyle name="표준 22 2 4 3 4" xfId="9243" xr:uid="{00000000-0005-0000-0000-00007E230000}"/>
    <cellStyle name="표준 22 2 4 3 5" xfId="6713" xr:uid="{00000000-0005-0000-0000-00007F230000}"/>
    <cellStyle name="표준 22 2 4 4" xfId="5656" xr:uid="{00000000-0005-0000-0000-000080230000}"/>
    <cellStyle name="표준 22 2 4 4 2" xfId="7561" xr:uid="{00000000-0005-0000-0000-000081230000}"/>
    <cellStyle name="표준 22 2 4 4 2 2" xfId="10084" xr:uid="{00000000-0005-0000-0000-000082230000}"/>
    <cellStyle name="표준 22 2 4 4 3" xfId="8402" xr:uid="{00000000-0005-0000-0000-000083230000}"/>
    <cellStyle name="표준 22 2 4 4 4" xfId="9244" xr:uid="{00000000-0005-0000-0000-000084230000}"/>
    <cellStyle name="표준 22 2 4 4 5" xfId="6714" xr:uid="{00000000-0005-0000-0000-000085230000}"/>
    <cellStyle name="표준 22 2 4 5" xfId="5657" xr:uid="{00000000-0005-0000-0000-000086230000}"/>
    <cellStyle name="표준 22 2 4 5 2" xfId="7562" xr:uid="{00000000-0005-0000-0000-000087230000}"/>
    <cellStyle name="표준 22 2 4 5 2 2" xfId="10085" xr:uid="{00000000-0005-0000-0000-000088230000}"/>
    <cellStyle name="표준 22 2 4 5 3" xfId="8403" xr:uid="{00000000-0005-0000-0000-000089230000}"/>
    <cellStyle name="표준 22 2 4 5 4" xfId="9245" xr:uid="{00000000-0005-0000-0000-00008A230000}"/>
    <cellStyle name="표준 22 2 4 5 5" xfId="6715" xr:uid="{00000000-0005-0000-0000-00008B230000}"/>
    <cellStyle name="표준 22 2 4 6" xfId="7555" xr:uid="{00000000-0005-0000-0000-00008C230000}"/>
    <cellStyle name="표준 22 2 4 6 2" xfId="10078" xr:uid="{00000000-0005-0000-0000-00008D230000}"/>
    <cellStyle name="표준 22 2 4 7" xfId="8396" xr:uid="{00000000-0005-0000-0000-00008E230000}"/>
    <cellStyle name="표준 22 2 4 8" xfId="9238" xr:uid="{00000000-0005-0000-0000-00008F230000}"/>
    <cellStyle name="표준 22 2 4 9" xfId="6708" xr:uid="{00000000-0005-0000-0000-000090230000}"/>
    <cellStyle name="표준 22 2 5" xfId="5658" xr:uid="{00000000-0005-0000-0000-000091230000}"/>
    <cellStyle name="표준 22 2 5 2" xfId="5659" xr:uid="{00000000-0005-0000-0000-000092230000}"/>
    <cellStyle name="표준 22 2 5 2 2" xfId="7564" xr:uid="{00000000-0005-0000-0000-000093230000}"/>
    <cellStyle name="표준 22 2 5 2 2 2" xfId="10087" xr:uid="{00000000-0005-0000-0000-000094230000}"/>
    <cellStyle name="표준 22 2 5 2 3" xfId="8405" xr:uid="{00000000-0005-0000-0000-000095230000}"/>
    <cellStyle name="표준 22 2 5 2 4" xfId="9247" xr:uid="{00000000-0005-0000-0000-000096230000}"/>
    <cellStyle name="표준 22 2 5 2 5" xfId="6717" xr:uid="{00000000-0005-0000-0000-000097230000}"/>
    <cellStyle name="표준 22 2 5 3" xfId="5660" xr:uid="{00000000-0005-0000-0000-000098230000}"/>
    <cellStyle name="표준 22 2 5 3 2" xfId="7565" xr:uid="{00000000-0005-0000-0000-000099230000}"/>
    <cellStyle name="표준 22 2 5 3 2 2" xfId="10088" xr:uid="{00000000-0005-0000-0000-00009A230000}"/>
    <cellStyle name="표준 22 2 5 3 3" xfId="8406" xr:uid="{00000000-0005-0000-0000-00009B230000}"/>
    <cellStyle name="표준 22 2 5 3 4" xfId="9248" xr:uid="{00000000-0005-0000-0000-00009C230000}"/>
    <cellStyle name="표준 22 2 5 3 5" xfId="6718" xr:uid="{00000000-0005-0000-0000-00009D230000}"/>
    <cellStyle name="표준 22 2 5 4" xfId="5661" xr:uid="{00000000-0005-0000-0000-00009E230000}"/>
    <cellStyle name="표준 22 2 5 4 2" xfId="7566" xr:uid="{00000000-0005-0000-0000-00009F230000}"/>
    <cellStyle name="표준 22 2 5 4 2 2" xfId="10089" xr:uid="{00000000-0005-0000-0000-0000A0230000}"/>
    <cellStyle name="표준 22 2 5 4 3" xfId="8407" xr:uid="{00000000-0005-0000-0000-0000A1230000}"/>
    <cellStyle name="표준 22 2 5 4 4" xfId="9249" xr:uid="{00000000-0005-0000-0000-0000A2230000}"/>
    <cellStyle name="표준 22 2 5 4 5" xfId="6719" xr:uid="{00000000-0005-0000-0000-0000A3230000}"/>
    <cellStyle name="표준 22 2 5 5" xfId="7563" xr:uid="{00000000-0005-0000-0000-0000A4230000}"/>
    <cellStyle name="표준 22 2 5 5 2" xfId="10086" xr:uid="{00000000-0005-0000-0000-0000A5230000}"/>
    <cellStyle name="표준 22 2 5 6" xfId="8404" xr:uid="{00000000-0005-0000-0000-0000A6230000}"/>
    <cellStyle name="표준 22 2 5 7" xfId="9246" xr:uid="{00000000-0005-0000-0000-0000A7230000}"/>
    <cellStyle name="표준 22 2 5 8" xfId="6716" xr:uid="{00000000-0005-0000-0000-0000A8230000}"/>
    <cellStyle name="표준 22 2 6" xfId="5662" xr:uid="{00000000-0005-0000-0000-0000A9230000}"/>
    <cellStyle name="표준 22 2 6 2" xfId="7567" xr:uid="{00000000-0005-0000-0000-0000AA230000}"/>
    <cellStyle name="표준 22 2 6 2 2" xfId="10090" xr:uid="{00000000-0005-0000-0000-0000AB230000}"/>
    <cellStyle name="표준 22 2 6 3" xfId="8408" xr:uid="{00000000-0005-0000-0000-0000AC230000}"/>
    <cellStyle name="표준 22 2 6 4" xfId="9250" xr:uid="{00000000-0005-0000-0000-0000AD230000}"/>
    <cellStyle name="표준 22 2 6 5" xfId="6720" xr:uid="{00000000-0005-0000-0000-0000AE230000}"/>
    <cellStyle name="표준 22 2 7" xfId="5663" xr:uid="{00000000-0005-0000-0000-0000AF230000}"/>
    <cellStyle name="표준 22 2 7 2" xfId="7568" xr:uid="{00000000-0005-0000-0000-0000B0230000}"/>
    <cellStyle name="표준 22 2 7 2 2" xfId="10091" xr:uid="{00000000-0005-0000-0000-0000B1230000}"/>
    <cellStyle name="표준 22 2 7 3" xfId="8409" xr:uid="{00000000-0005-0000-0000-0000B2230000}"/>
    <cellStyle name="표준 22 2 7 4" xfId="9251" xr:uid="{00000000-0005-0000-0000-0000B3230000}"/>
    <cellStyle name="표준 22 2 7 5" xfId="6721" xr:uid="{00000000-0005-0000-0000-0000B4230000}"/>
    <cellStyle name="표준 22 2 8" xfId="5664" xr:uid="{00000000-0005-0000-0000-0000B5230000}"/>
    <cellStyle name="표준 22 2 8 2" xfId="7569" xr:uid="{00000000-0005-0000-0000-0000B6230000}"/>
    <cellStyle name="표준 22 2 8 2 2" xfId="10092" xr:uid="{00000000-0005-0000-0000-0000B7230000}"/>
    <cellStyle name="표준 22 2 8 3" xfId="8410" xr:uid="{00000000-0005-0000-0000-0000B8230000}"/>
    <cellStyle name="표준 22 2 8 4" xfId="9252" xr:uid="{00000000-0005-0000-0000-0000B9230000}"/>
    <cellStyle name="표준 22 2 8 5" xfId="6722" xr:uid="{00000000-0005-0000-0000-0000BA230000}"/>
    <cellStyle name="표준 22 2 9" xfId="7522" xr:uid="{00000000-0005-0000-0000-0000BB230000}"/>
    <cellStyle name="표준 22 2 9 2" xfId="10045" xr:uid="{00000000-0005-0000-0000-0000BC230000}"/>
    <cellStyle name="표준 22 3" xfId="5665" xr:uid="{00000000-0005-0000-0000-0000BD230000}"/>
    <cellStyle name="표준 22 3 10" xfId="8411" xr:uid="{00000000-0005-0000-0000-0000BE230000}"/>
    <cellStyle name="표준 22 3 11" xfId="9253" xr:uid="{00000000-0005-0000-0000-0000BF230000}"/>
    <cellStyle name="표준 22 3 12" xfId="6723" xr:uid="{00000000-0005-0000-0000-0000C0230000}"/>
    <cellStyle name="표준 22 3 2" xfId="5666" xr:uid="{00000000-0005-0000-0000-0000C1230000}"/>
    <cellStyle name="표준 22 3 2 10" xfId="6724" xr:uid="{00000000-0005-0000-0000-0000C2230000}"/>
    <cellStyle name="표준 22 3 2 2" xfId="5667" xr:uid="{00000000-0005-0000-0000-0000C3230000}"/>
    <cellStyle name="표준 22 3 2 2 2" xfId="5668" xr:uid="{00000000-0005-0000-0000-0000C4230000}"/>
    <cellStyle name="표준 22 3 2 2 2 2" xfId="5669" xr:uid="{00000000-0005-0000-0000-0000C5230000}"/>
    <cellStyle name="표준 22 3 2 2 2 2 2" xfId="7574" xr:uid="{00000000-0005-0000-0000-0000C6230000}"/>
    <cellStyle name="표준 22 3 2 2 2 2 2 2" xfId="10097" xr:uid="{00000000-0005-0000-0000-0000C7230000}"/>
    <cellStyle name="표준 22 3 2 2 2 2 3" xfId="8415" xr:uid="{00000000-0005-0000-0000-0000C8230000}"/>
    <cellStyle name="표준 22 3 2 2 2 2 4" xfId="9257" xr:uid="{00000000-0005-0000-0000-0000C9230000}"/>
    <cellStyle name="표준 22 3 2 2 2 2 5" xfId="6727" xr:uid="{00000000-0005-0000-0000-0000CA230000}"/>
    <cellStyle name="표준 22 3 2 2 2 3" xfId="5670" xr:uid="{00000000-0005-0000-0000-0000CB230000}"/>
    <cellStyle name="표준 22 3 2 2 2 3 2" xfId="7575" xr:uid="{00000000-0005-0000-0000-0000CC230000}"/>
    <cellStyle name="표준 22 3 2 2 2 3 2 2" xfId="10098" xr:uid="{00000000-0005-0000-0000-0000CD230000}"/>
    <cellStyle name="표준 22 3 2 2 2 3 3" xfId="8416" xr:uid="{00000000-0005-0000-0000-0000CE230000}"/>
    <cellStyle name="표준 22 3 2 2 2 3 4" xfId="9258" xr:uid="{00000000-0005-0000-0000-0000CF230000}"/>
    <cellStyle name="표준 22 3 2 2 2 3 5" xfId="6728" xr:uid="{00000000-0005-0000-0000-0000D0230000}"/>
    <cellStyle name="표준 22 3 2 2 2 4" xfId="5671" xr:uid="{00000000-0005-0000-0000-0000D1230000}"/>
    <cellStyle name="표준 22 3 2 2 2 4 2" xfId="7576" xr:uid="{00000000-0005-0000-0000-0000D2230000}"/>
    <cellStyle name="표준 22 3 2 2 2 4 2 2" xfId="10099" xr:uid="{00000000-0005-0000-0000-0000D3230000}"/>
    <cellStyle name="표준 22 3 2 2 2 4 3" xfId="8417" xr:uid="{00000000-0005-0000-0000-0000D4230000}"/>
    <cellStyle name="표준 22 3 2 2 2 4 4" xfId="9259" xr:uid="{00000000-0005-0000-0000-0000D5230000}"/>
    <cellStyle name="표준 22 3 2 2 2 4 5" xfId="6729" xr:uid="{00000000-0005-0000-0000-0000D6230000}"/>
    <cellStyle name="표준 22 3 2 2 2 5" xfId="7573" xr:uid="{00000000-0005-0000-0000-0000D7230000}"/>
    <cellStyle name="표준 22 3 2 2 2 5 2" xfId="10096" xr:uid="{00000000-0005-0000-0000-0000D8230000}"/>
    <cellStyle name="표준 22 3 2 2 2 6" xfId="8414" xr:uid="{00000000-0005-0000-0000-0000D9230000}"/>
    <cellStyle name="표준 22 3 2 2 2 7" xfId="9256" xr:uid="{00000000-0005-0000-0000-0000DA230000}"/>
    <cellStyle name="표준 22 3 2 2 2 8" xfId="6726" xr:uid="{00000000-0005-0000-0000-0000DB230000}"/>
    <cellStyle name="표준 22 3 2 2 3" xfId="5672" xr:uid="{00000000-0005-0000-0000-0000DC230000}"/>
    <cellStyle name="표준 22 3 2 2 3 2" xfId="7577" xr:uid="{00000000-0005-0000-0000-0000DD230000}"/>
    <cellStyle name="표준 22 3 2 2 3 2 2" xfId="10100" xr:uid="{00000000-0005-0000-0000-0000DE230000}"/>
    <cellStyle name="표준 22 3 2 2 3 3" xfId="8418" xr:uid="{00000000-0005-0000-0000-0000DF230000}"/>
    <cellStyle name="표준 22 3 2 2 3 4" xfId="9260" xr:uid="{00000000-0005-0000-0000-0000E0230000}"/>
    <cellStyle name="표준 22 3 2 2 3 5" xfId="6730" xr:uid="{00000000-0005-0000-0000-0000E1230000}"/>
    <cellStyle name="표준 22 3 2 2 4" xfId="5673" xr:uid="{00000000-0005-0000-0000-0000E2230000}"/>
    <cellStyle name="표준 22 3 2 2 4 2" xfId="7578" xr:uid="{00000000-0005-0000-0000-0000E3230000}"/>
    <cellStyle name="표준 22 3 2 2 4 2 2" xfId="10101" xr:uid="{00000000-0005-0000-0000-0000E4230000}"/>
    <cellStyle name="표준 22 3 2 2 4 3" xfId="8419" xr:uid="{00000000-0005-0000-0000-0000E5230000}"/>
    <cellStyle name="표준 22 3 2 2 4 4" xfId="9261" xr:uid="{00000000-0005-0000-0000-0000E6230000}"/>
    <cellStyle name="표준 22 3 2 2 4 5" xfId="6731" xr:uid="{00000000-0005-0000-0000-0000E7230000}"/>
    <cellStyle name="표준 22 3 2 2 5" xfId="5674" xr:uid="{00000000-0005-0000-0000-0000E8230000}"/>
    <cellStyle name="표준 22 3 2 2 5 2" xfId="7579" xr:uid="{00000000-0005-0000-0000-0000E9230000}"/>
    <cellStyle name="표준 22 3 2 2 5 2 2" xfId="10102" xr:uid="{00000000-0005-0000-0000-0000EA230000}"/>
    <cellStyle name="표준 22 3 2 2 5 3" xfId="8420" xr:uid="{00000000-0005-0000-0000-0000EB230000}"/>
    <cellStyle name="표준 22 3 2 2 5 4" xfId="9262" xr:uid="{00000000-0005-0000-0000-0000EC230000}"/>
    <cellStyle name="표준 22 3 2 2 5 5" xfId="6732" xr:uid="{00000000-0005-0000-0000-0000ED230000}"/>
    <cellStyle name="표준 22 3 2 2 6" xfId="7572" xr:uid="{00000000-0005-0000-0000-0000EE230000}"/>
    <cellStyle name="표준 22 3 2 2 6 2" xfId="10095" xr:uid="{00000000-0005-0000-0000-0000EF230000}"/>
    <cellStyle name="표준 22 3 2 2 7" xfId="8413" xr:uid="{00000000-0005-0000-0000-0000F0230000}"/>
    <cellStyle name="표준 22 3 2 2 8" xfId="9255" xr:uid="{00000000-0005-0000-0000-0000F1230000}"/>
    <cellStyle name="표준 22 3 2 2 9" xfId="6725" xr:uid="{00000000-0005-0000-0000-0000F2230000}"/>
    <cellStyle name="표준 22 3 2 3" xfId="5675" xr:uid="{00000000-0005-0000-0000-0000F3230000}"/>
    <cellStyle name="표준 22 3 2 3 2" xfId="5676" xr:uid="{00000000-0005-0000-0000-0000F4230000}"/>
    <cellStyle name="표준 22 3 2 3 2 2" xfId="7581" xr:uid="{00000000-0005-0000-0000-0000F5230000}"/>
    <cellStyle name="표준 22 3 2 3 2 2 2" xfId="10104" xr:uid="{00000000-0005-0000-0000-0000F6230000}"/>
    <cellStyle name="표준 22 3 2 3 2 3" xfId="8422" xr:uid="{00000000-0005-0000-0000-0000F7230000}"/>
    <cellStyle name="표준 22 3 2 3 2 4" xfId="9264" xr:uid="{00000000-0005-0000-0000-0000F8230000}"/>
    <cellStyle name="표준 22 3 2 3 2 5" xfId="6734" xr:uid="{00000000-0005-0000-0000-0000F9230000}"/>
    <cellStyle name="표준 22 3 2 3 3" xfId="5677" xr:uid="{00000000-0005-0000-0000-0000FA230000}"/>
    <cellStyle name="표준 22 3 2 3 3 2" xfId="7582" xr:uid="{00000000-0005-0000-0000-0000FB230000}"/>
    <cellStyle name="표준 22 3 2 3 3 2 2" xfId="10105" xr:uid="{00000000-0005-0000-0000-0000FC230000}"/>
    <cellStyle name="표준 22 3 2 3 3 3" xfId="8423" xr:uid="{00000000-0005-0000-0000-0000FD230000}"/>
    <cellStyle name="표준 22 3 2 3 3 4" xfId="9265" xr:uid="{00000000-0005-0000-0000-0000FE230000}"/>
    <cellStyle name="표준 22 3 2 3 3 5" xfId="6735" xr:uid="{00000000-0005-0000-0000-0000FF230000}"/>
    <cellStyle name="표준 22 3 2 3 4" xfId="5678" xr:uid="{00000000-0005-0000-0000-000000240000}"/>
    <cellStyle name="표준 22 3 2 3 4 2" xfId="7583" xr:uid="{00000000-0005-0000-0000-000001240000}"/>
    <cellStyle name="표준 22 3 2 3 4 2 2" xfId="10106" xr:uid="{00000000-0005-0000-0000-000002240000}"/>
    <cellStyle name="표준 22 3 2 3 4 3" xfId="8424" xr:uid="{00000000-0005-0000-0000-000003240000}"/>
    <cellStyle name="표준 22 3 2 3 4 4" xfId="9266" xr:uid="{00000000-0005-0000-0000-000004240000}"/>
    <cellStyle name="표준 22 3 2 3 4 5" xfId="6736" xr:uid="{00000000-0005-0000-0000-000005240000}"/>
    <cellStyle name="표준 22 3 2 3 5" xfId="7580" xr:uid="{00000000-0005-0000-0000-000006240000}"/>
    <cellStyle name="표준 22 3 2 3 5 2" xfId="10103" xr:uid="{00000000-0005-0000-0000-000007240000}"/>
    <cellStyle name="표준 22 3 2 3 6" xfId="8421" xr:uid="{00000000-0005-0000-0000-000008240000}"/>
    <cellStyle name="표준 22 3 2 3 7" xfId="9263" xr:uid="{00000000-0005-0000-0000-000009240000}"/>
    <cellStyle name="표준 22 3 2 3 8" xfId="6733" xr:uid="{00000000-0005-0000-0000-00000A240000}"/>
    <cellStyle name="표준 22 3 2 4" xfId="5679" xr:uid="{00000000-0005-0000-0000-00000B240000}"/>
    <cellStyle name="표준 22 3 2 4 2" xfId="7584" xr:uid="{00000000-0005-0000-0000-00000C240000}"/>
    <cellStyle name="표준 22 3 2 4 2 2" xfId="10107" xr:uid="{00000000-0005-0000-0000-00000D240000}"/>
    <cellStyle name="표준 22 3 2 4 3" xfId="8425" xr:uid="{00000000-0005-0000-0000-00000E240000}"/>
    <cellStyle name="표준 22 3 2 4 4" xfId="9267" xr:uid="{00000000-0005-0000-0000-00000F240000}"/>
    <cellStyle name="표준 22 3 2 4 5" xfId="6737" xr:uid="{00000000-0005-0000-0000-000010240000}"/>
    <cellStyle name="표준 22 3 2 5" xfId="5680" xr:uid="{00000000-0005-0000-0000-000011240000}"/>
    <cellStyle name="표준 22 3 2 5 2" xfId="7585" xr:uid="{00000000-0005-0000-0000-000012240000}"/>
    <cellStyle name="표준 22 3 2 5 2 2" xfId="10108" xr:uid="{00000000-0005-0000-0000-000013240000}"/>
    <cellStyle name="표준 22 3 2 5 3" xfId="8426" xr:uid="{00000000-0005-0000-0000-000014240000}"/>
    <cellStyle name="표준 22 3 2 5 4" xfId="9268" xr:uid="{00000000-0005-0000-0000-000015240000}"/>
    <cellStyle name="표준 22 3 2 5 5" xfId="6738" xr:uid="{00000000-0005-0000-0000-000016240000}"/>
    <cellStyle name="표준 22 3 2 6" xfId="5681" xr:uid="{00000000-0005-0000-0000-000017240000}"/>
    <cellStyle name="표준 22 3 2 6 2" xfId="7586" xr:uid="{00000000-0005-0000-0000-000018240000}"/>
    <cellStyle name="표준 22 3 2 6 2 2" xfId="10109" xr:uid="{00000000-0005-0000-0000-000019240000}"/>
    <cellStyle name="표준 22 3 2 6 3" xfId="8427" xr:uid="{00000000-0005-0000-0000-00001A240000}"/>
    <cellStyle name="표준 22 3 2 6 4" xfId="9269" xr:uid="{00000000-0005-0000-0000-00001B240000}"/>
    <cellStyle name="표준 22 3 2 6 5" xfId="6739" xr:uid="{00000000-0005-0000-0000-00001C240000}"/>
    <cellStyle name="표준 22 3 2 7" xfId="7571" xr:uid="{00000000-0005-0000-0000-00001D240000}"/>
    <cellStyle name="표준 22 3 2 7 2" xfId="10094" xr:uid="{00000000-0005-0000-0000-00001E240000}"/>
    <cellStyle name="표준 22 3 2 8" xfId="8412" xr:uid="{00000000-0005-0000-0000-00001F240000}"/>
    <cellStyle name="표준 22 3 2 9" xfId="9254" xr:uid="{00000000-0005-0000-0000-000020240000}"/>
    <cellStyle name="표준 22 3 3" xfId="5682" xr:uid="{00000000-0005-0000-0000-000021240000}"/>
    <cellStyle name="표준 22 3 3 10" xfId="6740" xr:uid="{00000000-0005-0000-0000-000022240000}"/>
    <cellStyle name="표준 22 3 3 2" xfId="5683" xr:uid="{00000000-0005-0000-0000-000023240000}"/>
    <cellStyle name="표준 22 3 3 2 2" xfId="5684" xr:uid="{00000000-0005-0000-0000-000024240000}"/>
    <cellStyle name="표준 22 3 3 2 2 2" xfId="5685" xr:uid="{00000000-0005-0000-0000-000025240000}"/>
    <cellStyle name="표준 22 3 3 2 2 2 2" xfId="7590" xr:uid="{00000000-0005-0000-0000-000026240000}"/>
    <cellStyle name="표준 22 3 3 2 2 2 2 2" xfId="10113" xr:uid="{00000000-0005-0000-0000-000027240000}"/>
    <cellStyle name="표준 22 3 3 2 2 2 3" xfId="8431" xr:uid="{00000000-0005-0000-0000-000028240000}"/>
    <cellStyle name="표준 22 3 3 2 2 2 4" xfId="9273" xr:uid="{00000000-0005-0000-0000-000029240000}"/>
    <cellStyle name="표준 22 3 3 2 2 2 5" xfId="6743" xr:uid="{00000000-0005-0000-0000-00002A240000}"/>
    <cellStyle name="표준 22 3 3 2 2 3" xfId="5686" xr:uid="{00000000-0005-0000-0000-00002B240000}"/>
    <cellStyle name="표준 22 3 3 2 2 3 2" xfId="7591" xr:uid="{00000000-0005-0000-0000-00002C240000}"/>
    <cellStyle name="표준 22 3 3 2 2 3 2 2" xfId="10114" xr:uid="{00000000-0005-0000-0000-00002D240000}"/>
    <cellStyle name="표준 22 3 3 2 2 3 3" xfId="8432" xr:uid="{00000000-0005-0000-0000-00002E240000}"/>
    <cellStyle name="표준 22 3 3 2 2 3 4" xfId="9274" xr:uid="{00000000-0005-0000-0000-00002F240000}"/>
    <cellStyle name="표준 22 3 3 2 2 3 5" xfId="6744" xr:uid="{00000000-0005-0000-0000-000030240000}"/>
    <cellStyle name="표준 22 3 3 2 2 4" xfId="5687" xr:uid="{00000000-0005-0000-0000-000031240000}"/>
    <cellStyle name="표준 22 3 3 2 2 4 2" xfId="7592" xr:uid="{00000000-0005-0000-0000-000032240000}"/>
    <cellStyle name="표준 22 3 3 2 2 4 2 2" xfId="10115" xr:uid="{00000000-0005-0000-0000-000033240000}"/>
    <cellStyle name="표준 22 3 3 2 2 4 3" xfId="8433" xr:uid="{00000000-0005-0000-0000-000034240000}"/>
    <cellStyle name="표준 22 3 3 2 2 4 4" xfId="9275" xr:uid="{00000000-0005-0000-0000-000035240000}"/>
    <cellStyle name="표준 22 3 3 2 2 4 5" xfId="6745" xr:uid="{00000000-0005-0000-0000-000036240000}"/>
    <cellStyle name="표준 22 3 3 2 2 5" xfId="7589" xr:uid="{00000000-0005-0000-0000-000037240000}"/>
    <cellStyle name="표준 22 3 3 2 2 5 2" xfId="10112" xr:uid="{00000000-0005-0000-0000-000038240000}"/>
    <cellStyle name="표준 22 3 3 2 2 6" xfId="8430" xr:uid="{00000000-0005-0000-0000-000039240000}"/>
    <cellStyle name="표준 22 3 3 2 2 7" xfId="9272" xr:uid="{00000000-0005-0000-0000-00003A240000}"/>
    <cellStyle name="표준 22 3 3 2 2 8" xfId="6742" xr:uid="{00000000-0005-0000-0000-00003B240000}"/>
    <cellStyle name="표준 22 3 3 2 3" xfId="5688" xr:uid="{00000000-0005-0000-0000-00003C240000}"/>
    <cellStyle name="표준 22 3 3 2 3 2" xfId="7593" xr:uid="{00000000-0005-0000-0000-00003D240000}"/>
    <cellStyle name="표준 22 3 3 2 3 2 2" xfId="10116" xr:uid="{00000000-0005-0000-0000-00003E240000}"/>
    <cellStyle name="표준 22 3 3 2 3 3" xfId="8434" xr:uid="{00000000-0005-0000-0000-00003F240000}"/>
    <cellStyle name="표준 22 3 3 2 3 4" xfId="9276" xr:uid="{00000000-0005-0000-0000-000040240000}"/>
    <cellStyle name="표준 22 3 3 2 3 5" xfId="6746" xr:uid="{00000000-0005-0000-0000-000041240000}"/>
    <cellStyle name="표준 22 3 3 2 4" xfId="5689" xr:uid="{00000000-0005-0000-0000-000042240000}"/>
    <cellStyle name="표준 22 3 3 2 4 2" xfId="7594" xr:uid="{00000000-0005-0000-0000-000043240000}"/>
    <cellStyle name="표준 22 3 3 2 4 2 2" xfId="10117" xr:uid="{00000000-0005-0000-0000-000044240000}"/>
    <cellStyle name="표준 22 3 3 2 4 3" xfId="8435" xr:uid="{00000000-0005-0000-0000-000045240000}"/>
    <cellStyle name="표준 22 3 3 2 4 4" xfId="9277" xr:uid="{00000000-0005-0000-0000-000046240000}"/>
    <cellStyle name="표준 22 3 3 2 4 5" xfId="6747" xr:uid="{00000000-0005-0000-0000-000047240000}"/>
    <cellStyle name="표준 22 3 3 2 5" xfId="5690" xr:uid="{00000000-0005-0000-0000-000048240000}"/>
    <cellStyle name="표준 22 3 3 2 5 2" xfId="7595" xr:uid="{00000000-0005-0000-0000-000049240000}"/>
    <cellStyle name="표준 22 3 3 2 5 2 2" xfId="10118" xr:uid="{00000000-0005-0000-0000-00004A240000}"/>
    <cellStyle name="표준 22 3 3 2 5 3" xfId="8436" xr:uid="{00000000-0005-0000-0000-00004B240000}"/>
    <cellStyle name="표준 22 3 3 2 5 4" xfId="9278" xr:uid="{00000000-0005-0000-0000-00004C240000}"/>
    <cellStyle name="표준 22 3 3 2 5 5" xfId="6748" xr:uid="{00000000-0005-0000-0000-00004D240000}"/>
    <cellStyle name="표준 22 3 3 2 6" xfId="7588" xr:uid="{00000000-0005-0000-0000-00004E240000}"/>
    <cellStyle name="표준 22 3 3 2 6 2" xfId="10111" xr:uid="{00000000-0005-0000-0000-00004F240000}"/>
    <cellStyle name="표준 22 3 3 2 7" xfId="8429" xr:uid="{00000000-0005-0000-0000-000050240000}"/>
    <cellStyle name="표준 22 3 3 2 8" xfId="9271" xr:uid="{00000000-0005-0000-0000-000051240000}"/>
    <cellStyle name="표준 22 3 3 2 9" xfId="6741" xr:uid="{00000000-0005-0000-0000-000052240000}"/>
    <cellStyle name="표준 22 3 3 3" xfId="5691" xr:uid="{00000000-0005-0000-0000-000053240000}"/>
    <cellStyle name="표준 22 3 3 3 2" xfId="5692" xr:uid="{00000000-0005-0000-0000-000054240000}"/>
    <cellStyle name="표준 22 3 3 3 2 2" xfId="7597" xr:uid="{00000000-0005-0000-0000-000055240000}"/>
    <cellStyle name="표준 22 3 3 3 2 2 2" xfId="10120" xr:uid="{00000000-0005-0000-0000-000056240000}"/>
    <cellStyle name="표준 22 3 3 3 2 3" xfId="8438" xr:uid="{00000000-0005-0000-0000-000057240000}"/>
    <cellStyle name="표준 22 3 3 3 2 4" xfId="9280" xr:uid="{00000000-0005-0000-0000-000058240000}"/>
    <cellStyle name="표준 22 3 3 3 2 5" xfId="6750" xr:uid="{00000000-0005-0000-0000-000059240000}"/>
    <cellStyle name="표준 22 3 3 3 3" xfId="5693" xr:uid="{00000000-0005-0000-0000-00005A240000}"/>
    <cellStyle name="표준 22 3 3 3 3 2" xfId="7598" xr:uid="{00000000-0005-0000-0000-00005B240000}"/>
    <cellStyle name="표준 22 3 3 3 3 2 2" xfId="10121" xr:uid="{00000000-0005-0000-0000-00005C240000}"/>
    <cellStyle name="표준 22 3 3 3 3 3" xfId="8439" xr:uid="{00000000-0005-0000-0000-00005D240000}"/>
    <cellStyle name="표준 22 3 3 3 3 4" xfId="9281" xr:uid="{00000000-0005-0000-0000-00005E240000}"/>
    <cellStyle name="표준 22 3 3 3 3 5" xfId="6751" xr:uid="{00000000-0005-0000-0000-00005F240000}"/>
    <cellStyle name="표준 22 3 3 3 4" xfId="5694" xr:uid="{00000000-0005-0000-0000-000060240000}"/>
    <cellStyle name="표준 22 3 3 3 4 2" xfId="7599" xr:uid="{00000000-0005-0000-0000-000061240000}"/>
    <cellStyle name="표준 22 3 3 3 4 2 2" xfId="10122" xr:uid="{00000000-0005-0000-0000-000062240000}"/>
    <cellStyle name="표준 22 3 3 3 4 3" xfId="8440" xr:uid="{00000000-0005-0000-0000-000063240000}"/>
    <cellStyle name="표준 22 3 3 3 4 4" xfId="9282" xr:uid="{00000000-0005-0000-0000-000064240000}"/>
    <cellStyle name="표준 22 3 3 3 4 5" xfId="6752" xr:uid="{00000000-0005-0000-0000-000065240000}"/>
    <cellStyle name="표준 22 3 3 3 5" xfId="7596" xr:uid="{00000000-0005-0000-0000-000066240000}"/>
    <cellStyle name="표준 22 3 3 3 5 2" xfId="10119" xr:uid="{00000000-0005-0000-0000-000067240000}"/>
    <cellStyle name="표준 22 3 3 3 6" xfId="8437" xr:uid="{00000000-0005-0000-0000-000068240000}"/>
    <cellStyle name="표준 22 3 3 3 7" xfId="9279" xr:uid="{00000000-0005-0000-0000-000069240000}"/>
    <cellStyle name="표준 22 3 3 3 8" xfId="6749" xr:uid="{00000000-0005-0000-0000-00006A240000}"/>
    <cellStyle name="표준 22 3 3 4" xfId="5695" xr:uid="{00000000-0005-0000-0000-00006B240000}"/>
    <cellStyle name="표준 22 3 3 4 2" xfId="7600" xr:uid="{00000000-0005-0000-0000-00006C240000}"/>
    <cellStyle name="표준 22 3 3 4 2 2" xfId="10123" xr:uid="{00000000-0005-0000-0000-00006D240000}"/>
    <cellStyle name="표준 22 3 3 4 3" xfId="8441" xr:uid="{00000000-0005-0000-0000-00006E240000}"/>
    <cellStyle name="표준 22 3 3 4 4" xfId="9283" xr:uid="{00000000-0005-0000-0000-00006F240000}"/>
    <cellStyle name="표준 22 3 3 4 5" xfId="6753" xr:uid="{00000000-0005-0000-0000-000070240000}"/>
    <cellStyle name="표준 22 3 3 5" xfId="5696" xr:uid="{00000000-0005-0000-0000-000071240000}"/>
    <cellStyle name="표준 22 3 3 5 2" xfId="7601" xr:uid="{00000000-0005-0000-0000-000072240000}"/>
    <cellStyle name="표준 22 3 3 5 2 2" xfId="10124" xr:uid="{00000000-0005-0000-0000-000073240000}"/>
    <cellStyle name="표준 22 3 3 5 3" xfId="8442" xr:uid="{00000000-0005-0000-0000-000074240000}"/>
    <cellStyle name="표준 22 3 3 5 4" xfId="9284" xr:uid="{00000000-0005-0000-0000-000075240000}"/>
    <cellStyle name="표준 22 3 3 5 5" xfId="6754" xr:uid="{00000000-0005-0000-0000-000076240000}"/>
    <cellStyle name="표준 22 3 3 6" xfId="5697" xr:uid="{00000000-0005-0000-0000-000077240000}"/>
    <cellStyle name="표준 22 3 3 6 2" xfId="7602" xr:uid="{00000000-0005-0000-0000-000078240000}"/>
    <cellStyle name="표준 22 3 3 6 2 2" xfId="10125" xr:uid="{00000000-0005-0000-0000-000079240000}"/>
    <cellStyle name="표준 22 3 3 6 3" xfId="8443" xr:uid="{00000000-0005-0000-0000-00007A240000}"/>
    <cellStyle name="표준 22 3 3 6 4" xfId="9285" xr:uid="{00000000-0005-0000-0000-00007B240000}"/>
    <cellStyle name="표준 22 3 3 6 5" xfId="6755" xr:uid="{00000000-0005-0000-0000-00007C240000}"/>
    <cellStyle name="표준 22 3 3 7" xfId="7587" xr:uid="{00000000-0005-0000-0000-00007D240000}"/>
    <cellStyle name="표준 22 3 3 7 2" xfId="10110" xr:uid="{00000000-0005-0000-0000-00007E240000}"/>
    <cellStyle name="표준 22 3 3 8" xfId="8428" xr:uid="{00000000-0005-0000-0000-00007F240000}"/>
    <cellStyle name="표준 22 3 3 9" xfId="9270" xr:uid="{00000000-0005-0000-0000-000080240000}"/>
    <cellStyle name="표준 22 3 4" xfId="5698" xr:uid="{00000000-0005-0000-0000-000081240000}"/>
    <cellStyle name="표준 22 3 4 2" xfId="5699" xr:uid="{00000000-0005-0000-0000-000082240000}"/>
    <cellStyle name="표준 22 3 4 2 2" xfId="5700" xr:uid="{00000000-0005-0000-0000-000083240000}"/>
    <cellStyle name="표준 22 3 4 2 2 2" xfId="7605" xr:uid="{00000000-0005-0000-0000-000084240000}"/>
    <cellStyle name="표준 22 3 4 2 2 2 2" xfId="10128" xr:uid="{00000000-0005-0000-0000-000085240000}"/>
    <cellStyle name="표준 22 3 4 2 2 3" xfId="8446" xr:uid="{00000000-0005-0000-0000-000086240000}"/>
    <cellStyle name="표준 22 3 4 2 2 4" xfId="9288" xr:uid="{00000000-0005-0000-0000-000087240000}"/>
    <cellStyle name="표준 22 3 4 2 2 5" xfId="6758" xr:uid="{00000000-0005-0000-0000-000088240000}"/>
    <cellStyle name="표준 22 3 4 2 3" xfId="5701" xr:uid="{00000000-0005-0000-0000-000089240000}"/>
    <cellStyle name="표준 22 3 4 2 3 2" xfId="7606" xr:uid="{00000000-0005-0000-0000-00008A240000}"/>
    <cellStyle name="표준 22 3 4 2 3 2 2" xfId="10129" xr:uid="{00000000-0005-0000-0000-00008B240000}"/>
    <cellStyle name="표준 22 3 4 2 3 3" xfId="8447" xr:uid="{00000000-0005-0000-0000-00008C240000}"/>
    <cellStyle name="표준 22 3 4 2 3 4" xfId="9289" xr:uid="{00000000-0005-0000-0000-00008D240000}"/>
    <cellStyle name="표준 22 3 4 2 3 5" xfId="6759" xr:uid="{00000000-0005-0000-0000-00008E240000}"/>
    <cellStyle name="표준 22 3 4 2 4" xfId="5702" xr:uid="{00000000-0005-0000-0000-00008F240000}"/>
    <cellStyle name="표준 22 3 4 2 4 2" xfId="7607" xr:uid="{00000000-0005-0000-0000-000090240000}"/>
    <cellStyle name="표준 22 3 4 2 4 2 2" xfId="10130" xr:uid="{00000000-0005-0000-0000-000091240000}"/>
    <cellStyle name="표준 22 3 4 2 4 3" xfId="8448" xr:uid="{00000000-0005-0000-0000-000092240000}"/>
    <cellStyle name="표준 22 3 4 2 4 4" xfId="9290" xr:uid="{00000000-0005-0000-0000-000093240000}"/>
    <cellStyle name="표준 22 3 4 2 4 5" xfId="6760" xr:uid="{00000000-0005-0000-0000-000094240000}"/>
    <cellStyle name="표준 22 3 4 2 5" xfId="7604" xr:uid="{00000000-0005-0000-0000-000095240000}"/>
    <cellStyle name="표준 22 3 4 2 5 2" xfId="10127" xr:uid="{00000000-0005-0000-0000-000096240000}"/>
    <cellStyle name="표준 22 3 4 2 6" xfId="8445" xr:uid="{00000000-0005-0000-0000-000097240000}"/>
    <cellStyle name="표준 22 3 4 2 7" xfId="9287" xr:uid="{00000000-0005-0000-0000-000098240000}"/>
    <cellStyle name="표준 22 3 4 2 8" xfId="6757" xr:uid="{00000000-0005-0000-0000-000099240000}"/>
    <cellStyle name="표준 22 3 4 3" xfId="5703" xr:uid="{00000000-0005-0000-0000-00009A240000}"/>
    <cellStyle name="표준 22 3 4 3 2" xfId="7608" xr:uid="{00000000-0005-0000-0000-00009B240000}"/>
    <cellStyle name="표준 22 3 4 3 2 2" xfId="10131" xr:uid="{00000000-0005-0000-0000-00009C240000}"/>
    <cellStyle name="표준 22 3 4 3 3" xfId="8449" xr:uid="{00000000-0005-0000-0000-00009D240000}"/>
    <cellStyle name="표준 22 3 4 3 4" xfId="9291" xr:uid="{00000000-0005-0000-0000-00009E240000}"/>
    <cellStyle name="표준 22 3 4 3 5" xfId="6761" xr:uid="{00000000-0005-0000-0000-00009F240000}"/>
    <cellStyle name="표준 22 3 4 4" xfId="5704" xr:uid="{00000000-0005-0000-0000-0000A0240000}"/>
    <cellStyle name="표준 22 3 4 4 2" xfId="7609" xr:uid="{00000000-0005-0000-0000-0000A1240000}"/>
    <cellStyle name="표준 22 3 4 4 2 2" xfId="10132" xr:uid="{00000000-0005-0000-0000-0000A2240000}"/>
    <cellStyle name="표준 22 3 4 4 3" xfId="8450" xr:uid="{00000000-0005-0000-0000-0000A3240000}"/>
    <cellStyle name="표준 22 3 4 4 4" xfId="9292" xr:uid="{00000000-0005-0000-0000-0000A4240000}"/>
    <cellStyle name="표준 22 3 4 4 5" xfId="6762" xr:uid="{00000000-0005-0000-0000-0000A5240000}"/>
    <cellStyle name="표준 22 3 4 5" xfId="5705" xr:uid="{00000000-0005-0000-0000-0000A6240000}"/>
    <cellStyle name="표준 22 3 4 5 2" xfId="7610" xr:uid="{00000000-0005-0000-0000-0000A7240000}"/>
    <cellStyle name="표준 22 3 4 5 2 2" xfId="10133" xr:uid="{00000000-0005-0000-0000-0000A8240000}"/>
    <cellStyle name="표준 22 3 4 5 3" xfId="8451" xr:uid="{00000000-0005-0000-0000-0000A9240000}"/>
    <cellStyle name="표준 22 3 4 5 4" xfId="9293" xr:uid="{00000000-0005-0000-0000-0000AA240000}"/>
    <cellStyle name="표준 22 3 4 5 5" xfId="6763" xr:uid="{00000000-0005-0000-0000-0000AB240000}"/>
    <cellStyle name="표준 22 3 4 6" xfId="7603" xr:uid="{00000000-0005-0000-0000-0000AC240000}"/>
    <cellStyle name="표준 22 3 4 6 2" xfId="10126" xr:uid="{00000000-0005-0000-0000-0000AD240000}"/>
    <cellStyle name="표준 22 3 4 7" xfId="8444" xr:uid="{00000000-0005-0000-0000-0000AE240000}"/>
    <cellStyle name="표준 22 3 4 8" xfId="9286" xr:uid="{00000000-0005-0000-0000-0000AF240000}"/>
    <cellStyle name="표준 22 3 4 9" xfId="6756" xr:uid="{00000000-0005-0000-0000-0000B0240000}"/>
    <cellStyle name="표준 22 3 5" xfId="5706" xr:uid="{00000000-0005-0000-0000-0000B1240000}"/>
    <cellStyle name="표준 22 3 5 2" xfId="5707" xr:uid="{00000000-0005-0000-0000-0000B2240000}"/>
    <cellStyle name="표준 22 3 5 2 2" xfId="7612" xr:uid="{00000000-0005-0000-0000-0000B3240000}"/>
    <cellStyle name="표준 22 3 5 2 2 2" xfId="10135" xr:uid="{00000000-0005-0000-0000-0000B4240000}"/>
    <cellStyle name="표준 22 3 5 2 3" xfId="8453" xr:uid="{00000000-0005-0000-0000-0000B5240000}"/>
    <cellStyle name="표준 22 3 5 2 4" xfId="9295" xr:uid="{00000000-0005-0000-0000-0000B6240000}"/>
    <cellStyle name="표준 22 3 5 2 5" xfId="6765" xr:uid="{00000000-0005-0000-0000-0000B7240000}"/>
    <cellStyle name="표준 22 3 5 3" xfId="5708" xr:uid="{00000000-0005-0000-0000-0000B8240000}"/>
    <cellStyle name="표준 22 3 5 3 2" xfId="7613" xr:uid="{00000000-0005-0000-0000-0000B9240000}"/>
    <cellStyle name="표준 22 3 5 3 2 2" xfId="10136" xr:uid="{00000000-0005-0000-0000-0000BA240000}"/>
    <cellStyle name="표준 22 3 5 3 3" xfId="8454" xr:uid="{00000000-0005-0000-0000-0000BB240000}"/>
    <cellStyle name="표준 22 3 5 3 4" xfId="9296" xr:uid="{00000000-0005-0000-0000-0000BC240000}"/>
    <cellStyle name="표준 22 3 5 3 5" xfId="6766" xr:uid="{00000000-0005-0000-0000-0000BD240000}"/>
    <cellStyle name="표준 22 3 5 4" xfId="5709" xr:uid="{00000000-0005-0000-0000-0000BE240000}"/>
    <cellStyle name="표준 22 3 5 4 2" xfId="7614" xr:uid="{00000000-0005-0000-0000-0000BF240000}"/>
    <cellStyle name="표준 22 3 5 4 2 2" xfId="10137" xr:uid="{00000000-0005-0000-0000-0000C0240000}"/>
    <cellStyle name="표준 22 3 5 4 3" xfId="8455" xr:uid="{00000000-0005-0000-0000-0000C1240000}"/>
    <cellStyle name="표준 22 3 5 4 4" xfId="9297" xr:uid="{00000000-0005-0000-0000-0000C2240000}"/>
    <cellStyle name="표준 22 3 5 4 5" xfId="6767" xr:uid="{00000000-0005-0000-0000-0000C3240000}"/>
    <cellStyle name="표준 22 3 5 5" xfId="7611" xr:uid="{00000000-0005-0000-0000-0000C4240000}"/>
    <cellStyle name="표준 22 3 5 5 2" xfId="10134" xr:uid="{00000000-0005-0000-0000-0000C5240000}"/>
    <cellStyle name="표준 22 3 5 6" xfId="8452" xr:uid="{00000000-0005-0000-0000-0000C6240000}"/>
    <cellStyle name="표준 22 3 5 7" xfId="9294" xr:uid="{00000000-0005-0000-0000-0000C7240000}"/>
    <cellStyle name="표준 22 3 5 8" xfId="6764" xr:uid="{00000000-0005-0000-0000-0000C8240000}"/>
    <cellStyle name="표준 22 3 6" xfId="5710" xr:uid="{00000000-0005-0000-0000-0000C9240000}"/>
    <cellStyle name="표준 22 3 6 2" xfId="7615" xr:uid="{00000000-0005-0000-0000-0000CA240000}"/>
    <cellStyle name="표준 22 3 6 2 2" xfId="10138" xr:uid="{00000000-0005-0000-0000-0000CB240000}"/>
    <cellStyle name="표준 22 3 6 3" xfId="8456" xr:uid="{00000000-0005-0000-0000-0000CC240000}"/>
    <cellStyle name="표준 22 3 6 4" xfId="9298" xr:uid="{00000000-0005-0000-0000-0000CD240000}"/>
    <cellStyle name="표준 22 3 6 5" xfId="6768" xr:uid="{00000000-0005-0000-0000-0000CE240000}"/>
    <cellStyle name="표준 22 3 7" xfId="5711" xr:uid="{00000000-0005-0000-0000-0000CF240000}"/>
    <cellStyle name="표준 22 3 7 2" xfId="7616" xr:uid="{00000000-0005-0000-0000-0000D0240000}"/>
    <cellStyle name="표준 22 3 7 2 2" xfId="10139" xr:uid="{00000000-0005-0000-0000-0000D1240000}"/>
    <cellStyle name="표준 22 3 7 3" xfId="8457" xr:uid="{00000000-0005-0000-0000-0000D2240000}"/>
    <cellStyle name="표준 22 3 7 4" xfId="9299" xr:uid="{00000000-0005-0000-0000-0000D3240000}"/>
    <cellStyle name="표준 22 3 7 5" xfId="6769" xr:uid="{00000000-0005-0000-0000-0000D4240000}"/>
    <cellStyle name="표준 22 3 8" xfId="5712" xr:uid="{00000000-0005-0000-0000-0000D5240000}"/>
    <cellStyle name="표준 22 3 8 2" xfId="7617" xr:uid="{00000000-0005-0000-0000-0000D6240000}"/>
    <cellStyle name="표준 22 3 8 2 2" xfId="10140" xr:uid="{00000000-0005-0000-0000-0000D7240000}"/>
    <cellStyle name="표준 22 3 8 3" xfId="8458" xr:uid="{00000000-0005-0000-0000-0000D8240000}"/>
    <cellStyle name="표준 22 3 8 4" xfId="9300" xr:uid="{00000000-0005-0000-0000-0000D9240000}"/>
    <cellStyle name="표준 22 3 8 5" xfId="6770" xr:uid="{00000000-0005-0000-0000-0000DA240000}"/>
    <cellStyle name="표준 22 3 9" xfId="7570" xr:uid="{00000000-0005-0000-0000-0000DB240000}"/>
    <cellStyle name="표준 22 3 9 2" xfId="10093" xr:uid="{00000000-0005-0000-0000-0000DC240000}"/>
    <cellStyle name="표준 22 4" xfId="5713" xr:uid="{00000000-0005-0000-0000-0000DD240000}"/>
    <cellStyle name="표준 22 4 10" xfId="6771" xr:uid="{00000000-0005-0000-0000-0000DE240000}"/>
    <cellStyle name="표준 22 4 2" xfId="5714" xr:uid="{00000000-0005-0000-0000-0000DF240000}"/>
    <cellStyle name="표준 22 4 2 2" xfId="5715" xr:uid="{00000000-0005-0000-0000-0000E0240000}"/>
    <cellStyle name="표준 22 4 2 2 2" xfId="5716" xr:uid="{00000000-0005-0000-0000-0000E1240000}"/>
    <cellStyle name="표준 22 4 2 2 2 2" xfId="7621" xr:uid="{00000000-0005-0000-0000-0000E2240000}"/>
    <cellStyle name="표준 22 4 2 2 2 2 2" xfId="10144" xr:uid="{00000000-0005-0000-0000-0000E3240000}"/>
    <cellStyle name="표준 22 4 2 2 2 3" xfId="8462" xr:uid="{00000000-0005-0000-0000-0000E4240000}"/>
    <cellStyle name="표준 22 4 2 2 2 4" xfId="9304" xr:uid="{00000000-0005-0000-0000-0000E5240000}"/>
    <cellStyle name="표준 22 4 2 2 2 5" xfId="6774" xr:uid="{00000000-0005-0000-0000-0000E6240000}"/>
    <cellStyle name="표준 22 4 2 2 3" xfId="5717" xr:uid="{00000000-0005-0000-0000-0000E7240000}"/>
    <cellStyle name="표준 22 4 2 2 3 2" xfId="7622" xr:uid="{00000000-0005-0000-0000-0000E8240000}"/>
    <cellStyle name="표준 22 4 2 2 3 2 2" xfId="10145" xr:uid="{00000000-0005-0000-0000-0000E9240000}"/>
    <cellStyle name="표준 22 4 2 2 3 3" xfId="8463" xr:uid="{00000000-0005-0000-0000-0000EA240000}"/>
    <cellStyle name="표준 22 4 2 2 3 4" xfId="9305" xr:uid="{00000000-0005-0000-0000-0000EB240000}"/>
    <cellStyle name="표준 22 4 2 2 3 5" xfId="6775" xr:uid="{00000000-0005-0000-0000-0000EC240000}"/>
    <cellStyle name="표준 22 4 2 2 4" xfId="5718" xr:uid="{00000000-0005-0000-0000-0000ED240000}"/>
    <cellStyle name="표준 22 4 2 2 4 2" xfId="7623" xr:uid="{00000000-0005-0000-0000-0000EE240000}"/>
    <cellStyle name="표준 22 4 2 2 4 2 2" xfId="10146" xr:uid="{00000000-0005-0000-0000-0000EF240000}"/>
    <cellStyle name="표준 22 4 2 2 4 3" xfId="8464" xr:uid="{00000000-0005-0000-0000-0000F0240000}"/>
    <cellStyle name="표준 22 4 2 2 4 4" xfId="9306" xr:uid="{00000000-0005-0000-0000-0000F1240000}"/>
    <cellStyle name="표준 22 4 2 2 4 5" xfId="6776" xr:uid="{00000000-0005-0000-0000-0000F2240000}"/>
    <cellStyle name="표준 22 4 2 2 5" xfId="7620" xr:uid="{00000000-0005-0000-0000-0000F3240000}"/>
    <cellStyle name="표준 22 4 2 2 5 2" xfId="10143" xr:uid="{00000000-0005-0000-0000-0000F4240000}"/>
    <cellStyle name="표준 22 4 2 2 6" xfId="8461" xr:uid="{00000000-0005-0000-0000-0000F5240000}"/>
    <cellStyle name="표준 22 4 2 2 7" xfId="9303" xr:uid="{00000000-0005-0000-0000-0000F6240000}"/>
    <cellStyle name="표준 22 4 2 2 8" xfId="6773" xr:uid="{00000000-0005-0000-0000-0000F7240000}"/>
    <cellStyle name="표준 22 4 2 3" xfId="5719" xr:uid="{00000000-0005-0000-0000-0000F8240000}"/>
    <cellStyle name="표준 22 4 2 3 2" xfId="7624" xr:uid="{00000000-0005-0000-0000-0000F9240000}"/>
    <cellStyle name="표준 22 4 2 3 2 2" xfId="10147" xr:uid="{00000000-0005-0000-0000-0000FA240000}"/>
    <cellStyle name="표준 22 4 2 3 3" xfId="8465" xr:uid="{00000000-0005-0000-0000-0000FB240000}"/>
    <cellStyle name="표준 22 4 2 3 4" xfId="9307" xr:uid="{00000000-0005-0000-0000-0000FC240000}"/>
    <cellStyle name="표준 22 4 2 3 5" xfId="6777" xr:uid="{00000000-0005-0000-0000-0000FD240000}"/>
    <cellStyle name="표준 22 4 2 4" xfId="5720" xr:uid="{00000000-0005-0000-0000-0000FE240000}"/>
    <cellStyle name="표준 22 4 2 4 2" xfId="7625" xr:uid="{00000000-0005-0000-0000-0000FF240000}"/>
    <cellStyle name="표준 22 4 2 4 2 2" xfId="10148" xr:uid="{00000000-0005-0000-0000-000000250000}"/>
    <cellStyle name="표준 22 4 2 4 3" xfId="8466" xr:uid="{00000000-0005-0000-0000-000001250000}"/>
    <cellStyle name="표준 22 4 2 4 4" xfId="9308" xr:uid="{00000000-0005-0000-0000-000002250000}"/>
    <cellStyle name="표준 22 4 2 4 5" xfId="6778" xr:uid="{00000000-0005-0000-0000-000003250000}"/>
    <cellStyle name="표준 22 4 2 5" xfId="5721" xr:uid="{00000000-0005-0000-0000-000004250000}"/>
    <cellStyle name="표준 22 4 2 5 2" xfId="7626" xr:uid="{00000000-0005-0000-0000-000005250000}"/>
    <cellStyle name="표준 22 4 2 5 2 2" xfId="10149" xr:uid="{00000000-0005-0000-0000-000006250000}"/>
    <cellStyle name="표준 22 4 2 5 3" xfId="8467" xr:uid="{00000000-0005-0000-0000-000007250000}"/>
    <cellStyle name="표준 22 4 2 5 4" xfId="9309" xr:uid="{00000000-0005-0000-0000-000008250000}"/>
    <cellStyle name="표준 22 4 2 5 5" xfId="6779" xr:uid="{00000000-0005-0000-0000-000009250000}"/>
    <cellStyle name="표준 22 4 2 6" xfId="7619" xr:uid="{00000000-0005-0000-0000-00000A250000}"/>
    <cellStyle name="표준 22 4 2 6 2" xfId="10142" xr:uid="{00000000-0005-0000-0000-00000B250000}"/>
    <cellStyle name="표준 22 4 2 7" xfId="8460" xr:uid="{00000000-0005-0000-0000-00000C250000}"/>
    <cellStyle name="표준 22 4 2 8" xfId="9302" xr:uid="{00000000-0005-0000-0000-00000D250000}"/>
    <cellStyle name="표준 22 4 2 9" xfId="6772" xr:uid="{00000000-0005-0000-0000-00000E250000}"/>
    <cellStyle name="표준 22 4 3" xfId="5722" xr:uid="{00000000-0005-0000-0000-00000F250000}"/>
    <cellStyle name="표준 22 4 3 2" xfId="5723" xr:uid="{00000000-0005-0000-0000-000010250000}"/>
    <cellStyle name="표준 22 4 3 2 2" xfId="7628" xr:uid="{00000000-0005-0000-0000-000011250000}"/>
    <cellStyle name="표준 22 4 3 2 2 2" xfId="10151" xr:uid="{00000000-0005-0000-0000-000012250000}"/>
    <cellStyle name="표준 22 4 3 2 3" xfId="8469" xr:uid="{00000000-0005-0000-0000-000013250000}"/>
    <cellStyle name="표준 22 4 3 2 4" xfId="9311" xr:uid="{00000000-0005-0000-0000-000014250000}"/>
    <cellStyle name="표준 22 4 3 2 5" xfId="6781" xr:uid="{00000000-0005-0000-0000-000015250000}"/>
    <cellStyle name="표준 22 4 3 3" xfId="5724" xr:uid="{00000000-0005-0000-0000-000016250000}"/>
    <cellStyle name="표준 22 4 3 3 2" xfId="7629" xr:uid="{00000000-0005-0000-0000-000017250000}"/>
    <cellStyle name="표준 22 4 3 3 2 2" xfId="10152" xr:uid="{00000000-0005-0000-0000-000018250000}"/>
    <cellStyle name="표준 22 4 3 3 3" xfId="8470" xr:uid="{00000000-0005-0000-0000-000019250000}"/>
    <cellStyle name="표준 22 4 3 3 4" xfId="9312" xr:uid="{00000000-0005-0000-0000-00001A250000}"/>
    <cellStyle name="표준 22 4 3 3 5" xfId="6782" xr:uid="{00000000-0005-0000-0000-00001B250000}"/>
    <cellStyle name="표준 22 4 3 4" xfId="5725" xr:uid="{00000000-0005-0000-0000-00001C250000}"/>
    <cellStyle name="표준 22 4 3 4 2" xfId="7630" xr:uid="{00000000-0005-0000-0000-00001D250000}"/>
    <cellStyle name="표준 22 4 3 4 2 2" xfId="10153" xr:uid="{00000000-0005-0000-0000-00001E250000}"/>
    <cellStyle name="표준 22 4 3 4 3" xfId="8471" xr:uid="{00000000-0005-0000-0000-00001F250000}"/>
    <cellStyle name="표준 22 4 3 4 4" xfId="9313" xr:uid="{00000000-0005-0000-0000-000020250000}"/>
    <cellStyle name="표준 22 4 3 4 5" xfId="6783" xr:uid="{00000000-0005-0000-0000-000021250000}"/>
    <cellStyle name="표준 22 4 3 5" xfId="7627" xr:uid="{00000000-0005-0000-0000-000022250000}"/>
    <cellStyle name="표준 22 4 3 5 2" xfId="10150" xr:uid="{00000000-0005-0000-0000-000023250000}"/>
    <cellStyle name="표준 22 4 3 6" xfId="8468" xr:uid="{00000000-0005-0000-0000-000024250000}"/>
    <cellStyle name="표준 22 4 3 7" xfId="9310" xr:uid="{00000000-0005-0000-0000-000025250000}"/>
    <cellStyle name="표준 22 4 3 8" xfId="6780" xr:uid="{00000000-0005-0000-0000-000026250000}"/>
    <cellStyle name="표준 22 4 4" xfId="5726" xr:uid="{00000000-0005-0000-0000-000027250000}"/>
    <cellStyle name="표준 22 4 4 2" xfId="7631" xr:uid="{00000000-0005-0000-0000-000028250000}"/>
    <cellStyle name="표준 22 4 4 2 2" xfId="10154" xr:uid="{00000000-0005-0000-0000-000029250000}"/>
    <cellStyle name="표준 22 4 4 3" xfId="8472" xr:uid="{00000000-0005-0000-0000-00002A250000}"/>
    <cellStyle name="표준 22 4 4 4" xfId="9314" xr:uid="{00000000-0005-0000-0000-00002B250000}"/>
    <cellStyle name="표준 22 4 4 5" xfId="6784" xr:uid="{00000000-0005-0000-0000-00002C250000}"/>
    <cellStyle name="표준 22 4 5" xfId="5727" xr:uid="{00000000-0005-0000-0000-00002D250000}"/>
    <cellStyle name="표준 22 4 5 2" xfId="7632" xr:uid="{00000000-0005-0000-0000-00002E250000}"/>
    <cellStyle name="표준 22 4 5 2 2" xfId="10155" xr:uid="{00000000-0005-0000-0000-00002F250000}"/>
    <cellStyle name="표준 22 4 5 3" xfId="8473" xr:uid="{00000000-0005-0000-0000-000030250000}"/>
    <cellStyle name="표준 22 4 5 4" xfId="9315" xr:uid="{00000000-0005-0000-0000-000031250000}"/>
    <cellStyle name="표준 22 4 5 5" xfId="6785" xr:uid="{00000000-0005-0000-0000-000032250000}"/>
    <cellStyle name="표준 22 4 6" xfId="5728" xr:uid="{00000000-0005-0000-0000-000033250000}"/>
    <cellStyle name="표준 22 4 6 2" xfId="7633" xr:uid="{00000000-0005-0000-0000-000034250000}"/>
    <cellStyle name="표준 22 4 6 2 2" xfId="10156" xr:uid="{00000000-0005-0000-0000-000035250000}"/>
    <cellStyle name="표준 22 4 6 3" xfId="8474" xr:uid="{00000000-0005-0000-0000-000036250000}"/>
    <cellStyle name="표준 22 4 6 4" xfId="9316" xr:uid="{00000000-0005-0000-0000-000037250000}"/>
    <cellStyle name="표준 22 4 6 5" xfId="6786" xr:uid="{00000000-0005-0000-0000-000038250000}"/>
    <cellStyle name="표준 22 4 7" xfId="7618" xr:uid="{00000000-0005-0000-0000-000039250000}"/>
    <cellStyle name="표준 22 4 7 2" xfId="10141" xr:uid="{00000000-0005-0000-0000-00003A250000}"/>
    <cellStyle name="표준 22 4 8" xfId="8459" xr:uid="{00000000-0005-0000-0000-00003B250000}"/>
    <cellStyle name="표준 22 4 9" xfId="9301" xr:uid="{00000000-0005-0000-0000-00003C250000}"/>
    <cellStyle name="표준 22 5" xfId="5729" xr:uid="{00000000-0005-0000-0000-00003D250000}"/>
    <cellStyle name="표준 22 5 10" xfId="6787" xr:uid="{00000000-0005-0000-0000-00003E250000}"/>
    <cellStyle name="표준 22 5 2" xfId="5730" xr:uid="{00000000-0005-0000-0000-00003F250000}"/>
    <cellStyle name="표준 22 5 2 2" xfId="5731" xr:uid="{00000000-0005-0000-0000-000040250000}"/>
    <cellStyle name="표준 22 5 2 2 2" xfId="5732" xr:uid="{00000000-0005-0000-0000-000041250000}"/>
    <cellStyle name="표준 22 5 2 2 2 2" xfId="7637" xr:uid="{00000000-0005-0000-0000-000042250000}"/>
    <cellStyle name="표준 22 5 2 2 2 2 2" xfId="10160" xr:uid="{00000000-0005-0000-0000-000043250000}"/>
    <cellStyle name="표준 22 5 2 2 2 3" xfId="8478" xr:uid="{00000000-0005-0000-0000-000044250000}"/>
    <cellStyle name="표준 22 5 2 2 2 4" xfId="9320" xr:uid="{00000000-0005-0000-0000-000045250000}"/>
    <cellStyle name="표준 22 5 2 2 2 5" xfId="6790" xr:uid="{00000000-0005-0000-0000-000046250000}"/>
    <cellStyle name="표준 22 5 2 2 3" xfId="5733" xr:uid="{00000000-0005-0000-0000-000047250000}"/>
    <cellStyle name="표준 22 5 2 2 3 2" xfId="7638" xr:uid="{00000000-0005-0000-0000-000048250000}"/>
    <cellStyle name="표준 22 5 2 2 3 2 2" xfId="10161" xr:uid="{00000000-0005-0000-0000-000049250000}"/>
    <cellStyle name="표준 22 5 2 2 3 3" xfId="8479" xr:uid="{00000000-0005-0000-0000-00004A250000}"/>
    <cellStyle name="표준 22 5 2 2 3 4" xfId="9321" xr:uid="{00000000-0005-0000-0000-00004B250000}"/>
    <cellStyle name="표준 22 5 2 2 3 5" xfId="6791" xr:uid="{00000000-0005-0000-0000-00004C250000}"/>
    <cellStyle name="표준 22 5 2 2 4" xfId="5734" xr:uid="{00000000-0005-0000-0000-00004D250000}"/>
    <cellStyle name="표준 22 5 2 2 4 2" xfId="7639" xr:uid="{00000000-0005-0000-0000-00004E250000}"/>
    <cellStyle name="표준 22 5 2 2 4 2 2" xfId="10162" xr:uid="{00000000-0005-0000-0000-00004F250000}"/>
    <cellStyle name="표준 22 5 2 2 4 3" xfId="8480" xr:uid="{00000000-0005-0000-0000-000050250000}"/>
    <cellStyle name="표준 22 5 2 2 4 4" xfId="9322" xr:uid="{00000000-0005-0000-0000-000051250000}"/>
    <cellStyle name="표준 22 5 2 2 4 5" xfId="6792" xr:uid="{00000000-0005-0000-0000-000052250000}"/>
    <cellStyle name="표준 22 5 2 2 5" xfId="7636" xr:uid="{00000000-0005-0000-0000-000053250000}"/>
    <cellStyle name="표준 22 5 2 2 5 2" xfId="10159" xr:uid="{00000000-0005-0000-0000-000054250000}"/>
    <cellStyle name="표준 22 5 2 2 6" xfId="8477" xr:uid="{00000000-0005-0000-0000-000055250000}"/>
    <cellStyle name="표준 22 5 2 2 7" xfId="9319" xr:uid="{00000000-0005-0000-0000-000056250000}"/>
    <cellStyle name="표준 22 5 2 2 8" xfId="6789" xr:uid="{00000000-0005-0000-0000-000057250000}"/>
    <cellStyle name="표준 22 5 2 3" xfId="5735" xr:uid="{00000000-0005-0000-0000-000058250000}"/>
    <cellStyle name="표준 22 5 2 3 2" xfId="7640" xr:uid="{00000000-0005-0000-0000-000059250000}"/>
    <cellStyle name="표준 22 5 2 3 2 2" xfId="10163" xr:uid="{00000000-0005-0000-0000-00005A250000}"/>
    <cellStyle name="표준 22 5 2 3 3" xfId="8481" xr:uid="{00000000-0005-0000-0000-00005B250000}"/>
    <cellStyle name="표준 22 5 2 3 4" xfId="9323" xr:uid="{00000000-0005-0000-0000-00005C250000}"/>
    <cellStyle name="표준 22 5 2 3 5" xfId="6793" xr:uid="{00000000-0005-0000-0000-00005D250000}"/>
    <cellStyle name="표준 22 5 2 4" xfId="5736" xr:uid="{00000000-0005-0000-0000-00005E250000}"/>
    <cellStyle name="표준 22 5 2 4 2" xfId="7641" xr:uid="{00000000-0005-0000-0000-00005F250000}"/>
    <cellStyle name="표준 22 5 2 4 2 2" xfId="10164" xr:uid="{00000000-0005-0000-0000-000060250000}"/>
    <cellStyle name="표준 22 5 2 4 3" xfId="8482" xr:uid="{00000000-0005-0000-0000-000061250000}"/>
    <cellStyle name="표준 22 5 2 4 4" xfId="9324" xr:uid="{00000000-0005-0000-0000-000062250000}"/>
    <cellStyle name="표준 22 5 2 4 5" xfId="6794" xr:uid="{00000000-0005-0000-0000-000063250000}"/>
    <cellStyle name="표준 22 5 2 5" xfId="5737" xr:uid="{00000000-0005-0000-0000-000064250000}"/>
    <cellStyle name="표준 22 5 2 5 2" xfId="7642" xr:uid="{00000000-0005-0000-0000-000065250000}"/>
    <cellStyle name="표준 22 5 2 5 2 2" xfId="10165" xr:uid="{00000000-0005-0000-0000-000066250000}"/>
    <cellStyle name="표준 22 5 2 5 3" xfId="8483" xr:uid="{00000000-0005-0000-0000-000067250000}"/>
    <cellStyle name="표준 22 5 2 5 4" xfId="9325" xr:uid="{00000000-0005-0000-0000-000068250000}"/>
    <cellStyle name="표준 22 5 2 5 5" xfId="6795" xr:uid="{00000000-0005-0000-0000-000069250000}"/>
    <cellStyle name="표준 22 5 2 6" xfId="7635" xr:uid="{00000000-0005-0000-0000-00006A250000}"/>
    <cellStyle name="표준 22 5 2 6 2" xfId="10158" xr:uid="{00000000-0005-0000-0000-00006B250000}"/>
    <cellStyle name="표준 22 5 2 7" xfId="8476" xr:uid="{00000000-0005-0000-0000-00006C250000}"/>
    <cellStyle name="표준 22 5 2 8" xfId="9318" xr:uid="{00000000-0005-0000-0000-00006D250000}"/>
    <cellStyle name="표준 22 5 2 9" xfId="6788" xr:uid="{00000000-0005-0000-0000-00006E250000}"/>
    <cellStyle name="표준 22 5 3" xfId="5738" xr:uid="{00000000-0005-0000-0000-00006F250000}"/>
    <cellStyle name="표준 22 5 3 2" xfId="5739" xr:uid="{00000000-0005-0000-0000-000070250000}"/>
    <cellStyle name="표준 22 5 3 2 2" xfId="7644" xr:uid="{00000000-0005-0000-0000-000071250000}"/>
    <cellStyle name="표준 22 5 3 2 2 2" xfId="10167" xr:uid="{00000000-0005-0000-0000-000072250000}"/>
    <cellStyle name="표준 22 5 3 2 3" xfId="8485" xr:uid="{00000000-0005-0000-0000-000073250000}"/>
    <cellStyle name="표준 22 5 3 2 4" xfId="9327" xr:uid="{00000000-0005-0000-0000-000074250000}"/>
    <cellStyle name="표준 22 5 3 2 5" xfId="6797" xr:uid="{00000000-0005-0000-0000-000075250000}"/>
    <cellStyle name="표준 22 5 3 3" xfId="5740" xr:uid="{00000000-0005-0000-0000-000076250000}"/>
    <cellStyle name="표준 22 5 3 3 2" xfId="7645" xr:uid="{00000000-0005-0000-0000-000077250000}"/>
    <cellStyle name="표준 22 5 3 3 2 2" xfId="10168" xr:uid="{00000000-0005-0000-0000-000078250000}"/>
    <cellStyle name="표준 22 5 3 3 3" xfId="8486" xr:uid="{00000000-0005-0000-0000-000079250000}"/>
    <cellStyle name="표준 22 5 3 3 4" xfId="9328" xr:uid="{00000000-0005-0000-0000-00007A250000}"/>
    <cellStyle name="표준 22 5 3 3 5" xfId="6798" xr:uid="{00000000-0005-0000-0000-00007B250000}"/>
    <cellStyle name="표준 22 5 3 4" xfId="5741" xr:uid="{00000000-0005-0000-0000-00007C250000}"/>
    <cellStyle name="표준 22 5 3 4 2" xfId="7646" xr:uid="{00000000-0005-0000-0000-00007D250000}"/>
    <cellStyle name="표준 22 5 3 4 2 2" xfId="10169" xr:uid="{00000000-0005-0000-0000-00007E250000}"/>
    <cellStyle name="표준 22 5 3 4 3" xfId="8487" xr:uid="{00000000-0005-0000-0000-00007F250000}"/>
    <cellStyle name="표준 22 5 3 4 4" xfId="9329" xr:uid="{00000000-0005-0000-0000-000080250000}"/>
    <cellStyle name="표준 22 5 3 4 5" xfId="6799" xr:uid="{00000000-0005-0000-0000-000081250000}"/>
    <cellStyle name="표준 22 5 3 5" xfId="7643" xr:uid="{00000000-0005-0000-0000-000082250000}"/>
    <cellStyle name="표준 22 5 3 5 2" xfId="10166" xr:uid="{00000000-0005-0000-0000-000083250000}"/>
    <cellStyle name="표준 22 5 3 6" xfId="8484" xr:uid="{00000000-0005-0000-0000-000084250000}"/>
    <cellStyle name="표준 22 5 3 7" xfId="9326" xr:uid="{00000000-0005-0000-0000-000085250000}"/>
    <cellStyle name="표준 22 5 3 8" xfId="6796" xr:uid="{00000000-0005-0000-0000-000086250000}"/>
    <cellStyle name="표준 22 5 4" xfId="5742" xr:uid="{00000000-0005-0000-0000-000087250000}"/>
    <cellStyle name="표준 22 5 4 2" xfId="7647" xr:uid="{00000000-0005-0000-0000-000088250000}"/>
    <cellStyle name="표준 22 5 4 2 2" xfId="10170" xr:uid="{00000000-0005-0000-0000-000089250000}"/>
    <cellStyle name="표준 22 5 4 3" xfId="8488" xr:uid="{00000000-0005-0000-0000-00008A250000}"/>
    <cellStyle name="표준 22 5 4 4" xfId="9330" xr:uid="{00000000-0005-0000-0000-00008B250000}"/>
    <cellStyle name="표준 22 5 4 5" xfId="6800" xr:uid="{00000000-0005-0000-0000-00008C250000}"/>
    <cellStyle name="표준 22 5 5" xfId="5743" xr:uid="{00000000-0005-0000-0000-00008D250000}"/>
    <cellStyle name="표준 22 5 5 2" xfId="7648" xr:uid="{00000000-0005-0000-0000-00008E250000}"/>
    <cellStyle name="표준 22 5 5 2 2" xfId="10171" xr:uid="{00000000-0005-0000-0000-00008F250000}"/>
    <cellStyle name="표준 22 5 5 3" xfId="8489" xr:uid="{00000000-0005-0000-0000-000090250000}"/>
    <cellStyle name="표준 22 5 5 4" xfId="9331" xr:uid="{00000000-0005-0000-0000-000091250000}"/>
    <cellStyle name="표준 22 5 5 5" xfId="6801" xr:uid="{00000000-0005-0000-0000-000092250000}"/>
    <cellStyle name="표준 22 5 6" xfId="5744" xr:uid="{00000000-0005-0000-0000-000093250000}"/>
    <cellStyle name="표준 22 5 6 2" xfId="7649" xr:uid="{00000000-0005-0000-0000-000094250000}"/>
    <cellStyle name="표준 22 5 6 2 2" xfId="10172" xr:uid="{00000000-0005-0000-0000-000095250000}"/>
    <cellStyle name="표준 22 5 6 3" xfId="8490" xr:uid="{00000000-0005-0000-0000-000096250000}"/>
    <cellStyle name="표준 22 5 6 4" xfId="9332" xr:uid="{00000000-0005-0000-0000-000097250000}"/>
    <cellStyle name="표준 22 5 6 5" xfId="6802" xr:uid="{00000000-0005-0000-0000-000098250000}"/>
    <cellStyle name="표준 22 5 7" xfId="7634" xr:uid="{00000000-0005-0000-0000-000099250000}"/>
    <cellStyle name="표준 22 5 7 2" xfId="10157" xr:uid="{00000000-0005-0000-0000-00009A250000}"/>
    <cellStyle name="표준 22 5 8" xfId="8475" xr:uid="{00000000-0005-0000-0000-00009B250000}"/>
    <cellStyle name="표준 22 5 9" xfId="9317" xr:uid="{00000000-0005-0000-0000-00009C250000}"/>
    <cellStyle name="표준 22 6" xfId="5745" xr:uid="{00000000-0005-0000-0000-00009D250000}"/>
    <cellStyle name="표준 22 6 2" xfId="5746" xr:uid="{00000000-0005-0000-0000-00009E250000}"/>
    <cellStyle name="표준 22 6 2 2" xfId="5747" xr:uid="{00000000-0005-0000-0000-00009F250000}"/>
    <cellStyle name="표준 22 6 2 2 2" xfId="7652" xr:uid="{00000000-0005-0000-0000-0000A0250000}"/>
    <cellStyle name="표준 22 6 2 2 2 2" xfId="10175" xr:uid="{00000000-0005-0000-0000-0000A1250000}"/>
    <cellStyle name="표준 22 6 2 2 3" xfId="8493" xr:uid="{00000000-0005-0000-0000-0000A2250000}"/>
    <cellStyle name="표준 22 6 2 2 4" xfId="9335" xr:uid="{00000000-0005-0000-0000-0000A3250000}"/>
    <cellStyle name="표준 22 6 2 2 5" xfId="6805" xr:uid="{00000000-0005-0000-0000-0000A4250000}"/>
    <cellStyle name="표준 22 6 2 3" xfId="5748" xr:uid="{00000000-0005-0000-0000-0000A5250000}"/>
    <cellStyle name="표준 22 6 2 3 2" xfId="7653" xr:uid="{00000000-0005-0000-0000-0000A6250000}"/>
    <cellStyle name="표준 22 6 2 3 2 2" xfId="10176" xr:uid="{00000000-0005-0000-0000-0000A7250000}"/>
    <cellStyle name="표준 22 6 2 3 3" xfId="8494" xr:uid="{00000000-0005-0000-0000-0000A8250000}"/>
    <cellStyle name="표준 22 6 2 3 4" xfId="9336" xr:uid="{00000000-0005-0000-0000-0000A9250000}"/>
    <cellStyle name="표준 22 6 2 3 5" xfId="6806" xr:uid="{00000000-0005-0000-0000-0000AA250000}"/>
    <cellStyle name="표준 22 6 2 4" xfId="5749" xr:uid="{00000000-0005-0000-0000-0000AB250000}"/>
    <cellStyle name="표준 22 6 2 4 2" xfId="7654" xr:uid="{00000000-0005-0000-0000-0000AC250000}"/>
    <cellStyle name="표준 22 6 2 4 2 2" xfId="10177" xr:uid="{00000000-0005-0000-0000-0000AD250000}"/>
    <cellStyle name="표준 22 6 2 4 3" xfId="8495" xr:uid="{00000000-0005-0000-0000-0000AE250000}"/>
    <cellStyle name="표준 22 6 2 4 4" xfId="9337" xr:uid="{00000000-0005-0000-0000-0000AF250000}"/>
    <cellStyle name="표준 22 6 2 4 5" xfId="6807" xr:uid="{00000000-0005-0000-0000-0000B0250000}"/>
    <cellStyle name="표준 22 6 2 5" xfId="7651" xr:uid="{00000000-0005-0000-0000-0000B1250000}"/>
    <cellStyle name="표준 22 6 2 5 2" xfId="10174" xr:uid="{00000000-0005-0000-0000-0000B2250000}"/>
    <cellStyle name="표준 22 6 2 6" xfId="8492" xr:uid="{00000000-0005-0000-0000-0000B3250000}"/>
    <cellStyle name="표준 22 6 2 7" xfId="9334" xr:uid="{00000000-0005-0000-0000-0000B4250000}"/>
    <cellStyle name="표준 22 6 2 8" xfId="6804" xr:uid="{00000000-0005-0000-0000-0000B5250000}"/>
    <cellStyle name="표준 22 6 3" xfId="5750" xr:uid="{00000000-0005-0000-0000-0000B6250000}"/>
    <cellStyle name="표준 22 6 3 2" xfId="7655" xr:uid="{00000000-0005-0000-0000-0000B7250000}"/>
    <cellStyle name="표준 22 6 3 2 2" xfId="10178" xr:uid="{00000000-0005-0000-0000-0000B8250000}"/>
    <cellStyle name="표준 22 6 3 3" xfId="8496" xr:uid="{00000000-0005-0000-0000-0000B9250000}"/>
    <cellStyle name="표준 22 6 3 4" xfId="9338" xr:uid="{00000000-0005-0000-0000-0000BA250000}"/>
    <cellStyle name="표준 22 6 3 5" xfId="6808" xr:uid="{00000000-0005-0000-0000-0000BB250000}"/>
    <cellStyle name="표준 22 6 4" xfId="5751" xr:uid="{00000000-0005-0000-0000-0000BC250000}"/>
    <cellStyle name="표준 22 6 4 2" xfId="7656" xr:uid="{00000000-0005-0000-0000-0000BD250000}"/>
    <cellStyle name="표준 22 6 4 2 2" xfId="10179" xr:uid="{00000000-0005-0000-0000-0000BE250000}"/>
    <cellStyle name="표준 22 6 4 3" xfId="8497" xr:uid="{00000000-0005-0000-0000-0000BF250000}"/>
    <cellStyle name="표준 22 6 4 4" xfId="9339" xr:uid="{00000000-0005-0000-0000-0000C0250000}"/>
    <cellStyle name="표준 22 6 4 5" xfId="6809" xr:uid="{00000000-0005-0000-0000-0000C1250000}"/>
    <cellStyle name="표준 22 6 5" xfId="5752" xr:uid="{00000000-0005-0000-0000-0000C2250000}"/>
    <cellStyle name="표준 22 6 5 2" xfId="7657" xr:uid="{00000000-0005-0000-0000-0000C3250000}"/>
    <cellStyle name="표준 22 6 5 2 2" xfId="10180" xr:uid="{00000000-0005-0000-0000-0000C4250000}"/>
    <cellStyle name="표준 22 6 5 3" xfId="8498" xr:uid="{00000000-0005-0000-0000-0000C5250000}"/>
    <cellStyle name="표준 22 6 5 4" xfId="9340" xr:uid="{00000000-0005-0000-0000-0000C6250000}"/>
    <cellStyle name="표준 22 6 5 5" xfId="6810" xr:uid="{00000000-0005-0000-0000-0000C7250000}"/>
    <cellStyle name="표준 22 6 6" xfId="7650" xr:uid="{00000000-0005-0000-0000-0000C8250000}"/>
    <cellStyle name="표준 22 6 6 2" xfId="10173" xr:uid="{00000000-0005-0000-0000-0000C9250000}"/>
    <cellStyle name="표준 22 6 7" xfId="8491" xr:uid="{00000000-0005-0000-0000-0000CA250000}"/>
    <cellStyle name="표준 22 6 8" xfId="9333" xr:uid="{00000000-0005-0000-0000-0000CB250000}"/>
    <cellStyle name="표준 22 6 9" xfId="6803" xr:uid="{00000000-0005-0000-0000-0000CC250000}"/>
    <cellStyle name="표준 22 7" xfId="5753" xr:uid="{00000000-0005-0000-0000-0000CD250000}"/>
    <cellStyle name="표준 22 7 2" xfId="5754" xr:uid="{00000000-0005-0000-0000-0000CE250000}"/>
    <cellStyle name="표준 22 7 2 2" xfId="7659" xr:uid="{00000000-0005-0000-0000-0000CF250000}"/>
    <cellStyle name="표준 22 7 2 2 2" xfId="10182" xr:uid="{00000000-0005-0000-0000-0000D0250000}"/>
    <cellStyle name="표준 22 7 2 3" xfId="8500" xr:uid="{00000000-0005-0000-0000-0000D1250000}"/>
    <cellStyle name="표준 22 7 2 4" xfId="9342" xr:uid="{00000000-0005-0000-0000-0000D2250000}"/>
    <cellStyle name="표준 22 7 2 5" xfId="6812" xr:uid="{00000000-0005-0000-0000-0000D3250000}"/>
    <cellStyle name="표준 22 7 3" xfId="5755" xr:uid="{00000000-0005-0000-0000-0000D4250000}"/>
    <cellStyle name="표준 22 7 3 2" xfId="7660" xr:uid="{00000000-0005-0000-0000-0000D5250000}"/>
    <cellStyle name="표준 22 7 3 2 2" xfId="10183" xr:uid="{00000000-0005-0000-0000-0000D6250000}"/>
    <cellStyle name="표준 22 7 3 3" xfId="8501" xr:uid="{00000000-0005-0000-0000-0000D7250000}"/>
    <cellStyle name="표준 22 7 3 4" xfId="9343" xr:uid="{00000000-0005-0000-0000-0000D8250000}"/>
    <cellStyle name="표준 22 7 3 5" xfId="6813" xr:uid="{00000000-0005-0000-0000-0000D9250000}"/>
    <cellStyle name="표준 22 7 4" xfId="5756" xr:uid="{00000000-0005-0000-0000-0000DA250000}"/>
    <cellStyle name="표준 22 7 4 2" xfId="7661" xr:uid="{00000000-0005-0000-0000-0000DB250000}"/>
    <cellStyle name="표준 22 7 4 2 2" xfId="10184" xr:uid="{00000000-0005-0000-0000-0000DC250000}"/>
    <cellStyle name="표준 22 7 4 3" xfId="8502" xr:uid="{00000000-0005-0000-0000-0000DD250000}"/>
    <cellStyle name="표준 22 7 4 4" xfId="9344" xr:uid="{00000000-0005-0000-0000-0000DE250000}"/>
    <cellStyle name="표준 22 7 4 5" xfId="6814" xr:uid="{00000000-0005-0000-0000-0000DF250000}"/>
    <cellStyle name="표준 22 7 5" xfId="7658" xr:uid="{00000000-0005-0000-0000-0000E0250000}"/>
    <cellStyle name="표준 22 7 5 2" xfId="10181" xr:uid="{00000000-0005-0000-0000-0000E1250000}"/>
    <cellStyle name="표준 22 7 6" xfId="8499" xr:uid="{00000000-0005-0000-0000-0000E2250000}"/>
    <cellStyle name="표준 22 7 7" xfId="9341" xr:uid="{00000000-0005-0000-0000-0000E3250000}"/>
    <cellStyle name="표준 22 7 8" xfId="6811" xr:uid="{00000000-0005-0000-0000-0000E4250000}"/>
    <cellStyle name="표준 22 8" xfId="5757" xr:uid="{00000000-0005-0000-0000-0000E5250000}"/>
    <cellStyle name="표준 22 8 2" xfId="7662" xr:uid="{00000000-0005-0000-0000-0000E6250000}"/>
    <cellStyle name="표준 22 8 2 2" xfId="10185" xr:uid="{00000000-0005-0000-0000-0000E7250000}"/>
    <cellStyle name="표준 22 8 3" xfId="8503" xr:uid="{00000000-0005-0000-0000-0000E8250000}"/>
    <cellStyle name="표준 22 8 4" xfId="9345" xr:uid="{00000000-0005-0000-0000-0000E9250000}"/>
    <cellStyle name="표준 22 8 5" xfId="6815" xr:uid="{00000000-0005-0000-0000-0000EA250000}"/>
    <cellStyle name="표준 22 9" xfId="5758" xr:uid="{00000000-0005-0000-0000-0000EB250000}"/>
    <cellStyle name="표준 22 9 2" xfId="7663" xr:uid="{00000000-0005-0000-0000-0000EC250000}"/>
    <cellStyle name="표준 22 9 2 2" xfId="10186" xr:uid="{00000000-0005-0000-0000-0000ED250000}"/>
    <cellStyle name="표준 22 9 3" xfId="8504" xr:uid="{00000000-0005-0000-0000-0000EE250000}"/>
    <cellStyle name="표준 22 9 4" xfId="9346" xr:uid="{00000000-0005-0000-0000-0000EF250000}"/>
    <cellStyle name="표준 22 9 5" xfId="6816" xr:uid="{00000000-0005-0000-0000-0000F0250000}"/>
    <cellStyle name="표준 23" xfId="5759" xr:uid="{00000000-0005-0000-0000-0000F1250000}"/>
    <cellStyle name="표준 24" xfId="5760" xr:uid="{00000000-0005-0000-0000-0000F2250000}"/>
    <cellStyle name="표준 24 2" xfId="5761" xr:uid="{00000000-0005-0000-0000-0000F3250000}"/>
    <cellStyle name="표준 24 2 2" xfId="5762" xr:uid="{00000000-0005-0000-0000-0000F4250000}"/>
    <cellStyle name="표준 24 2 2 2" xfId="5763" xr:uid="{00000000-0005-0000-0000-0000F5250000}"/>
    <cellStyle name="표준 24 2 2 2 2" xfId="7666" xr:uid="{00000000-0005-0000-0000-0000F6250000}"/>
    <cellStyle name="표준 24 2 2 2 2 2" xfId="10189" xr:uid="{00000000-0005-0000-0000-0000F7250000}"/>
    <cellStyle name="표준 24 2 2 2 3" xfId="8507" xr:uid="{00000000-0005-0000-0000-0000F8250000}"/>
    <cellStyle name="표준 24 2 2 2 4" xfId="9349" xr:uid="{00000000-0005-0000-0000-0000F9250000}"/>
    <cellStyle name="표준 24 2 2 2 5" xfId="6819" xr:uid="{00000000-0005-0000-0000-0000FA250000}"/>
    <cellStyle name="표준 24 2 2 3" xfId="5764" xr:uid="{00000000-0005-0000-0000-0000FB250000}"/>
    <cellStyle name="표준 24 2 2 3 2" xfId="7667" xr:uid="{00000000-0005-0000-0000-0000FC250000}"/>
    <cellStyle name="표준 24 2 2 3 2 2" xfId="10190" xr:uid="{00000000-0005-0000-0000-0000FD250000}"/>
    <cellStyle name="표준 24 2 2 3 3" xfId="8508" xr:uid="{00000000-0005-0000-0000-0000FE250000}"/>
    <cellStyle name="표준 24 2 2 3 4" xfId="9350" xr:uid="{00000000-0005-0000-0000-0000FF250000}"/>
    <cellStyle name="표준 24 2 2 3 5" xfId="6820" xr:uid="{00000000-0005-0000-0000-000000260000}"/>
    <cellStyle name="표준 24 2 2 4" xfId="5765" xr:uid="{00000000-0005-0000-0000-000001260000}"/>
    <cellStyle name="표준 24 2 2 4 2" xfId="7668" xr:uid="{00000000-0005-0000-0000-000002260000}"/>
    <cellStyle name="표준 24 2 2 4 2 2" xfId="10191" xr:uid="{00000000-0005-0000-0000-000003260000}"/>
    <cellStyle name="표준 24 2 2 4 3" xfId="8509" xr:uid="{00000000-0005-0000-0000-000004260000}"/>
    <cellStyle name="표준 24 2 2 4 4" xfId="9351" xr:uid="{00000000-0005-0000-0000-000005260000}"/>
    <cellStyle name="표준 24 2 2 4 5" xfId="6821" xr:uid="{00000000-0005-0000-0000-000006260000}"/>
    <cellStyle name="표준 24 2 2 5" xfId="7665" xr:uid="{00000000-0005-0000-0000-000007260000}"/>
    <cellStyle name="표준 24 2 2 5 2" xfId="10188" xr:uid="{00000000-0005-0000-0000-000008260000}"/>
    <cellStyle name="표준 24 2 2 6" xfId="8506" xr:uid="{00000000-0005-0000-0000-000009260000}"/>
    <cellStyle name="표준 24 2 2 7" xfId="9348" xr:uid="{00000000-0005-0000-0000-00000A260000}"/>
    <cellStyle name="표준 24 2 2 8" xfId="6818" xr:uid="{00000000-0005-0000-0000-00000B260000}"/>
    <cellStyle name="표준 24 2 3" xfId="5766" xr:uid="{00000000-0005-0000-0000-00000C260000}"/>
    <cellStyle name="표준 24 2 3 2" xfId="7669" xr:uid="{00000000-0005-0000-0000-00000D260000}"/>
    <cellStyle name="표준 24 2 3 2 2" xfId="10192" xr:uid="{00000000-0005-0000-0000-00000E260000}"/>
    <cellStyle name="표준 24 2 3 3" xfId="8510" xr:uid="{00000000-0005-0000-0000-00000F260000}"/>
    <cellStyle name="표준 24 2 3 4" xfId="9352" xr:uid="{00000000-0005-0000-0000-000010260000}"/>
    <cellStyle name="표준 24 2 3 5" xfId="6822" xr:uid="{00000000-0005-0000-0000-000011260000}"/>
    <cellStyle name="표준 24 2 4" xfId="5767" xr:uid="{00000000-0005-0000-0000-000012260000}"/>
    <cellStyle name="표준 24 2 4 2" xfId="7670" xr:uid="{00000000-0005-0000-0000-000013260000}"/>
    <cellStyle name="표준 24 2 4 2 2" xfId="10193" xr:uid="{00000000-0005-0000-0000-000014260000}"/>
    <cellStyle name="표준 24 2 4 3" xfId="8511" xr:uid="{00000000-0005-0000-0000-000015260000}"/>
    <cellStyle name="표준 24 2 4 4" xfId="9353" xr:uid="{00000000-0005-0000-0000-000016260000}"/>
    <cellStyle name="표준 24 2 4 5" xfId="6823" xr:uid="{00000000-0005-0000-0000-000017260000}"/>
    <cellStyle name="표준 24 2 5" xfId="5768" xr:uid="{00000000-0005-0000-0000-000018260000}"/>
    <cellStyle name="표준 24 2 5 2" xfId="7671" xr:uid="{00000000-0005-0000-0000-000019260000}"/>
    <cellStyle name="표준 24 2 5 2 2" xfId="10194" xr:uid="{00000000-0005-0000-0000-00001A260000}"/>
    <cellStyle name="표준 24 2 5 3" xfId="8512" xr:uid="{00000000-0005-0000-0000-00001B260000}"/>
    <cellStyle name="표준 24 2 5 4" xfId="9354" xr:uid="{00000000-0005-0000-0000-00001C260000}"/>
    <cellStyle name="표준 24 2 5 5" xfId="6824" xr:uid="{00000000-0005-0000-0000-00001D260000}"/>
    <cellStyle name="표준 24 2 6" xfId="7664" xr:uid="{00000000-0005-0000-0000-00001E260000}"/>
    <cellStyle name="표준 24 2 6 2" xfId="10187" xr:uid="{00000000-0005-0000-0000-00001F260000}"/>
    <cellStyle name="표준 24 2 7" xfId="8505" xr:uid="{00000000-0005-0000-0000-000020260000}"/>
    <cellStyle name="표준 24 2 8" xfId="9347" xr:uid="{00000000-0005-0000-0000-000021260000}"/>
    <cellStyle name="표준 24 2 9" xfId="6817" xr:uid="{00000000-0005-0000-0000-000022260000}"/>
    <cellStyle name="표준 24 3" xfId="5769" xr:uid="{00000000-0005-0000-0000-000023260000}"/>
    <cellStyle name="표준 24 3 2" xfId="5770" xr:uid="{00000000-0005-0000-0000-000024260000}"/>
    <cellStyle name="표준 24 3 2 2" xfId="7673" xr:uid="{00000000-0005-0000-0000-000025260000}"/>
    <cellStyle name="표준 24 3 2 2 2" xfId="10196" xr:uid="{00000000-0005-0000-0000-000026260000}"/>
    <cellStyle name="표준 24 3 2 3" xfId="8514" xr:uid="{00000000-0005-0000-0000-000027260000}"/>
    <cellStyle name="표준 24 3 2 4" xfId="9356" xr:uid="{00000000-0005-0000-0000-000028260000}"/>
    <cellStyle name="표준 24 3 2 5" xfId="6826" xr:uid="{00000000-0005-0000-0000-000029260000}"/>
    <cellStyle name="표준 24 3 3" xfId="5771" xr:uid="{00000000-0005-0000-0000-00002A260000}"/>
    <cellStyle name="표준 24 3 3 2" xfId="7674" xr:uid="{00000000-0005-0000-0000-00002B260000}"/>
    <cellStyle name="표준 24 3 3 2 2" xfId="10197" xr:uid="{00000000-0005-0000-0000-00002C260000}"/>
    <cellStyle name="표준 24 3 3 3" xfId="8515" xr:uid="{00000000-0005-0000-0000-00002D260000}"/>
    <cellStyle name="표준 24 3 3 4" xfId="9357" xr:uid="{00000000-0005-0000-0000-00002E260000}"/>
    <cellStyle name="표준 24 3 3 5" xfId="6827" xr:uid="{00000000-0005-0000-0000-00002F260000}"/>
    <cellStyle name="표준 24 3 4" xfId="5772" xr:uid="{00000000-0005-0000-0000-000030260000}"/>
    <cellStyle name="표준 24 3 4 2" xfId="7675" xr:uid="{00000000-0005-0000-0000-000031260000}"/>
    <cellStyle name="표준 24 3 4 2 2" xfId="10198" xr:uid="{00000000-0005-0000-0000-000032260000}"/>
    <cellStyle name="표준 24 3 4 3" xfId="8516" xr:uid="{00000000-0005-0000-0000-000033260000}"/>
    <cellStyle name="표준 24 3 4 4" xfId="9358" xr:uid="{00000000-0005-0000-0000-000034260000}"/>
    <cellStyle name="표준 24 3 4 5" xfId="6828" xr:uid="{00000000-0005-0000-0000-000035260000}"/>
    <cellStyle name="표준 24 3 5" xfId="7672" xr:uid="{00000000-0005-0000-0000-000036260000}"/>
    <cellStyle name="표준 24 3 5 2" xfId="10195" xr:uid="{00000000-0005-0000-0000-000037260000}"/>
    <cellStyle name="표준 24 3 6" xfId="8513" xr:uid="{00000000-0005-0000-0000-000038260000}"/>
    <cellStyle name="표준 24 3 7" xfId="9355" xr:uid="{00000000-0005-0000-0000-000039260000}"/>
    <cellStyle name="표준 24 3 8" xfId="6825" xr:uid="{00000000-0005-0000-0000-00003A260000}"/>
    <cellStyle name="표준 24 4" xfId="5773" xr:uid="{00000000-0005-0000-0000-00003B260000}"/>
    <cellStyle name="표준 24 4 2" xfId="7676" xr:uid="{00000000-0005-0000-0000-00003C260000}"/>
    <cellStyle name="표준 24 4 2 2" xfId="10199" xr:uid="{00000000-0005-0000-0000-00003D260000}"/>
    <cellStyle name="표준 24 4 3" xfId="8517" xr:uid="{00000000-0005-0000-0000-00003E260000}"/>
    <cellStyle name="표준 24 4 4" xfId="9359" xr:uid="{00000000-0005-0000-0000-00003F260000}"/>
    <cellStyle name="표준 24 4 5" xfId="6829" xr:uid="{00000000-0005-0000-0000-000040260000}"/>
    <cellStyle name="표준 24 5" xfId="5774" xr:uid="{00000000-0005-0000-0000-000041260000}"/>
    <cellStyle name="표준 24 5 2" xfId="7677" xr:uid="{00000000-0005-0000-0000-000042260000}"/>
    <cellStyle name="표준 24 5 2 2" xfId="10200" xr:uid="{00000000-0005-0000-0000-000043260000}"/>
    <cellStyle name="표준 24 5 3" xfId="8518" xr:uid="{00000000-0005-0000-0000-000044260000}"/>
    <cellStyle name="표준 24 5 4" xfId="9360" xr:uid="{00000000-0005-0000-0000-000045260000}"/>
    <cellStyle name="표준 24 5 5" xfId="6830" xr:uid="{00000000-0005-0000-0000-000046260000}"/>
    <cellStyle name="표준 24 6" xfId="5775" xr:uid="{00000000-0005-0000-0000-000047260000}"/>
    <cellStyle name="표준 24 6 2" xfId="7678" xr:uid="{00000000-0005-0000-0000-000048260000}"/>
    <cellStyle name="표준 24 6 2 2" xfId="10201" xr:uid="{00000000-0005-0000-0000-000049260000}"/>
    <cellStyle name="표준 24 6 3" xfId="8519" xr:uid="{00000000-0005-0000-0000-00004A260000}"/>
    <cellStyle name="표준 24 6 4" xfId="9361" xr:uid="{00000000-0005-0000-0000-00004B260000}"/>
    <cellStyle name="표준 24 6 5" xfId="6831" xr:uid="{00000000-0005-0000-0000-00004C260000}"/>
    <cellStyle name="표준 25" xfId="5776" xr:uid="{00000000-0005-0000-0000-00004D260000}"/>
    <cellStyle name="표준 26" xfId="5777" xr:uid="{00000000-0005-0000-0000-00004E260000}"/>
    <cellStyle name="표준 26 2" xfId="5778" xr:uid="{00000000-0005-0000-0000-00004F260000}"/>
    <cellStyle name="표준 26 2 2" xfId="5779" xr:uid="{00000000-0005-0000-0000-000050260000}"/>
    <cellStyle name="표준 26 2 2 2" xfId="7681" xr:uid="{00000000-0005-0000-0000-000051260000}"/>
    <cellStyle name="표준 26 2 2 2 2" xfId="10204" xr:uid="{00000000-0005-0000-0000-000052260000}"/>
    <cellStyle name="표준 26 2 2 3" xfId="8522" xr:uid="{00000000-0005-0000-0000-000053260000}"/>
    <cellStyle name="표준 26 2 2 4" xfId="9364" xr:uid="{00000000-0005-0000-0000-000054260000}"/>
    <cellStyle name="표준 26 2 2 5" xfId="6834" xr:uid="{00000000-0005-0000-0000-000055260000}"/>
    <cellStyle name="표준 26 2 3" xfId="5780" xr:uid="{00000000-0005-0000-0000-000056260000}"/>
    <cellStyle name="표준 26 2 3 2" xfId="7682" xr:uid="{00000000-0005-0000-0000-000057260000}"/>
    <cellStyle name="표준 26 2 3 2 2" xfId="10205" xr:uid="{00000000-0005-0000-0000-000058260000}"/>
    <cellStyle name="표준 26 2 3 3" xfId="8523" xr:uid="{00000000-0005-0000-0000-000059260000}"/>
    <cellStyle name="표준 26 2 3 4" xfId="9365" xr:uid="{00000000-0005-0000-0000-00005A260000}"/>
    <cellStyle name="표준 26 2 3 5" xfId="6835" xr:uid="{00000000-0005-0000-0000-00005B260000}"/>
    <cellStyle name="표준 26 2 4" xfId="5781" xr:uid="{00000000-0005-0000-0000-00005C260000}"/>
    <cellStyle name="표준 26 2 4 2" xfId="7683" xr:uid="{00000000-0005-0000-0000-00005D260000}"/>
    <cellStyle name="표준 26 2 4 2 2" xfId="10206" xr:uid="{00000000-0005-0000-0000-00005E260000}"/>
    <cellStyle name="표준 26 2 4 3" xfId="8524" xr:uid="{00000000-0005-0000-0000-00005F260000}"/>
    <cellStyle name="표준 26 2 4 4" xfId="9366" xr:uid="{00000000-0005-0000-0000-000060260000}"/>
    <cellStyle name="표준 26 2 4 5" xfId="6836" xr:uid="{00000000-0005-0000-0000-000061260000}"/>
    <cellStyle name="표준 26 2 5" xfId="7680" xr:uid="{00000000-0005-0000-0000-000062260000}"/>
    <cellStyle name="표준 26 2 5 2" xfId="10203" xr:uid="{00000000-0005-0000-0000-000063260000}"/>
    <cellStyle name="표준 26 2 6" xfId="8521" xr:uid="{00000000-0005-0000-0000-000064260000}"/>
    <cellStyle name="표준 26 2 7" xfId="9363" xr:uid="{00000000-0005-0000-0000-000065260000}"/>
    <cellStyle name="표준 26 2 8" xfId="6833" xr:uid="{00000000-0005-0000-0000-000066260000}"/>
    <cellStyle name="표준 26 3" xfId="5782" xr:uid="{00000000-0005-0000-0000-000067260000}"/>
    <cellStyle name="표준 26 3 2" xfId="7684" xr:uid="{00000000-0005-0000-0000-000068260000}"/>
    <cellStyle name="표준 26 3 2 2" xfId="10207" xr:uid="{00000000-0005-0000-0000-000069260000}"/>
    <cellStyle name="표준 26 3 3" xfId="8525" xr:uid="{00000000-0005-0000-0000-00006A260000}"/>
    <cellStyle name="표준 26 3 4" xfId="9367" xr:uid="{00000000-0005-0000-0000-00006B260000}"/>
    <cellStyle name="표준 26 3 5" xfId="6837" xr:uid="{00000000-0005-0000-0000-00006C260000}"/>
    <cellStyle name="표준 26 4" xfId="5783" xr:uid="{00000000-0005-0000-0000-00006D260000}"/>
    <cellStyle name="표준 26 4 2" xfId="7685" xr:uid="{00000000-0005-0000-0000-00006E260000}"/>
    <cellStyle name="표준 26 4 2 2" xfId="10208" xr:uid="{00000000-0005-0000-0000-00006F260000}"/>
    <cellStyle name="표준 26 4 3" xfId="8526" xr:uid="{00000000-0005-0000-0000-000070260000}"/>
    <cellStyle name="표준 26 4 4" xfId="9368" xr:uid="{00000000-0005-0000-0000-000071260000}"/>
    <cellStyle name="표준 26 4 5" xfId="6838" xr:uid="{00000000-0005-0000-0000-000072260000}"/>
    <cellStyle name="표준 26 5" xfId="5784" xr:uid="{00000000-0005-0000-0000-000073260000}"/>
    <cellStyle name="표준 26 5 2" xfId="7686" xr:uid="{00000000-0005-0000-0000-000074260000}"/>
    <cellStyle name="표준 26 5 2 2" xfId="10209" xr:uid="{00000000-0005-0000-0000-000075260000}"/>
    <cellStyle name="표준 26 5 3" xfId="8527" xr:uid="{00000000-0005-0000-0000-000076260000}"/>
    <cellStyle name="표준 26 5 4" xfId="9369" xr:uid="{00000000-0005-0000-0000-000077260000}"/>
    <cellStyle name="표준 26 5 5" xfId="6839" xr:uid="{00000000-0005-0000-0000-000078260000}"/>
    <cellStyle name="표준 26 6" xfId="7679" xr:uid="{00000000-0005-0000-0000-000079260000}"/>
    <cellStyle name="표준 26 6 2" xfId="10202" xr:uid="{00000000-0005-0000-0000-00007A260000}"/>
    <cellStyle name="표준 26 7" xfId="8520" xr:uid="{00000000-0005-0000-0000-00007B260000}"/>
    <cellStyle name="표준 26 8" xfId="9362" xr:uid="{00000000-0005-0000-0000-00007C260000}"/>
    <cellStyle name="표준 26 9" xfId="6832" xr:uid="{00000000-0005-0000-0000-00007D260000}"/>
    <cellStyle name="표준 27" xfId="5785" xr:uid="{00000000-0005-0000-0000-00007E260000}"/>
    <cellStyle name="표준 27 10" xfId="6840" xr:uid="{00000000-0005-0000-0000-00007F260000}"/>
    <cellStyle name="표준 27 2" xfId="5786" xr:uid="{00000000-0005-0000-0000-000080260000}"/>
    <cellStyle name="표준 27 2 2" xfId="5787" xr:uid="{00000000-0005-0000-0000-000081260000}"/>
    <cellStyle name="표준 27 2 2 2" xfId="7689" xr:uid="{00000000-0005-0000-0000-000082260000}"/>
    <cellStyle name="표준 27 2 2 2 2" xfId="10212" xr:uid="{00000000-0005-0000-0000-000083260000}"/>
    <cellStyle name="표준 27 2 2 3" xfId="8530" xr:uid="{00000000-0005-0000-0000-000084260000}"/>
    <cellStyle name="표준 27 2 2 4" xfId="9372" xr:uid="{00000000-0005-0000-0000-000085260000}"/>
    <cellStyle name="표준 27 2 2 5" xfId="6842" xr:uid="{00000000-0005-0000-0000-000086260000}"/>
    <cellStyle name="표준 27 2 3" xfId="5788" xr:uid="{00000000-0005-0000-0000-000087260000}"/>
    <cellStyle name="표준 27 2 3 2" xfId="7690" xr:uid="{00000000-0005-0000-0000-000088260000}"/>
    <cellStyle name="표준 27 2 3 2 2" xfId="10213" xr:uid="{00000000-0005-0000-0000-000089260000}"/>
    <cellStyle name="표준 27 2 3 3" xfId="8531" xr:uid="{00000000-0005-0000-0000-00008A260000}"/>
    <cellStyle name="표준 27 2 3 4" xfId="9373" xr:uid="{00000000-0005-0000-0000-00008B260000}"/>
    <cellStyle name="표준 27 2 3 5" xfId="6843" xr:uid="{00000000-0005-0000-0000-00008C260000}"/>
    <cellStyle name="표준 27 2 4" xfId="5789" xr:uid="{00000000-0005-0000-0000-00008D260000}"/>
    <cellStyle name="표준 27 2 4 2" xfId="7691" xr:uid="{00000000-0005-0000-0000-00008E260000}"/>
    <cellStyle name="표준 27 2 4 2 2" xfId="10214" xr:uid="{00000000-0005-0000-0000-00008F260000}"/>
    <cellStyle name="표준 27 2 4 3" xfId="8532" xr:uid="{00000000-0005-0000-0000-000090260000}"/>
    <cellStyle name="표준 27 2 4 4" xfId="9374" xr:uid="{00000000-0005-0000-0000-000091260000}"/>
    <cellStyle name="표준 27 2 4 5" xfId="6844" xr:uid="{00000000-0005-0000-0000-000092260000}"/>
    <cellStyle name="표준 27 2 5" xfId="7688" xr:uid="{00000000-0005-0000-0000-000093260000}"/>
    <cellStyle name="표준 27 2 5 2" xfId="10211" xr:uid="{00000000-0005-0000-0000-000094260000}"/>
    <cellStyle name="표준 27 2 6" xfId="8529" xr:uid="{00000000-0005-0000-0000-000095260000}"/>
    <cellStyle name="표준 27 2 7" xfId="9371" xr:uid="{00000000-0005-0000-0000-000096260000}"/>
    <cellStyle name="표준 27 2 8" xfId="6841" xr:uid="{00000000-0005-0000-0000-000097260000}"/>
    <cellStyle name="표준 27 3" xfId="5790" xr:uid="{00000000-0005-0000-0000-000098260000}"/>
    <cellStyle name="표준 27 3 2" xfId="5791" xr:uid="{00000000-0005-0000-0000-000099260000}"/>
    <cellStyle name="표준 27 3 2 2" xfId="7693" xr:uid="{00000000-0005-0000-0000-00009A260000}"/>
    <cellStyle name="표준 27 3 2 2 2" xfId="10216" xr:uid="{00000000-0005-0000-0000-00009B260000}"/>
    <cellStyle name="표준 27 3 2 3" xfId="8534" xr:uid="{00000000-0005-0000-0000-00009C260000}"/>
    <cellStyle name="표준 27 3 2 4" xfId="9376" xr:uid="{00000000-0005-0000-0000-00009D260000}"/>
    <cellStyle name="표준 27 3 2 5" xfId="6846" xr:uid="{00000000-0005-0000-0000-00009E260000}"/>
    <cellStyle name="표준 27 3 3" xfId="5792" xr:uid="{00000000-0005-0000-0000-00009F260000}"/>
    <cellStyle name="표준 27 3 3 2" xfId="7694" xr:uid="{00000000-0005-0000-0000-0000A0260000}"/>
    <cellStyle name="표준 27 3 3 2 2" xfId="10217" xr:uid="{00000000-0005-0000-0000-0000A1260000}"/>
    <cellStyle name="표준 27 3 3 3" xfId="8535" xr:uid="{00000000-0005-0000-0000-0000A2260000}"/>
    <cellStyle name="표준 27 3 3 4" xfId="9377" xr:uid="{00000000-0005-0000-0000-0000A3260000}"/>
    <cellStyle name="표준 27 3 3 5" xfId="6847" xr:uid="{00000000-0005-0000-0000-0000A4260000}"/>
    <cellStyle name="표준 27 3 4" xfId="5793" xr:uid="{00000000-0005-0000-0000-0000A5260000}"/>
    <cellStyle name="표준 27 3 4 2" xfId="7695" xr:uid="{00000000-0005-0000-0000-0000A6260000}"/>
    <cellStyle name="표준 27 3 4 2 2" xfId="10218" xr:uid="{00000000-0005-0000-0000-0000A7260000}"/>
    <cellStyle name="표준 27 3 4 3" xfId="8536" xr:uid="{00000000-0005-0000-0000-0000A8260000}"/>
    <cellStyle name="표준 27 3 4 4" xfId="9378" xr:uid="{00000000-0005-0000-0000-0000A9260000}"/>
    <cellStyle name="표준 27 3 4 5" xfId="6848" xr:uid="{00000000-0005-0000-0000-0000AA260000}"/>
    <cellStyle name="표준 27 3 5" xfId="7692" xr:uid="{00000000-0005-0000-0000-0000AB260000}"/>
    <cellStyle name="표준 27 3 5 2" xfId="10215" xr:uid="{00000000-0005-0000-0000-0000AC260000}"/>
    <cellStyle name="표준 27 3 6" xfId="8533" xr:uid="{00000000-0005-0000-0000-0000AD260000}"/>
    <cellStyle name="표준 27 3 7" xfId="9375" xr:uid="{00000000-0005-0000-0000-0000AE260000}"/>
    <cellStyle name="표준 27 3 8" xfId="6845" xr:uid="{00000000-0005-0000-0000-0000AF260000}"/>
    <cellStyle name="표준 27 4" xfId="5794" xr:uid="{00000000-0005-0000-0000-0000B0260000}"/>
    <cellStyle name="표준 27 4 2" xfId="7696" xr:uid="{00000000-0005-0000-0000-0000B1260000}"/>
    <cellStyle name="표준 27 4 2 2" xfId="10219" xr:uid="{00000000-0005-0000-0000-0000B2260000}"/>
    <cellStyle name="표준 27 4 3" xfId="8537" xr:uid="{00000000-0005-0000-0000-0000B3260000}"/>
    <cellStyle name="표준 27 4 4" xfId="9379" xr:uid="{00000000-0005-0000-0000-0000B4260000}"/>
    <cellStyle name="표준 27 4 5" xfId="6849" xr:uid="{00000000-0005-0000-0000-0000B5260000}"/>
    <cellStyle name="표준 27 5" xfId="5795" xr:uid="{00000000-0005-0000-0000-0000B6260000}"/>
    <cellStyle name="표준 27 5 2" xfId="7697" xr:uid="{00000000-0005-0000-0000-0000B7260000}"/>
    <cellStyle name="표준 27 5 2 2" xfId="10220" xr:uid="{00000000-0005-0000-0000-0000B8260000}"/>
    <cellStyle name="표준 27 5 3" xfId="8538" xr:uid="{00000000-0005-0000-0000-0000B9260000}"/>
    <cellStyle name="표준 27 5 4" xfId="9380" xr:uid="{00000000-0005-0000-0000-0000BA260000}"/>
    <cellStyle name="표준 27 5 5" xfId="6850" xr:uid="{00000000-0005-0000-0000-0000BB260000}"/>
    <cellStyle name="표준 27 6" xfId="5796" xr:uid="{00000000-0005-0000-0000-0000BC260000}"/>
    <cellStyle name="표준 27 6 2" xfId="7698" xr:uid="{00000000-0005-0000-0000-0000BD260000}"/>
    <cellStyle name="표준 27 6 2 2" xfId="10221" xr:uid="{00000000-0005-0000-0000-0000BE260000}"/>
    <cellStyle name="표준 27 6 3" xfId="8539" xr:uid="{00000000-0005-0000-0000-0000BF260000}"/>
    <cellStyle name="표준 27 6 4" xfId="9381" xr:uid="{00000000-0005-0000-0000-0000C0260000}"/>
    <cellStyle name="표준 27 6 5" xfId="6851" xr:uid="{00000000-0005-0000-0000-0000C1260000}"/>
    <cellStyle name="표준 27 7" xfId="7687" xr:uid="{00000000-0005-0000-0000-0000C2260000}"/>
    <cellStyle name="표준 27 7 2" xfId="10210" xr:uid="{00000000-0005-0000-0000-0000C3260000}"/>
    <cellStyle name="표준 27 8" xfId="8528" xr:uid="{00000000-0005-0000-0000-0000C4260000}"/>
    <cellStyle name="표준 27 9" xfId="9370" xr:uid="{00000000-0005-0000-0000-0000C5260000}"/>
    <cellStyle name="표준 28" xfId="5797" xr:uid="{00000000-0005-0000-0000-0000C6260000}"/>
    <cellStyle name="표준 28 2" xfId="5798" xr:uid="{00000000-0005-0000-0000-0000C7260000}"/>
    <cellStyle name="표준 28 3" xfId="7699" xr:uid="{00000000-0005-0000-0000-0000C8260000}"/>
    <cellStyle name="표준 28 3 2" xfId="10222" xr:uid="{00000000-0005-0000-0000-0000C9260000}"/>
    <cellStyle name="표준 28 4" xfId="8540" xr:uid="{00000000-0005-0000-0000-0000CA260000}"/>
    <cellStyle name="표준 28 5" xfId="9382" xr:uid="{00000000-0005-0000-0000-0000CB260000}"/>
    <cellStyle name="표준 28 6" xfId="6852" xr:uid="{00000000-0005-0000-0000-0000CC260000}"/>
    <cellStyle name="표준 29" xfId="5799" xr:uid="{00000000-0005-0000-0000-0000CD260000}"/>
    <cellStyle name="표준 3" xfId="44" xr:uid="{00000000-0005-0000-0000-0000CE260000}"/>
    <cellStyle name="표준 3 10" xfId="5800" xr:uid="{00000000-0005-0000-0000-0000CF260000}"/>
    <cellStyle name="표준 3 11" xfId="5801" xr:uid="{00000000-0005-0000-0000-0000D0260000}"/>
    <cellStyle name="표준 3 12" xfId="5802" xr:uid="{00000000-0005-0000-0000-0000D1260000}"/>
    <cellStyle name="표준 3 13" xfId="5803" xr:uid="{00000000-0005-0000-0000-0000D2260000}"/>
    <cellStyle name="표준 3 14" xfId="5804" xr:uid="{00000000-0005-0000-0000-0000D3260000}"/>
    <cellStyle name="표준 3 15" xfId="5805" xr:uid="{00000000-0005-0000-0000-0000D4260000}"/>
    <cellStyle name="표준 3 16" xfId="5806" xr:uid="{00000000-0005-0000-0000-0000D5260000}"/>
    <cellStyle name="표준 3 17" xfId="5807" xr:uid="{00000000-0005-0000-0000-0000D6260000}"/>
    <cellStyle name="표준 3 18" xfId="5808" xr:uid="{00000000-0005-0000-0000-0000D7260000}"/>
    <cellStyle name="표준 3 19" xfId="5809" xr:uid="{00000000-0005-0000-0000-0000D8260000}"/>
    <cellStyle name="표준 3 2" xfId="45" xr:uid="{00000000-0005-0000-0000-0000D9260000}"/>
    <cellStyle name="표준 3 2 10" xfId="5810" xr:uid="{00000000-0005-0000-0000-0000DA260000}"/>
    <cellStyle name="표준 3 2 11" xfId="5811" xr:uid="{00000000-0005-0000-0000-0000DB260000}"/>
    <cellStyle name="표준 3 2 12" xfId="5812" xr:uid="{00000000-0005-0000-0000-0000DC260000}"/>
    <cellStyle name="표준 3 2 13" xfId="5813" xr:uid="{00000000-0005-0000-0000-0000DD260000}"/>
    <cellStyle name="표준 3 2 14" xfId="5814" xr:uid="{00000000-0005-0000-0000-0000DE260000}"/>
    <cellStyle name="표준 3 2 15" xfId="5815" xr:uid="{00000000-0005-0000-0000-0000DF260000}"/>
    <cellStyle name="표준 3 2 16" xfId="5816" xr:uid="{00000000-0005-0000-0000-0000E0260000}"/>
    <cellStyle name="표준 3 2 17" xfId="5817" xr:uid="{00000000-0005-0000-0000-0000E1260000}"/>
    <cellStyle name="표준 3 2 18" xfId="5818" xr:uid="{00000000-0005-0000-0000-0000E2260000}"/>
    <cellStyle name="표준 3 2 19" xfId="5819" xr:uid="{00000000-0005-0000-0000-0000E3260000}"/>
    <cellStyle name="표준 3 2 2" xfId="5820" xr:uid="{00000000-0005-0000-0000-0000E4260000}"/>
    <cellStyle name="표준 3 2 2 2" xfId="7700" xr:uid="{00000000-0005-0000-0000-0000E5260000}"/>
    <cellStyle name="표준 3 2 2 3" xfId="6872" xr:uid="{00000000-0005-0000-0000-0000E6260000}"/>
    <cellStyle name="표준 3 2 20" xfId="5821" xr:uid="{00000000-0005-0000-0000-0000E7260000}"/>
    <cellStyle name="표준 3 2 21" xfId="5822" xr:uid="{00000000-0005-0000-0000-0000E8260000}"/>
    <cellStyle name="표준 3 2 22" xfId="5823" xr:uid="{00000000-0005-0000-0000-0000E9260000}"/>
    <cellStyle name="표준 3 2 23" xfId="5824" xr:uid="{00000000-0005-0000-0000-0000EA260000}"/>
    <cellStyle name="표준 3 2 24" xfId="5825" xr:uid="{00000000-0005-0000-0000-0000EB260000}"/>
    <cellStyle name="표준 3 2 25" xfId="5826" xr:uid="{00000000-0005-0000-0000-0000EC260000}"/>
    <cellStyle name="표준 3 2 26" xfId="5827" xr:uid="{00000000-0005-0000-0000-0000ED260000}"/>
    <cellStyle name="표준 3 2 27" xfId="5828" xr:uid="{00000000-0005-0000-0000-0000EE260000}"/>
    <cellStyle name="표준 3 2 28" xfId="5829" xr:uid="{00000000-0005-0000-0000-0000EF260000}"/>
    <cellStyle name="표준 3 2 29" xfId="5830" xr:uid="{00000000-0005-0000-0000-0000F0260000}"/>
    <cellStyle name="표준 3 2 3" xfId="5831" xr:uid="{00000000-0005-0000-0000-0000F1260000}"/>
    <cellStyle name="표준 3 2 30" xfId="5832" xr:uid="{00000000-0005-0000-0000-0000F2260000}"/>
    <cellStyle name="표준 3 2 31" xfId="5833" xr:uid="{00000000-0005-0000-0000-0000F3260000}"/>
    <cellStyle name="표준 3 2 32" xfId="5834" xr:uid="{00000000-0005-0000-0000-0000F4260000}"/>
    <cellStyle name="표준 3 2 33" xfId="5835" xr:uid="{00000000-0005-0000-0000-0000F5260000}"/>
    <cellStyle name="표준 3 2 34" xfId="5836" xr:uid="{00000000-0005-0000-0000-0000F6260000}"/>
    <cellStyle name="표준 3 2 35" xfId="5837" xr:uid="{00000000-0005-0000-0000-0000F7260000}"/>
    <cellStyle name="표준 3 2 36" xfId="5838" xr:uid="{00000000-0005-0000-0000-0000F8260000}"/>
    <cellStyle name="표준 3 2 37" xfId="5839" xr:uid="{00000000-0005-0000-0000-0000F9260000}"/>
    <cellStyle name="표준 3 2 38" xfId="5840" xr:uid="{00000000-0005-0000-0000-0000FA260000}"/>
    <cellStyle name="표준 3 2 39" xfId="5841" xr:uid="{00000000-0005-0000-0000-0000FB260000}"/>
    <cellStyle name="표준 3 2 4" xfId="5842" xr:uid="{00000000-0005-0000-0000-0000FC260000}"/>
    <cellStyle name="표준 3 2 40" xfId="5843" xr:uid="{00000000-0005-0000-0000-0000FD260000}"/>
    <cellStyle name="표준 3 2 41" xfId="5844" xr:uid="{00000000-0005-0000-0000-0000FE260000}"/>
    <cellStyle name="표준 3 2 42" xfId="5845" xr:uid="{00000000-0005-0000-0000-0000FF260000}"/>
    <cellStyle name="표준 3 2 43" xfId="5846" xr:uid="{00000000-0005-0000-0000-000000270000}"/>
    <cellStyle name="표준 3 2 44" xfId="5847" xr:uid="{00000000-0005-0000-0000-000001270000}"/>
    <cellStyle name="표준 3 2 45" xfId="5848" xr:uid="{00000000-0005-0000-0000-000002270000}"/>
    <cellStyle name="표준 3 2 46" xfId="5849" xr:uid="{00000000-0005-0000-0000-000003270000}"/>
    <cellStyle name="표준 3 2 47" xfId="5850" xr:uid="{00000000-0005-0000-0000-000004270000}"/>
    <cellStyle name="표준 3 2 48" xfId="5851" xr:uid="{00000000-0005-0000-0000-000005270000}"/>
    <cellStyle name="표준 3 2 49" xfId="5852" xr:uid="{00000000-0005-0000-0000-000006270000}"/>
    <cellStyle name="표준 3 2 5" xfId="5853" xr:uid="{00000000-0005-0000-0000-000007270000}"/>
    <cellStyle name="표준 3 2 50" xfId="5854" xr:uid="{00000000-0005-0000-0000-000008270000}"/>
    <cellStyle name="표준 3 2 51" xfId="5855" xr:uid="{00000000-0005-0000-0000-000009270000}"/>
    <cellStyle name="표준 3 2 52" xfId="5856" xr:uid="{00000000-0005-0000-0000-00000A270000}"/>
    <cellStyle name="표준 3 2 53" xfId="5857" xr:uid="{00000000-0005-0000-0000-00000B270000}"/>
    <cellStyle name="표준 3 2 54" xfId="5858" xr:uid="{00000000-0005-0000-0000-00000C270000}"/>
    <cellStyle name="표준 3 2 55" xfId="5859" xr:uid="{00000000-0005-0000-0000-00000D270000}"/>
    <cellStyle name="표준 3 2 56" xfId="5860" xr:uid="{00000000-0005-0000-0000-00000E270000}"/>
    <cellStyle name="표준 3 2 57" xfId="5861" xr:uid="{00000000-0005-0000-0000-00000F270000}"/>
    <cellStyle name="표준 3 2 58" xfId="5862" xr:uid="{00000000-0005-0000-0000-000010270000}"/>
    <cellStyle name="표준 3 2 59" xfId="5863" xr:uid="{00000000-0005-0000-0000-000011270000}"/>
    <cellStyle name="표준 3 2 6" xfId="5864" xr:uid="{00000000-0005-0000-0000-000012270000}"/>
    <cellStyle name="표준 3 2 60" xfId="5865" xr:uid="{00000000-0005-0000-0000-000013270000}"/>
    <cellStyle name="표준 3 2 61" xfId="5866" xr:uid="{00000000-0005-0000-0000-000014270000}"/>
    <cellStyle name="표준 3 2 62" xfId="5867" xr:uid="{00000000-0005-0000-0000-000015270000}"/>
    <cellStyle name="표준 3 2 63" xfId="5868" xr:uid="{00000000-0005-0000-0000-000016270000}"/>
    <cellStyle name="표준 3 2 64" xfId="5869" xr:uid="{00000000-0005-0000-0000-000017270000}"/>
    <cellStyle name="표준 3 2 65" xfId="5870" xr:uid="{00000000-0005-0000-0000-000018270000}"/>
    <cellStyle name="표준 3 2 66" xfId="5871" xr:uid="{00000000-0005-0000-0000-000019270000}"/>
    <cellStyle name="표준 3 2 67" xfId="5872" xr:uid="{00000000-0005-0000-0000-00001A270000}"/>
    <cellStyle name="표준 3 2 68" xfId="5873" xr:uid="{00000000-0005-0000-0000-00001B270000}"/>
    <cellStyle name="표준 3 2 69" xfId="5874" xr:uid="{00000000-0005-0000-0000-00001C270000}"/>
    <cellStyle name="표준 3 2 7" xfId="5875" xr:uid="{00000000-0005-0000-0000-00001D270000}"/>
    <cellStyle name="표준 3 2 70" xfId="5876" xr:uid="{00000000-0005-0000-0000-00001E270000}"/>
    <cellStyle name="표준 3 2 71" xfId="5877" xr:uid="{00000000-0005-0000-0000-00001F270000}"/>
    <cellStyle name="표준 3 2 72" xfId="5878" xr:uid="{00000000-0005-0000-0000-000020270000}"/>
    <cellStyle name="표준 3 2 73" xfId="5879" xr:uid="{00000000-0005-0000-0000-000021270000}"/>
    <cellStyle name="표준 3 2 74" xfId="5880" xr:uid="{00000000-0005-0000-0000-000022270000}"/>
    <cellStyle name="표준 3 2 75" xfId="5881" xr:uid="{00000000-0005-0000-0000-000023270000}"/>
    <cellStyle name="표준 3 2 76" xfId="5882" xr:uid="{00000000-0005-0000-0000-000024270000}"/>
    <cellStyle name="표준 3 2 77" xfId="5883" xr:uid="{00000000-0005-0000-0000-000025270000}"/>
    <cellStyle name="표준 3 2 78" xfId="5884" xr:uid="{00000000-0005-0000-0000-000026270000}"/>
    <cellStyle name="표준 3 2 79" xfId="5885" xr:uid="{00000000-0005-0000-0000-000027270000}"/>
    <cellStyle name="표준 3 2 8" xfId="5886" xr:uid="{00000000-0005-0000-0000-000028270000}"/>
    <cellStyle name="표준 3 2 80" xfId="5887" xr:uid="{00000000-0005-0000-0000-000029270000}"/>
    <cellStyle name="표준 3 2 81" xfId="6887" xr:uid="{00000000-0005-0000-0000-00002A270000}"/>
    <cellStyle name="표준 3 2 81 2" xfId="10223" xr:uid="{00000000-0005-0000-0000-00002B270000}"/>
    <cellStyle name="표준 3 2 82" xfId="8541" xr:uid="{00000000-0005-0000-0000-00002C270000}"/>
    <cellStyle name="표준 3 2 83" xfId="8570" xr:uid="{00000000-0005-0000-0000-00002D270000}"/>
    <cellStyle name="표준 3 2 84" xfId="6871" xr:uid="{00000000-0005-0000-0000-00002E270000}"/>
    <cellStyle name="표준 3 2 85" xfId="6853" xr:uid="{00000000-0005-0000-0000-00002F270000}"/>
    <cellStyle name="표준 3 2 9" xfId="5888" xr:uid="{00000000-0005-0000-0000-000030270000}"/>
    <cellStyle name="표준 3 20" xfId="5889" xr:uid="{00000000-0005-0000-0000-000031270000}"/>
    <cellStyle name="표준 3 21" xfId="5890" xr:uid="{00000000-0005-0000-0000-000032270000}"/>
    <cellStyle name="표준 3 22" xfId="5891" xr:uid="{00000000-0005-0000-0000-000033270000}"/>
    <cellStyle name="표준 3 23" xfId="5892" xr:uid="{00000000-0005-0000-0000-000034270000}"/>
    <cellStyle name="표준 3 24" xfId="5893" xr:uid="{00000000-0005-0000-0000-000035270000}"/>
    <cellStyle name="표준 3 25" xfId="5894" xr:uid="{00000000-0005-0000-0000-000036270000}"/>
    <cellStyle name="표준 3 26" xfId="5895" xr:uid="{00000000-0005-0000-0000-000037270000}"/>
    <cellStyle name="표준 3 27" xfId="5896" xr:uid="{00000000-0005-0000-0000-000038270000}"/>
    <cellStyle name="표준 3 28" xfId="5897" xr:uid="{00000000-0005-0000-0000-000039270000}"/>
    <cellStyle name="표준 3 29" xfId="5898" xr:uid="{00000000-0005-0000-0000-00003A270000}"/>
    <cellStyle name="표준 3 3" xfId="5899" xr:uid="{00000000-0005-0000-0000-00003B270000}"/>
    <cellStyle name="표준 3 3 2" xfId="5900" xr:uid="{00000000-0005-0000-0000-00003C270000}"/>
    <cellStyle name="표준 3 3 3" xfId="5901" xr:uid="{00000000-0005-0000-0000-00003D270000}"/>
    <cellStyle name="표준 3 30" xfId="5902" xr:uid="{00000000-0005-0000-0000-00003E270000}"/>
    <cellStyle name="표준 3 31" xfId="5903" xr:uid="{00000000-0005-0000-0000-00003F270000}"/>
    <cellStyle name="표준 3 32" xfId="5904" xr:uid="{00000000-0005-0000-0000-000040270000}"/>
    <cellStyle name="표준 3 33" xfId="5905" xr:uid="{00000000-0005-0000-0000-000041270000}"/>
    <cellStyle name="표준 3 34" xfId="5906" xr:uid="{00000000-0005-0000-0000-000042270000}"/>
    <cellStyle name="표준 3 35" xfId="5907" xr:uid="{00000000-0005-0000-0000-000043270000}"/>
    <cellStyle name="표준 3 36" xfId="5908" xr:uid="{00000000-0005-0000-0000-000044270000}"/>
    <cellStyle name="표준 3 37" xfId="5909" xr:uid="{00000000-0005-0000-0000-000045270000}"/>
    <cellStyle name="표준 3 38" xfId="5910" xr:uid="{00000000-0005-0000-0000-000046270000}"/>
    <cellStyle name="표준 3 39" xfId="5911" xr:uid="{00000000-0005-0000-0000-000047270000}"/>
    <cellStyle name="표준 3 4" xfId="5912" xr:uid="{00000000-0005-0000-0000-000048270000}"/>
    <cellStyle name="표준 3 4 2" xfId="5913" xr:uid="{00000000-0005-0000-0000-000049270000}"/>
    <cellStyle name="표준 3 4 3" xfId="5914" xr:uid="{00000000-0005-0000-0000-00004A270000}"/>
    <cellStyle name="표준 3 40" xfId="5915" xr:uid="{00000000-0005-0000-0000-00004B270000}"/>
    <cellStyle name="표준 3 41" xfId="5916" xr:uid="{00000000-0005-0000-0000-00004C270000}"/>
    <cellStyle name="표준 3 42" xfId="5917" xr:uid="{00000000-0005-0000-0000-00004D270000}"/>
    <cellStyle name="표준 3 43" xfId="5918" xr:uid="{00000000-0005-0000-0000-00004E270000}"/>
    <cellStyle name="표준 3 44" xfId="5919" xr:uid="{00000000-0005-0000-0000-00004F270000}"/>
    <cellStyle name="표준 3 45" xfId="5920" xr:uid="{00000000-0005-0000-0000-000050270000}"/>
    <cellStyle name="표준 3 46" xfId="5921" xr:uid="{00000000-0005-0000-0000-000051270000}"/>
    <cellStyle name="표준 3 47" xfId="5922" xr:uid="{00000000-0005-0000-0000-000052270000}"/>
    <cellStyle name="표준 3 48" xfId="5923" xr:uid="{00000000-0005-0000-0000-000053270000}"/>
    <cellStyle name="표준 3 49" xfId="5924" xr:uid="{00000000-0005-0000-0000-000054270000}"/>
    <cellStyle name="표준 3 5" xfId="5925" xr:uid="{00000000-0005-0000-0000-000055270000}"/>
    <cellStyle name="표준 3 50" xfId="5926" xr:uid="{00000000-0005-0000-0000-000056270000}"/>
    <cellStyle name="표준 3 51" xfId="5927" xr:uid="{00000000-0005-0000-0000-000057270000}"/>
    <cellStyle name="표준 3 52" xfId="5928" xr:uid="{00000000-0005-0000-0000-000058270000}"/>
    <cellStyle name="표준 3 53" xfId="5929" xr:uid="{00000000-0005-0000-0000-000059270000}"/>
    <cellStyle name="표준 3 54" xfId="5930" xr:uid="{00000000-0005-0000-0000-00005A270000}"/>
    <cellStyle name="표준 3 55" xfId="5931" xr:uid="{00000000-0005-0000-0000-00005B270000}"/>
    <cellStyle name="표준 3 56" xfId="5932" xr:uid="{00000000-0005-0000-0000-00005C270000}"/>
    <cellStyle name="표준 3 57" xfId="5933" xr:uid="{00000000-0005-0000-0000-00005D270000}"/>
    <cellStyle name="표준 3 58" xfId="5934" xr:uid="{00000000-0005-0000-0000-00005E270000}"/>
    <cellStyle name="표준 3 59" xfId="5935" xr:uid="{00000000-0005-0000-0000-00005F270000}"/>
    <cellStyle name="표준 3 6" xfId="5936" xr:uid="{00000000-0005-0000-0000-000060270000}"/>
    <cellStyle name="표준 3 60" xfId="5937" xr:uid="{00000000-0005-0000-0000-000061270000}"/>
    <cellStyle name="표준 3 61" xfId="5938" xr:uid="{00000000-0005-0000-0000-000062270000}"/>
    <cellStyle name="표준 3 62" xfId="5939" xr:uid="{00000000-0005-0000-0000-000063270000}"/>
    <cellStyle name="표준 3 63" xfId="5940" xr:uid="{00000000-0005-0000-0000-000064270000}"/>
    <cellStyle name="표준 3 64" xfId="5941" xr:uid="{00000000-0005-0000-0000-000065270000}"/>
    <cellStyle name="표준 3 65" xfId="5942" xr:uid="{00000000-0005-0000-0000-000066270000}"/>
    <cellStyle name="표준 3 66" xfId="5943" xr:uid="{00000000-0005-0000-0000-000067270000}"/>
    <cellStyle name="표준 3 67" xfId="5944" xr:uid="{00000000-0005-0000-0000-000068270000}"/>
    <cellStyle name="표준 3 68" xfId="5945" xr:uid="{00000000-0005-0000-0000-000069270000}"/>
    <cellStyle name="표준 3 69" xfId="5946" xr:uid="{00000000-0005-0000-0000-00006A270000}"/>
    <cellStyle name="표준 3 7" xfId="5947" xr:uid="{00000000-0005-0000-0000-00006B270000}"/>
    <cellStyle name="표준 3 70" xfId="5948" xr:uid="{00000000-0005-0000-0000-00006C270000}"/>
    <cellStyle name="표준 3 71" xfId="5949" xr:uid="{00000000-0005-0000-0000-00006D270000}"/>
    <cellStyle name="표준 3 72" xfId="5950" xr:uid="{00000000-0005-0000-0000-00006E270000}"/>
    <cellStyle name="표준 3 73" xfId="5951" xr:uid="{00000000-0005-0000-0000-00006F270000}"/>
    <cellStyle name="표준 3 74" xfId="5952" xr:uid="{00000000-0005-0000-0000-000070270000}"/>
    <cellStyle name="표준 3 75" xfId="5953" xr:uid="{00000000-0005-0000-0000-000071270000}"/>
    <cellStyle name="표준 3 76" xfId="5954" xr:uid="{00000000-0005-0000-0000-000072270000}"/>
    <cellStyle name="표준 3 77" xfId="5955" xr:uid="{00000000-0005-0000-0000-000073270000}"/>
    <cellStyle name="표준 3 78" xfId="5956" xr:uid="{00000000-0005-0000-0000-000074270000}"/>
    <cellStyle name="표준 3 79" xfId="5957" xr:uid="{00000000-0005-0000-0000-000075270000}"/>
    <cellStyle name="표준 3 8" xfId="5958" xr:uid="{00000000-0005-0000-0000-000076270000}"/>
    <cellStyle name="표준 3 80" xfId="5959" xr:uid="{00000000-0005-0000-0000-000077270000}"/>
    <cellStyle name="표준 3 81" xfId="5960" xr:uid="{00000000-0005-0000-0000-000078270000}"/>
    <cellStyle name="표준 3 85" xfId="10237" xr:uid="{00000000-0005-0000-0000-000079270000}"/>
    <cellStyle name="표준 3 87" xfId="10238" xr:uid="{00000000-0005-0000-0000-00007A270000}"/>
    <cellStyle name="표준 3 9" xfId="5961" xr:uid="{00000000-0005-0000-0000-00007B270000}"/>
    <cellStyle name="표준 30" xfId="5962" xr:uid="{00000000-0005-0000-0000-00007C270000}"/>
    <cellStyle name="표준 31" xfId="7714" xr:uid="{00000000-0005-0000-0000-00007D270000}"/>
    <cellStyle name="표준 31 2" xfId="9396" xr:uid="{00000000-0005-0000-0000-00007E270000}"/>
    <cellStyle name="표준 32" xfId="6024" xr:uid="{00000000-0005-0000-0000-00007F270000}"/>
    <cellStyle name="표준 4" xfId="5963" xr:uid="{00000000-0005-0000-0000-000080270000}"/>
    <cellStyle name="표준 4 2" xfId="5964" xr:uid="{00000000-0005-0000-0000-000081270000}"/>
    <cellStyle name="표준 4 2 2" xfId="5965" xr:uid="{00000000-0005-0000-0000-000082270000}"/>
    <cellStyle name="표준 4 2 2 2" xfId="5966" xr:uid="{00000000-0005-0000-0000-000083270000}"/>
    <cellStyle name="표준 4 2 2 2 2" xfId="7702" xr:uid="{00000000-0005-0000-0000-000084270000}"/>
    <cellStyle name="표준 4 2 2 2 2 2" xfId="10225" xr:uid="{00000000-0005-0000-0000-000085270000}"/>
    <cellStyle name="표준 4 2 2 2 3" xfId="8543" xr:uid="{00000000-0005-0000-0000-000086270000}"/>
    <cellStyle name="표준 4 2 2 2 4" xfId="9384" xr:uid="{00000000-0005-0000-0000-000087270000}"/>
    <cellStyle name="표준 4 2 2 2 5" xfId="6855" xr:uid="{00000000-0005-0000-0000-000088270000}"/>
    <cellStyle name="표준 4 2 2 3" xfId="7701" xr:uid="{00000000-0005-0000-0000-000089270000}"/>
    <cellStyle name="표준 4 2 2 3 2" xfId="10224" xr:uid="{00000000-0005-0000-0000-00008A270000}"/>
    <cellStyle name="표준 4 2 2 4" xfId="8542" xr:uid="{00000000-0005-0000-0000-00008B270000}"/>
    <cellStyle name="표준 4 2 2 5" xfId="9383" xr:uid="{00000000-0005-0000-0000-00008C270000}"/>
    <cellStyle name="표준 4 2 2 6" xfId="6854" xr:uid="{00000000-0005-0000-0000-00008D270000}"/>
    <cellStyle name="표준 4 2 3" xfId="5967" xr:uid="{00000000-0005-0000-0000-00008E270000}"/>
    <cellStyle name="표준 4 2 3 2" xfId="7703" xr:uid="{00000000-0005-0000-0000-00008F270000}"/>
    <cellStyle name="표준 4 2 3 2 2" xfId="10226" xr:uid="{00000000-0005-0000-0000-000090270000}"/>
    <cellStyle name="표준 4 2 3 3" xfId="8544" xr:uid="{00000000-0005-0000-0000-000091270000}"/>
    <cellStyle name="표준 4 2 3 4" xfId="9385" xr:uid="{00000000-0005-0000-0000-000092270000}"/>
    <cellStyle name="표준 4 2 3 5" xfId="6856" xr:uid="{00000000-0005-0000-0000-000093270000}"/>
    <cellStyle name="표준 4 2 4" xfId="5968" xr:uid="{00000000-0005-0000-0000-000094270000}"/>
    <cellStyle name="표준 4 2 4 2" xfId="7704" xr:uid="{00000000-0005-0000-0000-000095270000}"/>
    <cellStyle name="표준 4 2 4 2 2" xfId="10227" xr:uid="{00000000-0005-0000-0000-000096270000}"/>
    <cellStyle name="표준 4 2 4 3" xfId="8545" xr:uid="{00000000-0005-0000-0000-000097270000}"/>
    <cellStyle name="표준 4 2 4 4" xfId="9386" xr:uid="{00000000-0005-0000-0000-000098270000}"/>
    <cellStyle name="표준 4 2 4 5" xfId="6857" xr:uid="{00000000-0005-0000-0000-000099270000}"/>
    <cellStyle name="표준 4 2 5" xfId="5969" xr:uid="{00000000-0005-0000-0000-00009A270000}"/>
    <cellStyle name="표준 4 2 6" xfId="5970" xr:uid="{00000000-0005-0000-0000-00009B270000}"/>
    <cellStyle name="표준 4 3" xfId="5971" xr:uid="{00000000-0005-0000-0000-00009C270000}"/>
    <cellStyle name="표준 4 3 2" xfId="5972" xr:uid="{00000000-0005-0000-0000-00009D270000}"/>
    <cellStyle name="표준 4 3 2 2" xfId="7705" xr:uid="{00000000-0005-0000-0000-00009E270000}"/>
    <cellStyle name="표준 4 3 2 2 2" xfId="10228" xr:uid="{00000000-0005-0000-0000-00009F270000}"/>
    <cellStyle name="표준 4 3 2 3" xfId="8546" xr:uid="{00000000-0005-0000-0000-0000A0270000}"/>
    <cellStyle name="표준 4 3 2 4" xfId="9387" xr:uid="{00000000-0005-0000-0000-0000A1270000}"/>
    <cellStyle name="표준 4 3 2 5" xfId="6858" xr:uid="{00000000-0005-0000-0000-0000A2270000}"/>
    <cellStyle name="표준 4 3 3" xfId="5973" xr:uid="{00000000-0005-0000-0000-0000A3270000}"/>
    <cellStyle name="표준 4 3 3 2" xfId="7706" xr:uid="{00000000-0005-0000-0000-0000A4270000}"/>
    <cellStyle name="표준 4 3 3 2 2" xfId="10229" xr:uid="{00000000-0005-0000-0000-0000A5270000}"/>
    <cellStyle name="표준 4 3 3 3" xfId="8547" xr:uid="{00000000-0005-0000-0000-0000A6270000}"/>
    <cellStyle name="표준 4 3 3 4" xfId="9388" xr:uid="{00000000-0005-0000-0000-0000A7270000}"/>
    <cellStyle name="표준 4 3 3 5" xfId="6859" xr:uid="{00000000-0005-0000-0000-0000A8270000}"/>
    <cellStyle name="표준 4 3 4" xfId="5974" xr:uid="{00000000-0005-0000-0000-0000A9270000}"/>
    <cellStyle name="표준 4 4" xfId="5975" xr:uid="{00000000-0005-0000-0000-0000AA270000}"/>
    <cellStyle name="표준 4 4 2" xfId="5976" xr:uid="{00000000-0005-0000-0000-0000AB270000}"/>
    <cellStyle name="표준 4 4 2 2" xfId="7707" xr:uid="{00000000-0005-0000-0000-0000AC270000}"/>
    <cellStyle name="표준 4 4 2 2 2" xfId="10230" xr:uid="{00000000-0005-0000-0000-0000AD270000}"/>
    <cellStyle name="표준 4 4 2 3" xfId="8548" xr:uid="{00000000-0005-0000-0000-0000AE270000}"/>
    <cellStyle name="표준 4 4 2 4" xfId="9389" xr:uid="{00000000-0005-0000-0000-0000AF270000}"/>
    <cellStyle name="표준 4 4 2 5" xfId="6860" xr:uid="{00000000-0005-0000-0000-0000B0270000}"/>
    <cellStyle name="표준 4 4 3" xfId="5977" xr:uid="{00000000-0005-0000-0000-0000B1270000}"/>
    <cellStyle name="표준 4 5" xfId="5978" xr:uid="{00000000-0005-0000-0000-0000B2270000}"/>
    <cellStyle name="표준 4 5 2" xfId="5979" xr:uid="{00000000-0005-0000-0000-0000B3270000}"/>
    <cellStyle name="표준 4 5 2 2" xfId="7708" xr:uid="{00000000-0005-0000-0000-0000B4270000}"/>
    <cellStyle name="표준 4 5 2 2 2" xfId="10231" xr:uid="{00000000-0005-0000-0000-0000B5270000}"/>
    <cellStyle name="표준 4 5 2 3" xfId="8549" xr:uid="{00000000-0005-0000-0000-0000B6270000}"/>
    <cellStyle name="표준 4 5 2 4" xfId="9390" xr:uid="{00000000-0005-0000-0000-0000B7270000}"/>
    <cellStyle name="표준 4 5 2 5" xfId="6861" xr:uid="{00000000-0005-0000-0000-0000B8270000}"/>
    <cellStyle name="표준 4 5 3" xfId="5980" xr:uid="{00000000-0005-0000-0000-0000B9270000}"/>
    <cellStyle name="표준 4 6" xfId="5981" xr:uid="{00000000-0005-0000-0000-0000BA270000}"/>
    <cellStyle name="표준 4 7" xfId="5982" xr:uid="{00000000-0005-0000-0000-0000BB270000}"/>
    <cellStyle name="표준 4_Sheet3" xfId="5983" xr:uid="{00000000-0005-0000-0000-0000BC270000}"/>
    <cellStyle name="표준 5" xfId="5984" xr:uid="{00000000-0005-0000-0000-0000BD270000}"/>
    <cellStyle name="표준 5 2" xfId="5985" xr:uid="{00000000-0005-0000-0000-0000BE270000}"/>
    <cellStyle name="표준 5 2 2" xfId="5986" xr:uid="{00000000-0005-0000-0000-0000BF270000}"/>
    <cellStyle name="표준 5 2 3" xfId="5987" xr:uid="{00000000-0005-0000-0000-0000C0270000}"/>
    <cellStyle name="표준 5 3" xfId="5988" xr:uid="{00000000-0005-0000-0000-0000C1270000}"/>
    <cellStyle name="표준 5 4" xfId="5989" xr:uid="{00000000-0005-0000-0000-0000C2270000}"/>
    <cellStyle name="표준 5 5" xfId="7709" xr:uid="{00000000-0005-0000-0000-0000C3270000}"/>
    <cellStyle name="표준 5 5 2" xfId="10232" xr:uid="{00000000-0005-0000-0000-0000C4270000}"/>
    <cellStyle name="표준 5 6" xfId="8550" xr:uid="{00000000-0005-0000-0000-0000C5270000}"/>
    <cellStyle name="표준 5 7" xfId="9391" xr:uid="{00000000-0005-0000-0000-0000C6270000}"/>
    <cellStyle name="표준 5 8" xfId="6862" xr:uid="{00000000-0005-0000-0000-0000C7270000}"/>
    <cellStyle name="표준 6" xfId="5990" xr:uid="{00000000-0005-0000-0000-0000C8270000}"/>
    <cellStyle name="표준 6 2" xfId="5991" xr:uid="{00000000-0005-0000-0000-0000C9270000}"/>
    <cellStyle name="표준 6 2 2" xfId="5992" xr:uid="{00000000-0005-0000-0000-0000CA270000}"/>
    <cellStyle name="표준 6 2 2 2" xfId="7711" xr:uid="{00000000-0005-0000-0000-0000CB270000}"/>
    <cellStyle name="표준 6 2 2 2 2" xfId="10234" xr:uid="{00000000-0005-0000-0000-0000CC270000}"/>
    <cellStyle name="표준 6 2 2 3" xfId="8552" xr:uid="{00000000-0005-0000-0000-0000CD270000}"/>
    <cellStyle name="표준 6 2 2 4" xfId="9393" xr:uid="{00000000-0005-0000-0000-0000CE270000}"/>
    <cellStyle name="표준 6 2 2 5" xfId="6864" xr:uid="{00000000-0005-0000-0000-0000CF270000}"/>
    <cellStyle name="표준 6 2 3" xfId="5993" xr:uid="{00000000-0005-0000-0000-0000D0270000}"/>
    <cellStyle name="표준 6 3" xfId="5994" xr:uid="{00000000-0005-0000-0000-0000D1270000}"/>
    <cellStyle name="표준 6 4" xfId="5995" xr:uid="{00000000-0005-0000-0000-0000D2270000}"/>
    <cellStyle name="표준 6 5" xfId="7710" xr:uid="{00000000-0005-0000-0000-0000D3270000}"/>
    <cellStyle name="표준 6 5 2" xfId="10233" xr:uid="{00000000-0005-0000-0000-0000D4270000}"/>
    <cellStyle name="표준 6 6" xfId="8551" xr:uid="{00000000-0005-0000-0000-0000D5270000}"/>
    <cellStyle name="표준 6 7" xfId="9392" xr:uid="{00000000-0005-0000-0000-0000D6270000}"/>
    <cellStyle name="표준 6 8" xfId="6863" xr:uid="{00000000-0005-0000-0000-0000D7270000}"/>
    <cellStyle name="표준 7" xfId="5996" xr:uid="{00000000-0005-0000-0000-0000D8270000}"/>
    <cellStyle name="표준 7 2" xfId="5997" xr:uid="{00000000-0005-0000-0000-0000D9270000}"/>
    <cellStyle name="표준 7 2 2" xfId="5998" xr:uid="{00000000-0005-0000-0000-0000DA270000}"/>
    <cellStyle name="표준 7 2 3" xfId="5999" xr:uid="{00000000-0005-0000-0000-0000DB270000}"/>
    <cellStyle name="표준 7 3" xfId="6000" xr:uid="{00000000-0005-0000-0000-0000DC270000}"/>
    <cellStyle name="표준 7 4" xfId="6001" xr:uid="{00000000-0005-0000-0000-0000DD270000}"/>
    <cellStyle name="표준 7 5" xfId="6002" xr:uid="{00000000-0005-0000-0000-0000DE270000}"/>
    <cellStyle name="표준 7 6" xfId="6003" xr:uid="{00000000-0005-0000-0000-0000DF270000}"/>
    <cellStyle name="표준 8" xfId="6004" xr:uid="{00000000-0005-0000-0000-0000E0270000}"/>
    <cellStyle name="표준 8 2" xfId="6005" xr:uid="{00000000-0005-0000-0000-0000E1270000}"/>
    <cellStyle name="표준 8 3" xfId="6006" xr:uid="{00000000-0005-0000-0000-0000E2270000}"/>
    <cellStyle name="표준 8 4" xfId="6007" xr:uid="{00000000-0005-0000-0000-0000E3270000}"/>
    <cellStyle name="표준 9" xfId="6008" xr:uid="{00000000-0005-0000-0000-0000E4270000}"/>
    <cellStyle name="표준 9 2" xfId="6009" xr:uid="{00000000-0005-0000-0000-0000E5270000}"/>
    <cellStyle name="표준 9 2 2" xfId="7713" xr:uid="{00000000-0005-0000-0000-0000E6270000}"/>
    <cellStyle name="표준 9 2 2 2" xfId="10236" xr:uid="{00000000-0005-0000-0000-0000E7270000}"/>
    <cellStyle name="표준 9 2 3" xfId="8554" xr:uid="{00000000-0005-0000-0000-0000E8270000}"/>
    <cellStyle name="표준 9 2 4" xfId="9395" xr:uid="{00000000-0005-0000-0000-0000E9270000}"/>
    <cellStyle name="표준 9 2 5" xfId="6866" xr:uid="{00000000-0005-0000-0000-0000EA270000}"/>
    <cellStyle name="표준 9 3" xfId="6010" xr:uid="{00000000-0005-0000-0000-0000EB270000}"/>
    <cellStyle name="표준 9 4" xfId="7712" xr:uid="{00000000-0005-0000-0000-0000EC270000}"/>
    <cellStyle name="표준 9 4 2" xfId="10235" xr:uid="{00000000-0005-0000-0000-0000ED270000}"/>
    <cellStyle name="표준 9 5" xfId="8553" xr:uid="{00000000-0005-0000-0000-0000EE270000}"/>
    <cellStyle name="표준 9 6" xfId="9394" xr:uid="{00000000-0005-0000-0000-0000EF270000}"/>
    <cellStyle name="표준 9 7" xfId="6865" xr:uid="{00000000-0005-0000-0000-0000F0270000}"/>
    <cellStyle name="標準_GHS入力フォームエクスポート機能v2.0_イメージ" xfId="6011" xr:uid="{00000000-0005-0000-0000-0000F1270000}"/>
    <cellStyle name="표준_Sheet1" xfId="42" xr:uid="{00000000-0005-0000-0000-0000F2270000}"/>
    <cellStyle name="하이퍼링크 2" xfId="6012" xr:uid="{00000000-0005-0000-0000-0000F3270000}"/>
    <cellStyle name="하이퍼링크 2 2" xfId="6013" xr:uid="{00000000-0005-0000-0000-0000F4270000}"/>
    <cellStyle name="하이퍼링크 2 3" xfId="6014" xr:uid="{00000000-0005-0000-0000-0000F5270000}"/>
    <cellStyle name="하이퍼링크 3" xfId="6015" xr:uid="{00000000-0005-0000-0000-0000F6270000}"/>
    <cellStyle name="하이퍼링크 3 2" xfId="6016" xr:uid="{00000000-0005-0000-0000-0000F7270000}"/>
    <cellStyle name="하이퍼링크 3 3" xfId="6017" xr:uid="{00000000-0005-0000-0000-0000F8270000}"/>
    <cellStyle name="하이퍼링크 4" xfId="6018" xr:uid="{00000000-0005-0000-0000-0000F9270000}"/>
    <cellStyle name="합산" xfId="6019" xr:uid="{00000000-0005-0000-0000-0000FA270000}"/>
    <cellStyle name="桁区切り [0.00]_List-dwg" xfId="6020" xr:uid="{00000000-0005-0000-0000-0000FB270000}"/>
    <cellStyle name="桁区切り_List-dwg" xfId="6021" xr:uid="{00000000-0005-0000-0000-0000FC270000}"/>
    <cellStyle name="화폐기호" xfId="6022" xr:uid="{00000000-0005-0000-0000-0000FD270000}"/>
    <cellStyle name="화폐기호0" xfId="6023" xr:uid="{00000000-0005-0000-0000-0000FE27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900839</xdr:colOff>
      <xdr:row>3</xdr:row>
      <xdr:rowOff>247655</xdr:rowOff>
    </xdr:to>
    <xdr:pic>
      <xdr:nvPicPr>
        <xdr:cNvPr id="2" name="그림 1" descr="image001">
          <a:extLst>
            <a:ext uri="{FF2B5EF4-FFF2-40B4-BE49-F238E27FC236}">
              <a16:creationId xmlns:a16="http://schemas.microsoft.com/office/drawing/2014/main" id="{393355B7-1CAE-197A-B491-2EA91FAAEC17}"/>
            </a:ext>
          </a:extLst>
        </xdr:cNvPr>
        <xdr:cNvPicPr>
          <a:picLocks noChangeAspect="1"/>
        </xdr:cNvPicPr>
      </xdr:nvPicPr>
      <xdr:blipFill>
        <a:blip xmlns:r="http://schemas.openxmlformats.org/officeDocument/2006/relationships" r:embed="rId1"/>
        <a:stretch>
          <a:fillRect/>
        </a:stretch>
      </xdr:blipFill>
      <xdr:spPr>
        <a:xfrm>
          <a:off x="0" y="102054"/>
          <a:ext cx="6486572" cy="6286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47928;&#49436;/&#52852;&#52852;&#50724;&#53665;%20&#48155;&#51008;%20&#54028;&#51068;/Naver%20MYBOX/&#9733;&#44277;&#50976;/&#50629;&#52404;&#51228;&#52636;&#51088;&#47308;&#50577;&#49885;/MSDS/&#50629;&#52404;&#48324;/ingredients%20CAS%20and%20EC%20&#53685;&#54633;.xlsx" TargetMode="External"/><Relationship Id="rId2" Type="http://schemas.openxmlformats.org/officeDocument/2006/relationships/externalLinkPath" Target="file:///D:\MY%20BOX\&#9733;&#44277;&#50976;\&#50629;&#52404;&#51228;&#52636;&#51088;&#47308;&#50577;&#49885;\MSDS\&#50629;&#52404;&#48324;\ingredients%20CAS%20and%20EC%20&#53685;&#54633;.xlsx" TargetMode="External"/><Relationship Id="rId1" Type="http://schemas.openxmlformats.org/officeDocument/2006/relationships/externalLinkPath" Target="/55940860b5bda28d/&#47928;&#49436;/&#52852;&#52852;&#50724;&#53665;%20&#48155;&#51008;%20&#54028;&#51068;/Naver%20MYBOX/&#9733;&#44277;&#50976;/&#50629;&#52404;&#51228;&#52636;&#51088;&#47308;&#50577;&#49885;/MSDS/&#50629;&#52404;&#48324;/ingredients%20CAS%20and%20EC%20&#53685;&#5463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ERIAL DATA"/>
      <sheetName val="국문"/>
      <sheetName val="영문"/>
      <sheetName val="위험 안전문구"/>
      <sheetName val="ingredients CAS and EC 통합"/>
    </sheetNames>
    <sheetDataSet>
      <sheetData sheetId="0" refreshError="1"/>
      <sheetData sheetId="1" refreshError="1">
        <row r="1">
          <cell r="C1" t="str">
            <v>노출기준</v>
          </cell>
          <cell r="D1"/>
          <cell r="E1"/>
          <cell r="F1" t="str">
            <v>독성</v>
          </cell>
          <cell r="G1"/>
          <cell r="H1"/>
          <cell r="I1"/>
          <cell r="J1"/>
          <cell r="K1"/>
          <cell r="L1"/>
          <cell r="M1"/>
          <cell r="N1"/>
          <cell r="O1"/>
          <cell r="P1" t="str">
            <v xml:space="preserve">특정 표적장기 독성 </v>
          </cell>
          <cell r="Q1"/>
          <cell r="R1" t="str">
            <v>자료없음</v>
          </cell>
          <cell r="S1" t="str">
            <v>고용노동부고시</v>
          </cell>
          <cell r="T1" t="str">
            <v>생태독성</v>
          </cell>
          <cell r="U1"/>
          <cell r="V1"/>
          <cell r="W1" t="str">
            <v>잔류성 및 분해성</v>
          </cell>
          <cell r="X1"/>
          <cell r="Y1" t="str">
            <v>생물 농축성</v>
          </cell>
          <cell r="Z1"/>
          <cell r="AA1" t="str">
            <v>자료없음</v>
          </cell>
          <cell r="AB1" t="str">
            <v>해당없음</v>
          </cell>
        </row>
        <row r="2">
          <cell r="A2" t="str">
            <v>CAS</v>
          </cell>
          <cell r="C2" t="str">
            <v>국내</v>
          </cell>
          <cell r="D2" t="str">
            <v>ACGIH</v>
          </cell>
          <cell r="E2" t="str">
            <v>생물학적
노출기준</v>
          </cell>
          <cell r="F2" t="str">
            <v>경구</v>
          </cell>
          <cell r="G2" t="str">
            <v>경피</v>
          </cell>
          <cell r="H2" t="str">
            <v>흡입</v>
          </cell>
          <cell r="I2" t="str">
            <v>피부 부식성 또는 자극성</v>
          </cell>
          <cell r="J2" t="str">
            <v>심한 눈 손상 또는 자극성</v>
          </cell>
          <cell r="K2" t="str">
            <v>호흡기 과민성</v>
          </cell>
          <cell r="L2" t="str">
            <v>피부 과민성</v>
          </cell>
          <cell r="M2" t="str">
            <v>발암성</v>
          </cell>
          <cell r="N2" t="str">
            <v>생식세포 변이원성</v>
          </cell>
          <cell r="O2" t="str">
            <v>생식독성</v>
          </cell>
          <cell r="P2" t="str">
            <v>1회</v>
          </cell>
          <cell r="Q2" t="str">
            <v>반복 노출</v>
          </cell>
          <cell r="R2" t="str">
            <v>흡인 유해성</v>
          </cell>
          <cell r="S2" t="str">
            <v>발암성 / 생식세포 변이원성 / 생식독성</v>
          </cell>
          <cell r="T2" t="str">
            <v>어류</v>
          </cell>
          <cell r="U2" t="str">
            <v>갑각류</v>
          </cell>
          <cell r="V2" t="str">
            <v>조류</v>
          </cell>
          <cell r="W2" t="str">
            <v>잔류성</v>
          </cell>
          <cell r="X2" t="str">
            <v>분해성</v>
          </cell>
          <cell r="Y2" t="str">
            <v>생물 농축성</v>
          </cell>
          <cell r="Z2" t="str">
            <v>생분해성</v>
          </cell>
          <cell r="AA2" t="str">
            <v>토양 이동성</v>
          </cell>
          <cell r="AB2" t="str">
            <v>오존층 유해성</v>
          </cell>
          <cell r="AC2" t="str">
            <v>EU 확정분류</v>
          </cell>
        </row>
        <row r="3">
          <cell r="A3" t="str">
            <v>100-51-6</v>
          </cell>
          <cell r="B3" t="str">
            <v>BENZYL ALCOHOL</v>
          </cell>
          <cell r="C3" t="str">
            <v>해당없음</v>
          </cell>
          <cell r="D3" t="str">
            <v>해당없음</v>
          </cell>
          <cell r="E3" t="str">
            <v>해당없음</v>
          </cell>
          <cell r="F3" t="str">
            <v>LD50 1,610 ㎎/㎏ (Rat) (OECD SIDS)</v>
          </cell>
          <cell r="G3" t="str">
            <v>LD50 2,000 ㎎/㎏  (Rat) (OECD SIDS(1974), Chemid Plus)</v>
          </cell>
          <cell r="H3" t="str">
            <v>LC50 6.25 ㎎/ℓ 4 hr (1000ppm/8hr) Rat (HSDB)</v>
          </cell>
          <cell r="I3" t="str">
            <v>피부 자극성 없음(래빗의 피부에 500 ul의 양으로 4시간 노출 후 7일간 동안 관찰결과, 홍반점수 : 0-1, 부종점수 : 0 신뢰도 1 (ECHA, OECD SIDS)</v>
          </cell>
          <cell r="J3" t="str">
            <v>자료없음</v>
          </cell>
          <cell r="K3" t="str">
            <v>자료없음</v>
          </cell>
          <cell r="L3" t="str">
            <v>피부 과민성 있음. (Patch test의 시험방법으로 인체를 이용한 피부과민성 시험결과 과민성 있음) (OECD SIDS)</v>
          </cell>
          <cell r="M3" t="str">
            <v>해당없음</v>
          </cell>
          <cell r="N3" t="str">
            <v>자료없음</v>
          </cell>
          <cell r="O3" t="str">
            <v>랫트와 마이스를 이용 만성노출 동물시험에서 벤질 알코올의 유해작용은 발견되지 않았으며, 마우스를이용한 생식독성 시험에서 벤질 알코올 처치그룹과 대조그룹 간에 차이가 있긴 했으나 그것은 낮은 임신 체중과 감소된 평균 세끼체중에 국한된 것이었다. 대조그룹에 비하여 태아 체중이 감소하였다고 보고된 연구도 있으며, 대조그룹과 벤질 알코올 처치그룹사이에 아무런 차이가 없었다는 연구결과도 있다. 또한, 마우스에게 벤질 알코올 6 g/kg을 임신 후 6일부터 13일 까지 경구투여 했을 때 차산자들의 성장 통계학적으로 영향이 있었음 (OECD SIDS)</v>
          </cell>
          <cell r="P3" t="str">
            <v>자료없음</v>
          </cell>
          <cell r="Q3" t="str">
            <v>자료없음</v>
          </cell>
          <cell r="R3" t="str">
            <v>자료없음</v>
          </cell>
          <cell r="S3" t="str">
            <v>해당없음</v>
          </cell>
          <cell r="T3" t="str">
            <v>LC50 460mg/L 96hr fathead minnow (NITE: SIDS, 2004) LC50 10 ㎎/ℓ  96 hr</v>
          </cell>
          <cell r="U3" t="str">
            <v>EC50 230mg/L 48hr Daphnia magna (NITE: Ministry of the Environment, 1997)</v>
          </cell>
          <cell r="V3" t="str">
            <v>EC50 770mg/L 72hr (NITE: Ministry of the Environment, 1997)</v>
          </cell>
          <cell r="W3" t="str">
            <v>log Kow 1.1</v>
          </cell>
          <cell r="X3" t="str">
            <v>자료없음</v>
          </cell>
          <cell r="Y3" t="str">
            <v>자료없음</v>
          </cell>
          <cell r="Z3" t="str">
            <v>Biodegradability 94 (%) 28 day  (Aerobic, Activated Sludge)</v>
          </cell>
          <cell r="AA3" t="str">
            <v>자료없음</v>
          </cell>
          <cell r="AB3" t="str">
            <v>해당없음</v>
          </cell>
        </row>
        <row r="4">
          <cell r="A4" t="str">
            <v>100-52-7</v>
          </cell>
          <cell r="B4" t="str">
            <v>BENZALDEHYDE</v>
          </cell>
          <cell r="C4" t="str">
            <v>해당없음</v>
          </cell>
          <cell r="D4" t="str">
            <v>해당없음</v>
          </cell>
          <cell r="E4" t="str">
            <v>해당없음</v>
          </cell>
          <cell r="F4" t="str">
            <v>LD50 1300 ㎎/㎏ Rat</v>
          </cell>
          <cell r="G4" t="str">
            <v>LD50 &gt; 1250 ㎎/㎏ Rabbit (SIDS)</v>
          </cell>
          <cell r="H4" t="str">
            <v>자료없음</v>
          </cell>
          <cell r="I4" t="str">
            <v>보통자극(500mg, 24시간, rabbit)</v>
          </cell>
          <cell r="J4" t="str">
            <v>토끼 눈자극성 시험 결과 경미한 자극 (DFGOT Vol.17)</v>
          </cell>
          <cell r="K4" t="str">
            <v>자료없음</v>
          </cell>
          <cell r="L4" t="str">
            <v>기니피그를 이용한 과민성 시험 결과 -양성 사람의 팻치시험결과 양성</v>
          </cell>
          <cell r="M4" t="str">
            <v>해당없음</v>
          </cell>
          <cell r="N4" t="str">
            <v>in vitro 변이원성(염색체 이상) 시험결과 양성이나 유전 독성의 활성은 약하다고 보고됨.</v>
          </cell>
          <cell r="O4" t="str">
            <v>자료없음</v>
          </cell>
          <cell r="P4" t="str">
            <v>사람에서 상부 기도에 자극，마취 작용이 보고됨. 실험 동물에서 진전이 보고됨.</v>
          </cell>
          <cell r="Q4" t="str">
            <v>사람에서 침울, 경련이 보고됨</v>
          </cell>
          <cell r="R4" t="str">
            <v>자료없음</v>
          </cell>
          <cell r="S4" t="str">
            <v>해당없음</v>
          </cell>
          <cell r="T4" t="str">
            <v>LC50 1.07 ㎎/ℓ 96 hr (NITE)</v>
          </cell>
          <cell r="U4" t="str">
            <v>자료없음</v>
          </cell>
          <cell r="V4" t="str">
            <v>자료없음</v>
          </cell>
          <cell r="W4" t="str">
            <v>log Kow 1.48 (NITE)</v>
          </cell>
          <cell r="X4" t="str">
            <v>자료없음</v>
          </cell>
          <cell r="Y4" t="str">
            <v>자료없음</v>
          </cell>
          <cell r="Z4" t="str">
            <v>BOD: 66 (%) (NITE)</v>
          </cell>
          <cell r="AA4" t="str">
            <v>자료없음</v>
          </cell>
          <cell r="AB4" t="str">
            <v>해당없음</v>
          </cell>
          <cell r="AC4"/>
        </row>
        <row r="5">
          <cell r="A5" t="str">
            <v>100-79-8</v>
          </cell>
          <cell r="B5" t="str">
            <v>ISOPROPYLIDENEGLYCEROL</v>
          </cell>
          <cell r="C5" t="str">
            <v>해당없음</v>
          </cell>
          <cell r="D5" t="str">
            <v>해당없음</v>
          </cell>
          <cell r="E5" t="str">
            <v>해당없음</v>
          </cell>
          <cell r="F5" t="str">
            <v>LD50 7000 ㎎/㎏ Rat (NLM)</v>
          </cell>
          <cell r="G5" t="str">
            <v>LD50 &gt;2000 mg/kg Rat (GLP, ECHA)</v>
          </cell>
          <cell r="H5" t="str">
            <v>LC50 &gt;5.11 mg/L/4h Rat (GLP, ECHA)</v>
          </cell>
          <cell r="I5" t="str">
            <v>OECD 404, Rabbit 관찰 기간(1, 24, 48 및 72시간) 동안 부종 또는 홍반 나타나지 않음 (GLP, ECHA)</v>
          </cell>
          <cell r="J5" t="str">
            <v>OECD 405, Rabbit 눈 자극성 (GLP, ECHA)</v>
          </cell>
          <cell r="K5" t="str">
            <v>자료없음</v>
          </cell>
          <cell r="L5" t="str">
            <v>OECD 406, Guinea pig 과민성 나타나지 않음 (GLP, ECHA)</v>
          </cell>
          <cell r="M5" t="str">
            <v>해당없음</v>
          </cell>
          <cell r="N5" t="str">
            <v>In vitro: OECD 471 S. typhimurium TA 1535, TA 1537, TA 98, TA 100 and TA 102 (with and without) 음성, In vivo: 소핵시험(OECD 474) 음성(GLP, ECHA)</v>
          </cell>
          <cell r="O5" t="str">
            <v>OECD 422, Rat oral NOAEL 1000 mg/kg/day, 생식 관련 부작용 관찰되지 않음 (GLP, ECHA)</v>
          </cell>
          <cell r="P5" t="str">
            <v>자료없음</v>
          </cell>
          <cell r="Q5" t="str">
            <v>자료없음</v>
          </cell>
          <cell r="R5" t="str">
            <v>자료없음</v>
          </cell>
          <cell r="S5" t="str">
            <v>해당없음</v>
          </cell>
          <cell r="T5" t="str">
            <v>LC50 733.335 ㎎/ℓ 96 hr (Estimate)</v>
          </cell>
          <cell r="U5" t="str">
            <v>LC50 736.890 ㎎/ℓ 48 hr (Estimate)</v>
          </cell>
          <cell r="V5" t="str">
            <v>EC50 436.669 ㎎/ℓ 96 hr (Estimate)</v>
          </cell>
          <cell r="W5" t="str">
            <v>log Kow -0.6 (at 20℃) (ECHA)</v>
          </cell>
          <cell r="X5" t="str">
            <v>자료없음</v>
          </cell>
          <cell r="Y5" t="str">
            <v>자료없음</v>
          </cell>
          <cell r="Z5" t="str">
            <v>자료없음</v>
          </cell>
          <cell r="AA5" t="str">
            <v>자료없음</v>
          </cell>
          <cell r="AB5" t="str">
            <v>해당없음</v>
          </cell>
        </row>
        <row r="6">
          <cell r="A6" t="str">
            <v>100-86-7</v>
          </cell>
          <cell r="B6" t="str">
            <v>DIMETHYL BENZYL CARBINOL</v>
          </cell>
          <cell r="C6" t="str">
            <v>해당없음</v>
          </cell>
          <cell r="D6" t="str">
            <v>해당없음</v>
          </cell>
          <cell r="E6" t="str">
            <v>해당없음</v>
          </cell>
          <cell r="F6" t="str">
            <v>LD50 1280 ㎎/㎏ Rat (NLM, ChemIDplus, TOMES)</v>
          </cell>
          <cell r="G6" t="str">
            <v>LD50 &gt; 5000 ㎎/㎏ Rabbit (NLM, ChemIDplus, TOMES)</v>
          </cell>
          <cell r="H6" t="str">
            <v>자료없음</v>
          </cell>
          <cell r="I6" t="str">
            <v>자료없음</v>
          </cell>
          <cell r="J6" t="str">
            <v>자료없음</v>
          </cell>
          <cell r="K6" t="str">
            <v>자료없음</v>
          </cell>
          <cell r="L6" t="str">
            <v>자료없음</v>
          </cell>
          <cell r="M6" t="str">
            <v>해당없음</v>
          </cell>
          <cell r="N6" t="str">
            <v>자료없음</v>
          </cell>
          <cell r="O6" t="str">
            <v>자료없음</v>
          </cell>
          <cell r="P6" t="str">
            <v>자료없음</v>
          </cell>
          <cell r="Q6" t="str">
            <v>자료없음</v>
          </cell>
          <cell r="R6" t="str">
            <v>자료없음</v>
          </cell>
          <cell r="S6" t="str">
            <v>해당없음</v>
          </cell>
          <cell r="T6" t="str">
            <v>LC50 47.698 ㎎/ℓ 96 hr (Estimate)</v>
          </cell>
          <cell r="U6" t="str">
            <v>EC50 48.570 ㎎/ℓ 48 hr (Estimate)</v>
          </cell>
          <cell r="V6" t="str">
            <v>EC50 16.472 ㎎/ℓ 96 hr (Estimate)</v>
          </cell>
          <cell r="W6" t="str">
            <v>log Kow 2.440 (Estimate)</v>
          </cell>
          <cell r="X6" t="str">
            <v>자료없음</v>
          </cell>
          <cell r="Y6" t="str">
            <v>BCF 3.162 (Estimate)</v>
          </cell>
          <cell r="Z6" t="str">
            <v>Non-degradable; not degraded and has a high potential to accumulate in vivo (estimate)</v>
          </cell>
          <cell r="AA6" t="str">
            <v>Koc 73 (Low potential for soil adsorption, Estimates)</v>
          </cell>
          <cell r="AB6" t="str">
            <v>해당없음</v>
          </cell>
        </row>
        <row r="7">
          <cell r="A7" t="str">
            <v>10094-34-5</v>
          </cell>
          <cell r="B7" t="str">
            <v>DIMETHYL BENZYL CARBINYL BUTYRATE</v>
          </cell>
          <cell r="C7" t="str">
            <v>해당없음</v>
          </cell>
          <cell r="D7" t="str">
            <v>해당없음</v>
          </cell>
          <cell r="E7" t="str">
            <v>해당없음</v>
          </cell>
          <cell r="F7" t="str">
            <v>자료없음</v>
          </cell>
          <cell r="G7" t="str">
            <v>자료없음</v>
          </cell>
          <cell r="H7" t="str">
            <v>자료없음</v>
          </cell>
          <cell r="I7" t="str">
            <v>자료없음</v>
          </cell>
          <cell r="J7" t="str">
            <v>자료없음</v>
          </cell>
          <cell r="K7" t="str">
            <v>자료없음</v>
          </cell>
          <cell r="L7" t="str">
            <v>자료없음</v>
          </cell>
          <cell r="M7" t="str">
            <v>해당없음</v>
          </cell>
          <cell r="N7" t="str">
            <v>자료없음</v>
          </cell>
          <cell r="O7" t="str">
            <v>자료없음</v>
          </cell>
          <cell r="P7" t="str">
            <v>자료없음</v>
          </cell>
          <cell r="Q7" t="str">
            <v>자료없음</v>
          </cell>
          <cell r="R7" t="str">
            <v>자료없음</v>
          </cell>
          <cell r="S7" t="str">
            <v>해당없음</v>
          </cell>
          <cell r="T7" t="str">
            <v>LC50 1.2 ㎎/ℓ 96 hr (ECOSAR Neutral Organic SAR) (EPISUITE v4.1)</v>
          </cell>
          <cell r="U7" t="str">
            <v>LC50 0.85 ㎎/ℓ 48 hr (ECOSAR Neutral Organic SAR) (EPISUITE v4.1)</v>
          </cell>
          <cell r="V7" t="str">
            <v>EC50 1.6 ㎎/ℓ 96 hr (ECOSAR Neutral Organic SAR) (EPISUITE v4.1)</v>
          </cell>
          <cell r="W7" t="str">
            <v>log Kow 4.43 (estimate)</v>
          </cell>
          <cell r="X7" t="str">
            <v>자료없음</v>
          </cell>
          <cell r="Y7" t="str">
            <v>BCF 386.2 (EPI Suite) v4.1</v>
          </cell>
          <cell r="Z7" t="str">
            <v>자료없음</v>
          </cell>
          <cell r="AA7" t="str">
            <v>Koc 2041 (estimate)</v>
          </cell>
          <cell r="AB7" t="str">
            <v>해당없음</v>
          </cell>
          <cell r="AC7"/>
        </row>
        <row r="8">
          <cell r="A8" t="str">
            <v>101128-56-7</v>
          </cell>
          <cell r="B8" t="str">
            <v>METHOXY DISYCLOPENTADIENE CARBOXALEHYDE</v>
          </cell>
          <cell r="C8" t="str">
            <v>해당없음</v>
          </cell>
          <cell r="D8" t="str">
            <v>해당없음</v>
          </cell>
          <cell r="E8" t="str">
            <v>해당없음</v>
          </cell>
          <cell r="F8" t="str">
            <v>자료없음</v>
          </cell>
          <cell r="G8" t="str">
            <v>자료없음</v>
          </cell>
          <cell r="H8" t="str">
            <v>자료없음</v>
          </cell>
          <cell r="I8" t="str">
            <v>자료없음</v>
          </cell>
          <cell r="J8" t="str">
            <v>자료없음</v>
          </cell>
          <cell r="K8" t="str">
            <v>자료없음</v>
          </cell>
          <cell r="L8" t="str">
            <v>자료없음</v>
          </cell>
          <cell r="M8" t="str">
            <v>해당없음</v>
          </cell>
          <cell r="N8" t="str">
            <v>자료없음</v>
          </cell>
          <cell r="O8" t="str">
            <v>자료없음</v>
          </cell>
          <cell r="P8" t="str">
            <v>자료없음</v>
          </cell>
          <cell r="Q8" t="str">
            <v>자료없음</v>
          </cell>
          <cell r="R8" t="str">
            <v>자료없음</v>
          </cell>
          <cell r="S8" t="str">
            <v>해당없음</v>
          </cell>
          <cell r="T8" t="str">
            <v>자료없음</v>
          </cell>
          <cell r="U8" t="str">
            <v>자료없음</v>
          </cell>
          <cell r="V8" t="str">
            <v>자료없음</v>
          </cell>
          <cell r="W8" t="str">
            <v>자료없음</v>
          </cell>
          <cell r="X8" t="str">
            <v>자료없음</v>
          </cell>
          <cell r="Y8" t="str">
            <v>자료없음</v>
          </cell>
          <cell r="Z8" t="str">
            <v>자료없음</v>
          </cell>
          <cell r="AA8" t="str">
            <v>자료없음</v>
          </cell>
          <cell r="AB8" t="str">
            <v>해당없음</v>
          </cell>
          <cell r="AC8"/>
        </row>
        <row r="9">
          <cell r="A9" t="str">
            <v>101-48-4</v>
          </cell>
          <cell r="B9" t="str">
            <v>PHENYL ACETALDEHYDE DMA</v>
          </cell>
          <cell r="C9" t="str">
            <v>해당없음</v>
          </cell>
          <cell r="D9" t="str">
            <v>해당없음</v>
          </cell>
          <cell r="E9" t="str">
            <v>해당없음</v>
          </cell>
          <cell r="F9" t="str">
            <v>LD50 3500 ㎎/㎏ Rat (NLM;ChemIDplus, TOMES;LOLI)</v>
          </cell>
          <cell r="G9" t="str">
            <v>LD50 2000 ㎎/㎏ Rabbit  (NLM;ChemIDplus, TOMES;LOLI)</v>
          </cell>
          <cell r="H9" t="str">
            <v>자료없음</v>
          </cell>
          <cell r="I9" t="str">
            <v>자료없음</v>
          </cell>
          <cell r="J9" t="str">
            <v>자료없음</v>
          </cell>
          <cell r="K9" t="str">
            <v>자료없음</v>
          </cell>
          <cell r="L9" t="str">
            <v>자료없음</v>
          </cell>
          <cell r="M9" t="str">
            <v>해당없음</v>
          </cell>
          <cell r="N9" t="str">
            <v>자료없음</v>
          </cell>
          <cell r="O9" t="str">
            <v>자료없음</v>
          </cell>
          <cell r="P9" t="str">
            <v>자료없음</v>
          </cell>
          <cell r="Q9" t="str">
            <v>자료없음</v>
          </cell>
          <cell r="R9" t="str">
            <v>자료없음</v>
          </cell>
          <cell r="S9" t="str">
            <v>해당없음</v>
          </cell>
          <cell r="T9" t="str">
            <v>자료없음</v>
          </cell>
          <cell r="U9" t="str">
            <v>자료없음</v>
          </cell>
          <cell r="V9" t="str">
            <v>EC50 37.912 ㎎/ℓ 96 hr (Estimate)</v>
          </cell>
          <cell r="W9" t="str">
            <v>log Kow 1.93 (Estimate)</v>
          </cell>
          <cell r="X9" t="str">
            <v>자료없음</v>
          </cell>
          <cell r="Y9" t="str">
            <v>BCF 8.725</v>
          </cell>
          <cell r="Z9" t="str">
            <v>not degraded and has a high potential to accumulate in vivo</v>
          </cell>
          <cell r="AA9" t="str">
            <v>Koc 64.78 (Low potential for soil adsorption)</v>
          </cell>
          <cell r="AB9" t="str">
            <v>해당없음</v>
          </cell>
          <cell r="AC9"/>
        </row>
        <row r="10">
          <cell r="A10" t="str">
            <v>101-86-0</v>
          </cell>
          <cell r="B10" t="str">
            <v>ALPHA-HEXYL CINNAMIC ALDEHYDE</v>
          </cell>
          <cell r="C10" t="str">
            <v>해당없음</v>
          </cell>
          <cell r="D10" t="str">
            <v>해당없음</v>
          </cell>
          <cell r="E10" t="str">
            <v>해당없음</v>
          </cell>
          <cell r="F10" t="str">
            <v>LD50 2450 ~ 3750 ㎎/㎏ Rat (IUCLID)</v>
          </cell>
          <cell r="G10" t="str">
            <v>LD50 &gt; 3000 ㎎/㎏ Rabbit (IUCLID)</v>
          </cell>
          <cell r="H10" t="str">
            <v>vapor LC50 5.0 ㎎/㎏ 4 hr Rat (IUCLID)</v>
          </cell>
          <cell r="I10" t="str">
            <v>토끼 피부 중간자극 (GLP, OECD TG 404) (IUCLID)</v>
          </cell>
          <cell r="J10" t="str">
            <v>자료없음</v>
          </cell>
          <cell r="K10" t="str">
            <v>자료없음</v>
          </cell>
          <cell r="L10" t="str">
            <v>사람/패치테스트/과민성없음 (IUCLID)</v>
          </cell>
          <cell r="M10" t="str">
            <v>해당없음</v>
          </cell>
          <cell r="N10" t="str">
            <v>In vitro-미생물을 이용한 복귀 돌연변이 시험: 음성, In vivo-초파리 SLRL 시험: 음성 (IUCLID)</v>
          </cell>
          <cell r="O10" t="str">
            <v>자료없음</v>
          </cell>
          <cell r="P10" t="str">
            <v>랫드/경구/LD50=4650mg/kg/활동감소, 폐,흉부 또는 호흡 기능감소 (TOMES;RTECS)</v>
          </cell>
          <cell r="Q10" t="str">
            <v>랫드/경피/DOES:125, 250, 500, 1000mg/kg/90D/125mg/kg:몸무게의 변화, 혈액 영향, 위장계의 영향, 암컷 무게의 감소, 이 주입량과 그 이상에서 위장계에 자극성, 250g/kg:간, 신장, 혈액에 영향, 위장계 자극, 음식 섭취량 증가, 간 무게와 신장의 무게 증가, 쉽게 놀라고 과자극성, 공격적이 됨, 500mg/kg:몸무게의 변화와 간, 신장, 음식 유틸리티의능률, 혈액에 영향, 위장계 1000mg/kg:몸무게의 변화, 간, 신장, 음식 유틸리티의 능률, 혈액의 영향, 위장계, 근골격. 8마리 죽음, 골수의 적혈구 생성 증가와 골수의 세포 지방률 감소. 간장의 수증성 공포형성, 비장의 임파 고갈:섬유증 (IUCLID)</v>
          </cell>
          <cell r="R10" t="str">
            <v>자료없음</v>
          </cell>
          <cell r="S10" t="str">
            <v>해당없음</v>
          </cell>
          <cell r="T10" t="str">
            <v>LC50 0.169 ㎎/ℓ 96 hr (Estimate)</v>
          </cell>
          <cell r="U10" t="str">
            <v>LC50 0.555 ㎎/ℓ 48 hr (Estimate)</v>
          </cell>
          <cell r="V10" t="str">
            <v>EC50 0.761 ㎎/ℓ 96 hr (Estimate)</v>
          </cell>
          <cell r="W10" t="str">
            <v>log Kow 4.82  (Estimate)</v>
          </cell>
          <cell r="X10" t="str">
            <v>자료없음</v>
          </cell>
          <cell r="Y10" t="str">
            <v>BCF 704.3 (Estimate)</v>
          </cell>
          <cell r="Z10" t="str">
            <v>97 (%) 28 day  (Degraded well and has a low potential to accumulate in vivo) (e-hempotal;HPVIS)</v>
          </cell>
          <cell r="AA10" t="str">
            <v>Koc 2301  (Estimates, Can be adsorbed in the soil)</v>
          </cell>
          <cell r="AB10" t="str">
            <v>해당없음</v>
          </cell>
        </row>
        <row r="11">
          <cell r="A11" t="str">
            <v>102-20-5</v>
          </cell>
          <cell r="B11" t="str">
            <v>PHENYL ETHYL PHENYL ACETATE</v>
          </cell>
          <cell r="C11" t="str">
            <v>해당없음</v>
          </cell>
          <cell r="D11" t="str">
            <v>해당없음</v>
          </cell>
          <cell r="E11" t="str">
            <v>해당없음</v>
          </cell>
          <cell r="F11" t="str">
            <v>LD50=15000mg/kg Rat (ChemIDplus; RTECS)</v>
          </cell>
          <cell r="G11" t="str">
            <v>Rabbit LD50&gt;5000mg/kg (ECHA)</v>
          </cell>
          <cell r="H11" t="str">
            <v>dust LC50 &gt;5 mg/L 4hr Rat (ECHA)</v>
          </cell>
          <cell r="I11" t="str">
            <v>토끼를 이용한 시험결과, 피부에 자극을 일으키지 않음(OECD Guideline 404) (ECHA)</v>
          </cell>
          <cell r="J11" t="str">
            <v>토끼를 이용한 시험결과, 눈에 자극을 일으키지 않음(OECD Guideline 405) (ECHA)</v>
          </cell>
          <cell r="K11" t="str">
            <v>자료없음</v>
          </cell>
          <cell r="L11" t="str">
            <v>인체를 이용한 최대화시험결과, 피부에 비과민성 (ECHA)</v>
          </cell>
          <cell r="M11" t="str">
            <v>해당없음</v>
          </cell>
          <cell r="N11" t="str">
            <v>시험관내 박테리아 복귀돌연변이시험결과, 음성(ECHA).시험관내 포유류 염색체이상시험결과, 음성 (ECHA)</v>
          </cell>
          <cell r="O11" t="str">
            <v>랫드(암)를 이용한 시험결과, 생식독성에 대한 LOAEL=432 mg/kg, NOAEL=43mg/kg(ECHA). 인체에서 이 물질의 기형형성 영향은 음성결과를 보여주었으며, 이는 최저 투여농도에서 기형발생물질이 아님을나타냄 (ECHA</v>
          </cell>
          <cell r="P11" t="str">
            <v>자료없음</v>
          </cell>
          <cell r="Q11" t="str">
            <v>랫드(암/수)를 이용하여 0 (통제), 1000, 2500, 10000 mg/kg 투여한 반복투여시험결과, 1000-10000 mg/kg까지 투여했을 때 체중, 사료소비, 혈액학적 검사, 주요 장기 무게, 총체적 병리학적 소견 또는 조직병리학적소견결과, 시험물질의 투여와 관련된 차이는 관찰되지 않음(NOAE=1000-10000 mg/kg diet) (ECHA)</v>
          </cell>
          <cell r="R11" t="str">
            <v>자료없음</v>
          </cell>
          <cell r="S11" t="str">
            <v>해당없음</v>
          </cell>
          <cell r="T11" t="str">
            <v>Oncorhynchus mykiss 96hr LC50=3.626443 mg/L (QSAR; ECHA)</v>
          </cell>
          <cell r="U11" t="str">
            <v>Daphnia magna 48hr EC50=3.077435 mg/L (ECHA)</v>
          </cell>
          <cell r="V11" t="str">
            <v>Pseudokirchnerella subcapitata 72h EC50=7.993884 mg/L (Growth rate)(ECHA)</v>
          </cell>
          <cell r="W11" t="str">
            <v>log Kow=-0.301 (ECHA)</v>
          </cell>
          <cell r="X11" t="str">
            <v>자료없음</v>
          </cell>
          <cell r="Y11" t="str">
            <v>BCF 310 (ECHA)</v>
          </cell>
          <cell r="Z11" t="str">
            <v>Hydrolysis half-life: 38 days (ECHA)</v>
          </cell>
          <cell r="AA11" t="str">
            <v>Koc 1686 (Estimate)</v>
          </cell>
          <cell r="AB11" t="str">
            <v>해당없음</v>
          </cell>
          <cell r="AC11"/>
        </row>
        <row r="12">
          <cell r="A12" t="str">
            <v>102-76-1</v>
          </cell>
          <cell r="B12" t="str">
            <v>TRIACETIN</v>
          </cell>
          <cell r="C12" t="str">
            <v>해당없음</v>
          </cell>
          <cell r="D12" t="str">
            <v>해당없음</v>
          </cell>
          <cell r="E12" t="str">
            <v>해당없음</v>
          </cell>
          <cell r="F12" t="str">
            <v>LD50 2,840 ㎎/㎏ (IUCLID)</v>
          </cell>
          <cell r="G12" t="str">
            <v>LD50 &gt;5,000 ㎎/㎏  (SIDS, NLM)</v>
          </cell>
          <cell r="H12" t="str">
            <v>Steam LC50 &gt;1.721 ㎎/ℓ 4 hr  (SIDS, IUCLID, NLM)</v>
          </cell>
          <cell r="I12" t="str">
            <v>래빗 / 무자극 (SIDS)</v>
          </cell>
          <cell r="J12" t="str">
            <v>래빗 / 무자극 (SIDS, IUCLID)</v>
          </cell>
          <cell r="K12" t="str">
            <v>인체 / 무 과민성 (SIDS)</v>
          </cell>
          <cell r="L12" t="str">
            <v>자료없음</v>
          </cell>
          <cell r="M12" t="str">
            <v>헤당없음</v>
          </cell>
          <cell r="N12" t="str">
            <v>자료없음</v>
          </cell>
          <cell r="O12" t="str">
            <v>자료없음</v>
          </cell>
          <cell r="P12" t="str">
            <v>자료없음</v>
          </cell>
          <cell r="Q12" t="str">
            <v>자료없음</v>
          </cell>
          <cell r="R12" t="str">
            <v>글리세릴 트리아세테이트는 삼키거나, 흡입 또는 피부와 접촉하였을때 무해한 것으로 보여지나 민감한 개인에게는 경미한 자극을 일으킬수도 있다.</v>
          </cell>
          <cell r="S12" t="str">
            <v>해당없음</v>
          </cell>
          <cell r="T12" t="str">
            <v>LC50 174 ㎎/ℓ 96 hr  (Cyprinus carpio) (GLP, IUCLID)</v>
          </cell>
          <cell r="U12" t="str">
            <v>EC50 380 ㎎/ℓ 48 hr  (Daphnia magna) (GLP, IUCLID)</v>
          </cell>
          <cell r="V12" t="str">
            <v>ErC50 &gt;1,000 ㎎/ℓ 48 hr  (Selenastrum capricornutum) (OECD TG 201, GLP, NITE)</v>
          </cell>
          <cell r="W12" t="str">
            <v>log Kow 0.25</v>
          </cell>
          <cell r="X12" t="str">
            <v>64% after 28 days, 93% after 28 days ( Directive 84/449/EEC, C5, GLP) (IUCLID)</v>
          </cell>
          <cell r="Y12" t="str">
            <v>BCF 1.3 (IUCLID)</v>
          </cell>
          <cell r="Z12" t="str">
            <v>After 28 days theoretical BOD 91-94% (the Japanese MITI test, HSDB)</v>
          </cell>
          <cell r="AA12" t="str">
            <v>자료없음</v>
          </cell>
          <cell r="AB12" t="str">
            <v>해당없음</v>
          </cell>
          <cell r="AC12"/>
        </row>
        <row r="13">
          <cell r="A13" t="str">
            <v>103-05-9</v>
          </cell>
          <cell r="B13" t="str">
            <v>DIMETHYL PHENYL ETHYL CARBINOL</v>
          </cell>
          <cell r="C13" t="str">
            <v>해당없음</v>
          </cell>
          <cell r="D13" t="str">
            <v>해당없음</v>
          </cell>
          <cell r="E13" t="str">
            <v>해당없음</v>
          </cell>
          <cell r="F13" t="str">
            <v>LD50 2,200 ㎎/㎏ (Rat) (National Library of Medicine)</v>
          </cell>
          <cell r="G13" t="str">
            <v>LD50 3,500 ㎎/㎏ (Rabbit) (National Library of Medicine)</v>
          </cell>
          <cell r="H13" t="str">
            <v>자료없음</v>
          </cell>
          <cell r="I13" t="str">
            <v>자료없음</v>
          </cell>
          <cell r="J13" t="str">
            <v>자료없음</v>
          </cell>
          <cell r="K13" t="str">
            <v>자료없음</v>
          </cell>
          <cell r="L13" t="str">
            <v>자료없음</v>
          </cell>
          <cell r="M13" t="str">
            <v>해당없음</v>
          </cell>
          <cell r="N13" t="str">
            <v>computed Probability of Mutagenicy 0.000 (TOPKAT)</v>
          </cell>
          <cell r="O13" t="str">
            <v>자료없음</v>
          </cell>
          <cell r="P13" t="str">
            <v>자료없음</v>
          </cell>
          <cell r="Q13" t="str">
            <v>자료없음</v>
          </cell>
          <cell r="R13" t="str">
            <v>자료없음</v>
          </cell>
          <cell r="S13" t="str">
            <v>해당없음</v>
          </cell>
          <cell r="T13" t="str">
            <v>LC50 66.4 ㎎/ℓ 96 hr Pimephales promelas (ECOTOX)</v>
          </cell>
          <cell r="U13" t="str">
            <v>LC50 12.473 ㎎/ℓ 48 hr (ECOSAR Class Neutral Organics) (Ecological Structure Activity Relationships (ECOSAR))</v>
          </cell>
          <cell r="V13" t="str">
            <v>ECOSAR Class Neutral Organics (Ecological Structure Activity Relationships (ECOSAR))</v>
          </cell>
          <cell r="W13" t="str">
            <v>log Kow 2.930 (NLM)</v>
          </cell>
          <cell r="X13" t="str">
            <v>자료없음</v>
          </cell>
          <cell r="Y13" t="str">
            <v>BCF 39.76 (Estimate)</v>
          </cell>
          <cell r="Z13" t="str">
            <v>(Cut-off value=0.2947 : rapidly biodegradable (BIOWIN 6)) (estimate)</v>
          </cell>
          <cell r="AA13" t="str">
            <v>Koc 136.2 (estimate)</v>
          </cell>
          <cell r="AB13" t="str">
            <v>해당없음</v>
          </cell>
        </row>
        <row r="14">
          <cell r="A14" t="str">
            <v>103-23-1</v>
          </cell>
          <cell r="B14" t="str">
            <v>DIOCTHYL ADIPATE</v>
          </cell>
          <cell r="C14" t="str">
            <v>해당없음</v>
          </cell>
          <cell r="D14" t="str">
            <v>해당없음</v>
          </cell>
          <cell r="E14" t="str">
            <v>해당없음</v>
          </cell>
          <cell r="F14" t="str">
            <v>LD50 &gt; 20000 ㎎/㎏ Rat (OECD TG 401) (ECHA)</v>
          </cell>
          <cell r="G14" t="str">
            <v>LD50 16300 ㎎/㎏ Rabbit (ECHA)</v>
          </cell>
          <cell r="H14" t="str">
            <v>자료없음</v>
          </cell>
          <cell r="I14" t="str">
            <v>토끼를 이용한 자극성 시험 결과 비자극성 (PDII &lt;=0.83) (ECHA)</v>
          </cell>
          <cell r="J14" t="str">
            <v>토끼를 이용한 눈 자극성 시험 결과 비자극성 (ECHA)</v>
          </cell>
          <cell r="K14" t="str">
            <v>자료없음</v>
          </cell>
          <cell r="L14" t="str">
            <v>기니피그를 이용한 피부 과민성 시험 결과 비과민성 (ECHA)</v>
          </cell>
          <cell r="M14" t="str">
            <v>해당없음</v>
          </cell>
          <cell r="N14" t="str">
            <v>In vitro 미생물을 이용한 복귀돌연변이시험 결과 대사활성계 유무에 관계없이 음성 (OECD TG 471, GLP) In vivo 포유류 적혈구 소핵 검사 시험 결과 음성 (OECD TG 474) (ECHA)</v>
          </cell>
          <cell r="O14" t="str">
            <v>랫드를 이용한 1세대 생식독성 연구 시험 결과 생식독성이 관찰되지 않음. NOAEL ca. 170 mg/kg bw/day (OECD TG 415, GLP) (ECHA)</v>
          </cell>
          <cell r="P14" t="str">
            <v>자료없음</v>
          </cell>
          <cell r="Q14" t="str">
            <v>자료없음</v>
          </cell>
          <cell r="R14" t="str">
            <v>자료없음</v>
          </cell>
          <cell r="S14" t="str">
            <v>해당없음</v>
          </cell>
          <cell r="T14" t="str">
            <v>LC50 0.78 ㎎/ℓ 96 hr. Water solubility : 0.0032 mg/L (ECHA)</v>
          </cell>
          <cell r="U14" t="str">
            <v>EC50 &gt; 100 ㎎/ℓ 48 hr Daphnia magna (Static, OECD TG 202, GLP) (ECHA)</v>
          </cell>
          <cell r="V14" t="str">
            <v>EC50 &gt; 100 ㎎/ℓ 72 hr Raphidocelis subcapitata (Static, OECD TG 201, GLP) (ECHA)</v>
          </cell>
          <cell r="W14" t="str">
            <v>자료없음</v>
          </cell>
          <cell r="X14" t="str">
            <v>자료없음</v>
          </cell>
          <cell r="Y14" t="str">
            <v>BCF 27 (NITE)</v>
          </cell>
          <cell r="Z14" t="str">
            <v>BOD : 71 (%) (NITE)</v>
          </cell>
          <cell r="AA14" t="str">
            <v>자료없음</v>
          </cell>
          <cell r="AB14" t="str">
            <v>해당없음</v>
          </cell>
        </row>
        <row r="15">
          <cell r="A15" t="str">
            <v>10339-55-6</v>
          </cell>
          <cell r="B15" t="str">
            <v>ETHYL LINALOOL</v>
          </cell>
          <cell r="C15" t="str">
            <v>해당없음</v>
          </cell>
          <cell r="D15" t="str">
            <v>해당없음</v>
          </cell>
          <cell r="E15" t="str">
            <v>해당없음</v>
          </cell>
          <cell r="F15" t="str">
            <v>LD50 2,790 ㎎/㎏ (Rat) (RIFM Database)</v>
          </cell>
          <cell r="G15" t="str">
            <v>LD50 &gt;5,000 ㎎/㎏ (Rat) (RIFM Database)</v>
          </cell>
          <cell r="H15" t="str">
            <v>LC50 3 ㎎/ℓ (Mouse) (RIFM Database)</v>
          </cell>
          <cell r="I15" t="str">
            <v>자료없음</v>
          </cell>
          <cell r="J15" t="str">
            <v>자료없음</v>
          </cell>
          <cell r="K15" t="str">
            <v>자료없음</v>
          </cell>
          <cell r="L15" t="str">
            <v>자료없음</v>
          </cell>
          <cell r="M15" t="str">
            <v>해당없음</v>
          </cell>
          <cell r="N15" t="str">
            <v>자료없음</v>
          </cell>
          <cell r="O15" t="str">
            <v>자료없음</v>
          </cell>
          <cell r="P15" t="str">
            <v>자료없음</v>
          </cell>
          <cell r="Q15" t="str">
            <v>자료없음</v>
          </cell>
          <cell r="R15" t="str">
            <v>자료없음</v>
          </cell>
          <cell r="S15" t="str">
            <v>해당없음</v>
          </cell>
          <cell r="T15" t="str">
            <v>LC50 1.71 ㎎/ℓ 96 hr (Estimate)</v>
          </cell>
          <cell r="U15" t="str">
            <v>LC50 0.278 ㎎/ℓ 48 hr (Estimate)</v>
          </cell>
          <cell r="V15" t="str">
            <v>EC50 2.03 ㎎/ℓ 96 hr (Estimate)</v>
          </cell>
          <cell r="W15" t="str">
            <v>log Kow 3.87 (Estimate)</v>
          </cell>
          <cell r="X15" t="str">
            <v>자료없음</v>
          </cell>
          <cell r="Y15" t="str">
            <v>BCF 166.7 (Estimate)</v>
          </cell>
          <cell r="Z15" t="str">
            <v>자료없음</v>
          </cell>
          <cell r="AA15" t="str">
            <v>자료없음</v>
          </cell>
          <cell r="AB15" t="str">
            <v>해당없음</v>
          </cell>
          <cell r="AC15"/>
        </row>
        <row r="16">
          <cell r="A16" t="str">
            <v>103-45-7</v>
          </cell>
          <cell r="B16" t="str">
            <v>PHENETHYL ACETATE</v>
          </cell>
          <cell r="C16" t="str">
            <v>해당없음</v>
          </cell>
          <cell r="D16" t="str">
            <v>해당없음</v>
          </cell>
          <cell r="E16" t="str">
            <v>해당없음</v>
          </cell>
          <cell r="F16" t="str">
            <v>LD50 3,670 ㎎/㎏  (Rat) (TOMES)</v>
          </cell>
          <cell r="G16" t="str">
            <v>LD50 6,120 ㎎/㎏  (Rabbit) (TOMES)</v>
          </cell>
          <cell r="H16" t="str">
            <v>Mist LC50 &gt;500 ㎎/㎥  (Rat) (TOMES)</v>
          </cell>
          <cell r="I16" t="str">
            <v>자료없음</v>
          </cell>
          <cell r="J16" t="str">
            <v>자료없음</v>
          </cell>
          <cell r="K16" t="str">
            <v>자료없음</v>
          </cell>
          <cell r="L16" t="str">
            <v>자료없음</v>
          </cell>
          <cell r="M16" t="str">
            <v>자료없음</v>
          </cell>
          <cell r="N16" t="str">
            <v>자료없음</v>
          </cell>
          <cell r="O16" t="str">
            <v>자료없음</v>
          </cell>
          <cell r="P16" t="str">
            <v>자료없음</v>
          </cell>
          <cell r="Q16" t="str">
            <v>자료없음</v>
          </cell>
          <cell r="R16" t="str">
            <v>자료없음</v>
          </cell>
          <cell r="S16" t="str">
            <v>해당없음</v>
          </cell>
          <cell r="T16" t="str">
            <v>LC50 12.315 ㎎/ℓ 96 hr (ECOSAR)</v>
          </cell>
          <cell r="U16" t="str">
            <v>LC50 39.508 ㎎/ℓ 48 hr (ECOSAR)</v>
          </cell>
          <cell r="V16" t="str">
            <v>EC50 1.001 ㎎/ℓ 96 hr (ECOSAR)</v>
          </cell>
          <cell r="W16" t="str">
            <v>자료없음</v>
          </cell>
          <cell r="X16" t="str">
            <v>자료없음</v>
          </cell>
          <cell r="Y16" t="str">
            <v>자료없음</v>
          </cell>
          <cell r="Z16" t="str">
            <v>자료없음</v>
          </cell>
          <cell r="AA16" t="str">
            <v>자료없음</v>
          </cell>
          <cell r="AB16" t="str">
            <v>해당없음</v>
          </cell>
          <cell r="AC16"/>
        </row>
        <row r="17">
          <cell r="A17" t="str">
            <v>103-48-0</v>
          </cell>
          <cell r="B17" t="str">
            <v>PHENETHYL ISOBUTYRATE</v>
          </cell>
          <cell r="C17" t="str">
            <v>해당없음</v>
          </cell>
          <cell r="D17" t="str">
            <v>해당없음</v>
          </cell>
          <cell r="E17" t="str">
            <v>해당없음</v>
          </cell>
          <cell r="F17" t="str">
            <v>자료없음</v>
          </cell>
          <cell r="G17" t="str">
            <v>자료없음</v>
          </cell>
          <cell r="H17" t="str">
            <v>자료없음</v>
          </cell>
          <cell r="I17" t="str">
            <v>자료없음</v>
          </cell>
          <cell r="J17" t="str">
            <v>자료없음</v>
          </cell>
          <cell r="K17" t="str">
            <v>자료없음</v>
          </cell>
          <cell r="L17" t="str">
            <v>자료없음</v>
          </cell>
          <cell r="M17" t="str">
            <v>해당없음</v>
          </cell>
          <cell r="N17" t="str">
            <v>자료없음</v>
          </cell>
          <cell r="O17" t="str">
            <v>자료없음</v>
          </cell>
          <cell r="P17" t="str">
            <v>자료없음</v>
          </cell>
          <cell r="Q17" t="str">
            <v>자료없음</v>
          </cell>
          <cell r="R17" t="str">
            <v>자료없음</v>
          </cell>
          <cell r="S17" t="str">
            <v>해당없음</v>
          </cell>
          <cell r="T17" t="str">
            <v>자료없음</v>
          </cell>
          <cell r="U17" t="str">
            <v>자료없음</v>
          </cell>
          <cell r="V17" t="str">
            <v>자료없음</v>
          </cell>
          <cell r="W17" t="str">
            <v>자료없음</v>
          </cell>
          <cell r="X17" t="str">
            <v>자료없음</v>
          </cell>
          <cell r="Y17" t="str">
            <v>자료없음</v>
          </cell>
          <cell r="Z17" t="str">
            <v>자료없음</v>
          </cell>
          <cell r="AA17" t="str">
            <v>자료없음</v>
          </cell>
          <cell r="AB17" t="str">
            <v>해당없음</v>
          </cell>
        </row>
        <row r="18">
          <cell r="A18" t="str">
            <v>103-54-8</v>
          </cell>
          <cell r="B18" t="str">
            <v>CINNAMYL ACETATE</v>
          </cell>
          <cell r="C18" t="str">
            <v>해당없음</v>
          </cell>
          <cell r="D18" t="str">
            <v>해당없음</v>
          </cell>
          <cell r="E18" t="str">
            <v>해당없음</v>
          </cell>
          <cell r="F18" t="str">
            <v>자료없음</v>
          </cell>
          <cell r="G18" t="str">
            <v>자료없음</v>
          </cell>
          <cell r="H18" t="str">
            <v>자료없음</v>
          </cell>
          <cell r="I18" t="str">
            <v>자료없음</v>
          </cell>
          <cell r="J18" t="str">
            <v>자료없음</v>
          </cell>
          <cell r="K18" t="str">
            <v>자료없음</v>
          </cell>
          <cell r="L18" t="str">
            <v>자료없음</v>
          </cell>
          <cell r="M18" t="str">
            <v>해당없음</v>
          </cell>
          <cell r="N18" t="str">
            <v>자료없음</v>
          </cell>
          <cell r="O18" t="str">
            <v>자료없음</v>
          </cell>
          <cell r="P18" t="str">
            <v>자료없음</v>
          </cell>
          <cell r="Q18" t="str">
            <v>자료없음</v>
          </cell>
          <cell r="R18" t="str">
            <v>자료없음</v>
          </cell>
          <cell r="S18" t="str">
            <v>해당없음</v>
          </cell>
          <cell r="T18" t="str">
            <v>자료없음</v>
          </cell>
          <cell r="U18" t="str">
            <v>자료없음</v>
          </cell>
          <cell r="V18" t="str">
            <v>자료없음</v>
          </cell>
          <cell r="W18" t="str">
            <v>자료없음</v>
          </cell>
          <cell r="X18" t="str">
            <v>자료없음</v>
          </cell>
          <cell r="Y18" t="str">
            <v>자료없음</v>
          </cell>
          <cell r="Z18" t="str">
            <v>자료없음</v>
          </cell>
          <cell r="AA18" t="str">
            <v>자료없음</v>
          </cell>
          <cell r="AB18" t="str">
            <v>해당없음</v>
          </cell>
          <cell r="AC18"/>
        </row>
        <row r="19">
          <cell r="A19" t="str">
            <v>103-60-6</v>
          </cell>
          <cell r="B19" t="str">
            <v>PHENOXY EHTYL ISOBUTYRATE</v>
          </cell>
          <cell r="C19" t="str">
            <v>해당없음</v>
          </cell>
          <cell r="D19" t="str">
            <v>해당없음</v>
          </cell>
          <cell r="E19" t="str">
            <v>해당없음</v>
          </cell>
          <cell r="F19" t="str">
            <v>LD50 &gt; 5000 ㎎/㎏ Rat (ChemIDplus)</v>
          </cell>
          <cell r="G19" t="str">
            <v>LD50 &gt;5,000 ㎎/㎏  (Rabbit) (National Library of Medicine)</v>
          </cell>
          <cell r="H19" t="str">
            <v>자료없음</v>
          </cell>
          <cell r="I19" t="str">
            <v>자료없음</v>
          </cell>
          <cell r="J19" t="str">
            <v>자료없음</v>
          </cell>
          <cell r="K19" t="str">
            <v>자료없음</v>
          </cell>
          <cell r="L19" t="str">
            <v>자료없음</v>
          </cell>
          <cell r="M19" t="str">
            <v>해당없음</v>
          </cell>
          <cell r="N19" t="str">
            <v>자료없음</v>
          </cell>
          <cell r="O19" t="str">
            <v>자료없음</v>
          </cell>
          <cell r="P19" t="str">
            <v>자료없음</v>
          </cell>
          <cell r="Q19" t="str">
            <v>랫드 TDLo=91 gm/kg/6H/13W, 난소의 무게 변화 (RTECS)</v>
          </cell>
          <cell r="R19" t="str">
            <v>자료없음</v>
          </cell>
          <cell r="S19" t="str">
            <v>해당없음</v>
          </cell>
          <cell r="T19" t="str">
            <v>LC50 7.450 ㎎/ℓ 96 hr (Estimate)</v>
          </cell>
          <cell r="U19" t="str">
            <v>LC50 6.3 ㎎/ℓ 48 hr (Estimate)</v>
          </cell>
          <cell r="V19" t="str">
            <v>EC50 5.134 ㎎/ℓ 96 hr (Estimate)</v>
          </cell>
          <cell r="W19" t="str">
            <v>log Kow 3.01 (Estimate)</v>
          </cell>
          <cell r="X19" t="str">
            <v>자료없음</v>
          </cell>
          <cell r="Y19" t="str">
            <v>BCF 45 (Estimate)</v>
          </cell>
          <cell r="Z19" t="str">
            <v>Non-degradable; not degraded and has a high potential to accumulate in vivo (estimate)</v>
          </cell>
          <cell r="AA19" t="str">
            <v>Koc 237.8 (Estimates)</v>
          </cell>
          <cell r="AB19" t="str">
            <v>해당없음</v>
          </cell>
        </row>
        <row r="20">
          <cell r="A20" t="str">
            <v>103694-68-4</v>
          </cell>
          <cell r="B20" t="str">
            <v>TRIMETHYLBENZENEPROPANOL</v>
          </cell>
          <cell r="C20" t="str">
            <v>해당없음</v>
          </cell>
          <cell r="D20" t="str">
            <v>해당없음</v>
          </cell>
          <cell r="E20" t="str">
            <v>해당없음</v>
          </cell>
          <cell r="F20" t="str">
            <v>LD50 3440 ㎎/㎏ Rat (OECD Guideline 401, ECHA)</v>
          </cell>
          <cell r="G20" t="str">
            <v>자료없음</v>
          </cell>
          <cell r="H20" t="str">
            <v>자료없음</v>
          </cell>
          <cell r="I20" t="str">
            <v>토끼를 이용한 급성 피부 자극/부식 시험결과, 분류되지않음 (OECD Guideline 404, GLP) (ECHA)</v>
          </cell>
          <cell r="J20" t="str">
            <v>토끼를 이용한 시험결과, 분류되지않음(guideline : 84/449/EWG, B.5 OECD 405, GLP) (ECHA)</v>
          </cell>
          <cell r="K20" t="str">
            <v>자료없음</v>
          </cell>
          <cell r="L20" t="str">
            <v>기니피그(암/수)를 이용한 피부 과민성시험결과, 분류되지않음 (guideline : 84/449/EWG, B.6; OECD 406, GLP) (ECHA)</v>
          </cell>
          <cell r="M20" t="str">
            <v>해당없음</v>
          </cell>
          <cell r="N20" t="str">
            <v>in vitro 미생물을 이용한 복귀돌연변이시험-음성 (OECD Guideline 471, GLP) (ECHA)</v>
          </cell>
          <cell r="O20" t="str">
            <v>자료없음</v>
          </cell>
          <cell r="P20" t="str">
            <v>랫드를 이용한 급성경구시험결과, 모든 용량에서 무신경, 진정작용, 떨림, 조직활동부족, 복부통증, 콧물발생 (OECD Guideline 401, GLP) (ECHA)</v>
          </cell>
          <cell r="Q20" t="str">
            <v>자료없음</v>
          </cell>
          <cell r="R20" t="str">
            <v>자료없음</v>
          </cell>
          <cell r="S20" t="str">
            <v>해당없음</v>
          </cell>
          <cell r="T20" t="str">
            <v>자료없음</v>
          </cell>
          <cell r="U20" t="str">
            <v>EC50 19 ㎎/ℓ 48 hr Daphnia magna (OECD Guideline 202, GLP, ECHA)</v>
          </cell>
          <cell r="V20" t="str">
            <v>자료없음</v>
          </cell>
          <cell r="W20" t="str">
            <v>자료없음</v>
          </cell>
          <cell r="X20" t="str">
            <v>자료없음</v>
          </cell>
          <cell r="Y20" t="str">
            <v>자료없음</v>
          </cell>
          <cell r="Z20" t="str">
            <v>4 (%), 28 day (ECHA)</v>
          </cell>
          <cell r="AA20" t="str">
            <v>Koc 274.5 (Estimate)</v>
          </cell>
          <cell r="AB20" t="str">
            <v>해당없음</v>
          </cell>
          <cell r="AC20"/>
        </row>
        <row r="21">
          <cell r="A21" t="str">
            <v>103-95-7</v>
          </cell>
          <cell r="B21" t="str">
            <v>CYCLAMEN ALDEHYDE</v>
          </cell>
          <cell r="C21" t="str">
            <v>해당없음</v>
          </cell>
          <cell r="D21" t="str">
            <v>해당없음</v>
          </cell>
          <cell r="E21" t="str">
            <v>해당없음</v>
          </cell>
          <cell r="F21" t="str">
            <v>LD50 3,810 ㎎/㎏ (Rat) (National Library of Medicine)</v>
          </cell>
          <cell r="G21" t="str">
            <v>LD50 &gt;5,000 ㎎/㎏ (Rat ) (National Library of Medicine)</v>
          </cell>
          <cell r="H21" t="str">
            <v>자료없음</v>
          </cell>
          <cell r="I21" t="str">
            <v>토끼에서 중간 정도 자극이 나타남.</v>
          </cell>
          <cell r="J21" t="str">
            <v>STANDARD DRAIZE TEST 결과 약한 자극 나타남 (14303화학상품(일본))</v>
          </cell>
          <cell r="K21" t="str">
            <v>자료없음</v>
          </cell>
          <cell r="L21" t="str">
            <v>자료없음</v>
          </cell>
          <cell r="M21" t="str">
            <v>해당없음</v>
          </cell>
          <cell r="N21" t="str">
            <v>자료없음</v>
          </cell>
          <cell r="O21" t="str">
            <v>자료없음</v>
          </cell>
          <cell r="P21" t="str">
            <v>자료없음</v>
          </cell>
          <cell r="Q21" t="str">
            <v>자료없음</v>
          </cell>
          <cell r="R21" t="str">
            <v>자료없음</v>
          </cell>
          <cell r="S21" t="str">
            <v>해당없음</v>
          </cell>
          <cell r="T21" t="str">
            <v>LC50 1.200 ㎎/ℓ 96 hr (Estimate)</v>
          </cell>
          <cell r="U21" t="str">
            <v>LC50 0.778 ㎎/ℓ 48 hr (Estimate)</v>
          </cell>
          <cell r="V21" t="str">
            <v>EC50 2.222 ㎎/ℓ 96 hr (Estimate)</v>
          </cell>
          <cell r="W21" t="str">
            <v>log Kow 3.91 (Estimate)</v>
          </cell>
          <cell r="X21" t="str">
            <v>자료없음</v>
          </cell>
          <cell r="Y21" t="str">
            <v>BCF 175.6 (Estimate)</v>
          </cell>
          <cell r="Z21" t="str">
            <v>(Cut-off value=0.4754; Non-degradable(BIOWIN 5)) (estimate)</v>
          </cell>
          <cell r="AA21" t="str">
            <v>Koc 2.859 (Estimate)</v>
          </cell>
          <cell r="AB21" t="str">
            <v>해당없음</v>
          </cell>
        </row>
        <row r="22">
          <cell r="A22" t="str">
            <v>104-21-2</v>
          </cell>
          <cell r="B22" t="str">
            <v>p-ANISYL ACETATE</v>
          </cell>
          <cell r="C22" t="str">
            <v>해당없음</v>
          </cell>
          <cell r="D22" t="str">
            <v>해당없음</v>
          </cell>
          <cell r="E22" t="str">
            <v>해당없음</v>
          </cell>
          <cell r="F22" t="str">
            <v>LD50 &gt;2,000 ㎎/㎏ (Rat) (NCIS)</v>
          </cell>
          <cell r="G22" t="str">
            <v>LD50 &gt;2,000 ㎎/㎏ (Rabbit) (NCIS)</v>
          </cell>
          <cell r="H22" t="str">
            <v>자료없음</v>
          </cell>
          <cell r="I22" t="str">
            <v>자료없음</v>
          </cell>
          <cell r="J22" t="str">
            <v>자료없음</v>
          </cell>
          <cell r="K22" t="str">
            <v>자료없음</v>
          </cell>
          <cell r="L22" t="str">
            <v>자료없음</v>
          </cell>
          <cell r="M22" t="str">
            <v>자료없음</v>
          </cell>
          <cell r="N22" t="str">
            <v>자료없음</v>
          </cell>
          <cell r="O22" t="str">
            <v>자료없음</v>
          </cell>
          <cell r="P22" t="str">
            <v>자료없음</v>
          </cell>
          <cell r="Q22" t="str">
            <v>자료없음</v>
          </cell>
          <cell r="R22" t="str">
            <v>자료없음</v>
          </cell>
          <cell r="S22" t="str">
            <v>해당없음</v>
          </cell>
          <cell r="T22" t="str">
            <v>LC50 13.1 ㎎/ℓ 96 hr (OECD Guideline 203, GLP) (Brachydanio rerio ) (ECHA)</v>
          </cell>
          <cell r="U22" t="str">
            <v>자료없음</v>
          </cell>
          <cell r="V22" t="str">
            <v>자료없음</v>
          </cell>
          <cell r="W22" t="str">
            <v>자료없음</v>
          </cell>
          <cell r="X22" t="str">
            <v>자료없음</v>
          </cell>
          <cell r="Y22" t="str">
            <v>자료없음</v>
          </cell>
          <cell r="Z22" t="str">
            <v>자료없음</v>
          </cell>
          <cell r="AA22" t="str">
            <v>자료없음</v>
          </cell>
          <cell r="AB22" t="str">
            <v>해당없음</v>
          </cell>
          <cell r="AC22"/>
        </row>
        <row r="23">
          <cell r="A23" t="str">
            <v>104-50-7</v>
          </cell>
          <cell r="B23" t="str">
            <v>GAMMA-OCTALACTONE</v>
          </cell>
          <cell r="C23" t="str">
            <v>해당없음</v>
          </cell>
          <cell r="D23" t="str">
            <v>해당없음</v>
          </cell>
          <cell r="E23" t="str">
            <v>해당없음</v>
          </cell>
          <cell r="F23" t="str">
            <v>LD50 4400 ㎎/㎏ Rat (ChemIDplus)</v>
          </cell>
          <cell r="G23" t="str">
            <v>자료없음</v>
          </cell>
          <cell r="H23" t="str">
            <v>자료없음</v>
          </cell>
          <cell r="I23" t="str">
            <v>보통자극 (RTECS)</v>
          </cell>
          <cell r="J23" t="str">
            <v>눈자극 (RTECS)</v>
          </cell>
          <cell r="K23" t="str">
            <v>자료없음</v>
          </cell>
          <cell r="L23" t="str">
            <v>자료없음</v>
          </cell>
          <cell r="M23" t="str">
            <v>해당없음</v>
          </cell>
          <cell r="N23" t="str">
            <v>자료없음</v>
          </cell>
          <cell r="O23" t="str">
            <v>자료없음</v>
          </cell>
          <cell r="P23" t="str">
            <v>자료없음</v>
          </cell>
          <cell r="Q23" t="str">
            <v>자료없음</v>
          </cell>
          <cell r="R23" t="str">
            <v>자료없음</v>
          </cell>
          <cell r="S23" t="str">
            <v>해당없음</v>
          </cell>
          <cell r="T23" t="str">
            <v>LC50 33.385 ㎎/ℓ 96 hr (Estimate)</v>
          </cell>
          <cell r="U23" t="str">
            <v>LC50 72.393 ㎎/ℓ 48 hr (Estimate)</v>
          </cell>
          <cell r="V23" t="str">
            <v>EC50 32.261 ㎎/ℓ 96 hr (Estimate)</v>
          </cell>
          <cell r="W23" t="str">
            <v>log Kow 1.59 (Estimate)</v>
          </cell>
          <cell r="X23" t="str">
            <v>자료없음</v>
          </cell>
          <cell r="Y23" t="str">
            <v>BCF 5.2 (Estimate)</v>
          </cell>
          <cell r="Z23" t="str">
            <v>Non-degradable; not degraded and has a high potential to accumulate in vivo (estimate)</v>
          </cell>
          <cell r="AA23" t="str">
            <v>Koc 65.84 (Estimates)</v>
          </cell>
          <cell r="AB23" t="str">
            <v>해당없음</v>
          </cell>
        </row>
        <row r="24">
          <cell r="A24" t="str">
            <v>104-54-1</v>
          </cell>
          <cell r="B24" t="str">
            <v>CINNAMIC ALCOHOL</v>
          </cell>
          <cell r="C24" t="str">
            <v>해당없음</v>
          </cell>
          <cell r="D24" t="str">
            <v>해당없음</v>
          </cell>
          <cell r="E24" t="str">
            <v>해당없음</v>
          </cell>
          <cell r="F24" t="str">
            <v>LD50 2000 ㎎/㎏ Rat (RTECS)</v>
          </cell>
          <cell r="G24" t="str">
            <v>LD50 &gt; 5000 ㎎/㎏ Rabbit (THOMSON)</v>
          </cell>
          <cell r="H24" t="str">
            <v>자료없음</v>
          </cell>
          <cell r="I24" t="str">
            <v>피부자극성 시험결과(토끼) 자극성(Rabbit/Skin-500 mg/24H-Moderate) (RTECS)</v>
          </cell>
          <cell r="J24" t="str">
            <v>자료없음</v>
          </cell>
          <cell r="K24" t="str">
            <v>자료없음</v>
          </cell>
          <cell r="L24" t="str">
            <v>자료없음</v>
          </cell>
          <cell r="M24" t="str">
            <v>해당없음</v>
          </cell>
          <cell r="N24" t="str">
            <v>자료없음</v>
          </cell>
          <cell r="O24" t="str">
            <v>자료없음</v>
          </cell>
          <cell r="P24" t="str">
            <v>자료없음</v>
          </cell>
          <cell r="Q24" t="str">
            <v>자료없음</v>
          </cell>
          <cell r="R24" t="str">
            <v>자료없음</v>
          </cell>
          <cell r="S24" t="str">
            <v>해당없음</v>
          </cell>
          <cell r="T24" t="str">
            <v>LC50 0.592 ㎎/ℓ 96 hr (Estimate)</v>
          </cell>
          <cell r="U24" t="str">
            <v>자료없음</v>
          </cell>
          <cell r="V24" t="str">
            <v>자료없음</v>
          </cell>
          <cell r="W24" t="str">
            <v>log Kow 1.70</v>
          </cell>
          <cell r="X24" t="str">
            <v>자료없음</v>
          </cell>
          <cell r="Y24" t="str">
            <v>자료없음</v>
          </cell>
          <cell r="Z24" t="str">
            <v>자료없음</v>
          </cell>
          <cell r="AA24" t="str">
            <v>자료없음</v>
          </cell>
          <cell r="AB24" t="str">
            <v>해당없음</v>
          </cell>
        </row>
        <row r="25">
          <cell r="A25" t="str">
            <v>104-55-2</v>
          </cell>
          <cell r="B25" t="str">
            <v>CINNAMIC ALDEHYDE</v>
          </cell>
          <cell r="C25" t="str">
            <v>해당없음</v>
          </cell>
          <cell r="D25" t="str">
            <v>해당없음</v>
          </cell>
          <cell r="E25" t="str">
            <v>해당없음</v>
          </cell>
          <cell r="F25" t="str">
            <v>LD50 2200~3400 ㎎/㎏ Rat (IUCLID)</v>
          </cell>
          <cell r="G25" t="str">
            <v>LD50 &gt; 2000 ㎎/㎏ Rat (IUCLID)</v>
          </cell>
          <cell r="H25" t="str">
            <v>자료없음</v>
          </cell>
          <cell r="I25" t="str">
            <v>인체 / 자극 (IUCLID)</v>
          </cell>
          <cell r="J25" t="str">
            <v>자료없음</v>
          </cell>
          <cell r="K25" t="str">
            <v>자료없음</v>
          </cell>
          <cell r="L25" t="str">
            <v>인체 피부 과민 (IUCLID)</v>
          </cell>
          <cell r="M25" t="str">
            <v>해당없음</v>
          </cell>
          <cell r="N25" t="str">
            <v>인비트로/햄스터/양성, 인비보/마우스/음성 (IUCLID)</v>
          </cell>
          <cell r="O25" t="str">
            <v>래트 / 변화없음 (IUCLID)</v>
          </cell>
          <cell r="P25" t="str">
            <v>자료없음</v>
          </cell>
          <cell r="Q25" t="str">
            <v>래트 / 10000ppm에서 독성관찰 (IUCLID)</v>
          </cell>
          <cell r="R25" t="str">
            <v>자료없음</v>
          </cell>
          <cell r="S25" t="str">
            <v>해당없음</v>
          </cell>
          <cell r="T25" t="str">
            <v>LC50 81 ~ 163 ㎎/ℓ 47 hr (IUCLID)</v>
          </cell>
          <cell r="U25" t="str">
            <v>LC50 9.065 ㎎/ℓ 48 hr (Estimate)</v>
          </cell>
          <cell r="V25" t="str">
            <v>EC50 94.713 ㎎/ℓ 96 (Estimate)</v>
          </cell>
          <cell r="W25" t="str">
            <v>log Kow 1.9</v>
          </cell>
          <cell r="X25" t="str">
            <v>자료없음</v>
          </cell>
          <cell r="Y25" t="str">
            <v>BCF &lt; 10 (Estimate) (IUCLID)</v>
          </cell>
          <cell r="Z25" t="str">
            <v>91 (%) 14 day (IUCLID)</v>
          </cell>
          <cell r="AA25" t="str">
            <v>자료없음</v>
          </cell>
          <cell r="AB25" t="str">
            <v>해당없음</v>
          </cell>
          <cell r="AC25"/>
        </row>
        <row r="26">
          <cell r="A26" t="str">
            <v>104-61-0</v>
          </cell>
          <cell r="B26" t="str">
            <v>GAMMA-NONALACTONE</v>
          </cell>
          <cell r="C26" t="str">
            <v>해당없음</v>
          </cell>
          <cell r="D26" t="str">
            <v>해당없음</v>
          </cell>
          <cell r="E26" t="str">
            <v>해당없음</v>
          </cell>
          <cell r="F26" t="str">
            <v>LD50 &gt; 6000 ㎎/㎏ Rat (NLM, THOMSON)</v>
          </cell>
          <cell r="G26" t="str">
            <v>LD50 &gt; 5000 ㎎/㎏ Rabbit (NLM, THOMSON)</v>
          </cell>
          <cell r="H26" t="str">
            <v>자료없음</v>
          </cell>
          <cell r="I26" t="str">
            <v>래빗/피부부식 (THOMSON)</v>
          </cell>
          <cell r="J26" t="str">
            <v>자료없음</v>
          </cell>
          <cell r="K26" t="str">
            <v>자료없음</v>
          </cell>
          <cell r="L26" t="str">
            <v>자료없음</v>
          </cell>
          <cell r="M26" t="str">
            <v>해당없음</v>
          </cell>
          <cell r="N26" t="str">
            <v>자료없음</v>
          </cell>
          <cell r="O26" t="str">
            <v>자료없음</v>
          </cell>
          <cell r="P26" t="str">
            <v>자료없음</v>
          </cell>
          <cell r="Q26" t="str">
            <v>자료없음</v>
          </cell>
          <cell r="R26" t="str">
            <v>자료없음</v>
          </cell>
          <cell r="S26" t="str">
            <v>해당없음</v>
          </cell>
          <cell r="T26" t="str">
            <v>LC50 21.427 ㎎/ℓ 96 hr (Estimate)</v>
          </cell>
          <cell r="U26" t="str">
            <v>LC50 104.943 ㎎/ℓ 48 hr (Estimate)</v>
          </cell>
          <cell r="V26" t="str">
            <v>EC50 1.711 ㎎/ℓ 96 hr (Estimate)</v>
          </cell>
          <cell r="W26" t="str">
            <v>log Kow 2.5 (25℃) (ECHA)</v>
          </cell>
          <cell r="X26" t="str">
            <v>자료없음</v>
          </cell>
          <cell r="Y26" t="str">
            <v>자료없음</v>
          </cell>
          <cell r="Z26" t="str">
            <v>자료없음</v>
          </cell>
          <cell r="AA26" t="str">
            <v>자료없음</v>
          </cell>
          <cell r="AB26" t="str">
            <v>해당없음</v>
          </cell>
        </row>
        <row r="27">
          <cell r="A27" t="str">
            <v>104-67-6</v>
          </cell>
          <cell r="B27" t="str">
            <v>GAMMA UNDECALACTONE</v>
          </cell>
          <cell r="C27" t="str">
            <v>해당없음</v>
          </cell>
          <cell r="D27" t="str">
            <v>해당없음</v>
          </cell>
          <cell r="E27" t="str">
            <v>해당없음</v>
          </cell>
          <cell r="F27" t="str">
            <v>LD50 18,500 ㎎/㎏ (Rat) (NLM, ChemIDplus, TOMES;LOLI)</v>
          </cell>
          <cell r="G27" t="str">
            <v>LD50 2,000 ㎎/㎏ (Rat) (RIFM Database)</v>
          </cell>
          <cell r="H27" t="str">
            <v>LC50 18 ㎎/ℓ (RIFM Database)</v>
          </cell>
          <cell r="I27" t="str">
            <v>자료없음</v>
          </cell>
          <cell r="J27" t="str">
            <v>자료없음</v>
          </cell>
          <cell r="K27" t="str">
            <v>자료없음</v>
          </cell>
          <cell r="L27" t="str">
            <v>자료없음</v>
          </cell>
          <cell r="M27" t="str">
            <v>해당없음</v>
          </cell>
          <cell r="N27" t="str">
            <v>In vitro - 미생물을 이용한 복귀돌연변이시험(Salmonella typhimurium TA97,TA102): 음성 (NLM;CCRIS), In vivo-포유류 적혈구를 이용한 소핵시험:음성(NLM;CCRIS)</v>
          </cell>
          <cell r="O27" t="str">
            <v>자료없음</v>
          </cell>
          <cell r="P27" t="str">
            <v>자료없음</v>
          </cell>
          <cell r="Q27" t="str">
            <v>자료없음</v>
          </cell>
          <cell r="R27" t="str">
            <v>자료없음</v>
          </cell>
          <cell r="S27" t="str">
            <v>해당없음</v>
          </cell>
          <cell r="T27" t="str">
            <v>LC50 5.5~45.6 ㎎/ℓ 96 hr (ECHA) LC50 569 ㎎/ℓ  96 hr Oncorhynchus mykiss)</v>
          </cell>
          <cell r="U27" t="str">
            <v>EC50 4~5.853 ㎎/ℓ 48 hr (ECHA) EC50 17㎎/ℓ  48 hr Daphnia magna</v>
          </cell>
          <cell r="V27" t="str">
            <v>자료없음</v>
          </cell>
          <cell r="W27" t="str">
            <v>log Kow 3.06 (NITE)</v>
          </cell>
          <cell r="X27" t="str">
            <v>자료없음</v>
          </cell>
          <cell r="Y27" t="str">
            <v>BCF 3.162 (Estimate)</v>
          </cell>
          <cell r="Z27" t="str">
            <v>Non-degradable; not degraded and has a high potential to accumulate in vivo (estimate)</v>
          </cell>
          <cell r="AA27" t="str">
            <v>Koc 356.5 (Low potential for soil adsorption)</v>
          </cell>
          <cell r="AB27" t="str">
            <v>해당없음</v>
          </cell>
          <cell r="AC27"/>
        </row>
        <row r="28">
          <cell r="A28" t="str">
            <v>104-93-8</v>
          </cell>
          <cell r="B28" t="str">
            <v>P-CRESYL METHYLETHER</v>
          </cell>
          <cell r="C28" t="str">
            <v>해당없음</v>
          </cell>
          <cell r="D28" t="str">
            <v>해당없음</v>
          </cell>
          <cell r="E28" t="str">
            <v>해당없음</v>
          </cell>
          <cell r="F28" t="str">
            <v>LD50 1920 ㎎/㎏ Rat (IUCLID)</v>
          </cell>
          <cell r="G28" t="str">
            <v>LD50 &gt; 5000 ㎎/㎏ Rabbit (IUCLID)</v>
          </cell>
          <cell r="H28" t="str">
            <v>Steam LC50 &gt; 6.1 ㎎/ℓ 4 hr Rat (IUCLID)</v>
          </cell>
          <cell r="I28" t="str">
            <v>래빗 자극 (THOMSON)</v>
          </cell>
          <cell r="J28" t="str">
            <v>자료없음</v>
          </cell>
          <cell r="K28" t="str">
            <v>자료없음</v>
          </cell>
          <cell r="L28" t="str">
            <v>자료없음</v>
          </cell>
          <cell r="M28" t="str">
            <v>해당없음</v>
          </cell>
          <cell r="N28" t="str">
            <v>인비트로/ 음성 (SIDS)</v>
          </cell>
          <cell r="O28" t="str">
            <v>인체 간 무게 증가 (SIDS)</v>
          </cell>
          <cell r="P28" t="str">
            <v>자료없음</v>
          </cell>
          <cell r="Q28" t="str">
            <v>자료없음</v>
          </cell>
          <cell r="R28" t="str">
            <v>자료없음</v>
          </cell>
          <cell r="S28" t="str">
            <v>해당없음</v>
          </cell>
          <cell r="T28" t="str">
            <v>LC50 46 ~ 100 ㎎/ℓ 96 hr Leuciscus idus (DIN 38412, IUCLID)</v>
          </cell>
          <cell r="U28" t="str">
            <v>EC50 44.2 ㎎/ℓ 48 hr Daphnia magna (Directive 84/449/EEC C.2, IUCLID)</v>
          </cell>
          <cell r="V28" t="str">
            <v>자료없음</v>
          </cell>
          <cell r="W28" t="str">
            <v>log Kow 2.66</v>
          </cell>
          <cell r="X28" t="str">
            <v>자료없음</v>
          </cell>
          <cell r="Y28" t="str">
            <v>BCF 62 (HSDB)</v>
          </cell>
          <cell r="Z28" t="str">
            <v>82% 27 day (IUCLID)</v>
          </cell>
          <cell r="AA28" t="str">
            <v>Koc 671.43 (log Koc = 2.83)</v>
          </cell>
          <cell r="AB28" t="str">
            <v>해당없음</v>
          </cell>
        </row>
        <row r="29">
          <cell r="A29" t="str">
            <v>105-21-5</v>
          </cell>
          <cell r="B29" t="str">
            <v>HEPTALACTONE GAMMA</v>
          </cell>
          <cell r="C29" t="str">
            <v>해당없음</v>
          </cell>
          <cell r="D29" t="str">
            <v>해당없음</v>
          </cell>
          <cell r="E29" t="str">
            <v>해당없음</v>
          </cell>
          <cell r="F29" t="str">
            <v>LD50 &gt; 5000 ㎎/㎏ Rat (NLM, THOMSON)</v>
          </cell>
          <cell r="G29" t="str">
            <v>LD50 &gt; 5000 ㎎/㎏ Rabbit (NLM, THOMSON)</v>
          </cell>
          <cell r="H29" t="str">
            <v>자료없음</v>
          </cell>
          <cell r="I29" t="str">
            <v>래빗 / 피부자극 (THOMSON)</v>
          </cell>
          <cell r="J29" t="str">
            <v>자료없음</v>
          </cell>
          <cell r="K29" t="str">
            <v>자료없음</v>
          </cell>
          <cell r="L29" t="str">
            <v>자료없음</v>
          </cell>
          <cell r="M29" t="str">
            <v>해당없음</v>
          </cell>
          <cell r="N29" t="str">
            <v>자료없음</v>
          </cell>
          <cell r="O29" t="str">
            <v>자료없음</v>
          </cell>
          <cell r="P29" t="str">
            <v>자료없음</v>
          </cell>
          <cell r="Q29" t="str">
            <v>자료없음</v>
          </cell>
          <cell r="R29" t="str">
            <v>자료없음</v>
          </cell>
          <cell r="S29" t="str">
            <v>해당없음</v>
          </cell>
          <cell r="T29" t="str">
            <v>LC50 59.518 ㎎/ℓ 96 hr (Estimate)</v>
          </cell>
          <cell r="U29" t="str">
            <v>LC50 685.322 ㎎/ℓ 48 hr (Estimate)</v>
          </cell>
          <cell r="V29" t="str">
            <v>EC50 4.582 ㎎/ℓ 96 hr (Estimate)</v>
          </cell>
          <cell r="W29" t="str">
            <v>자료없음</v>
          </cell>
          <cell r="X29" t="str">
            <v>자료없음</v>
          </cell>
          <cell r="Y29" t="str">
            <v>자료없음</v>
          </cell>
          <cell r="Z29" t="str">
            <v>자료없음</v>
          </cell>
          <cell r="AA29" t="str">
            <v>자료없음</v>
          </cell>
          <cell r="AB29" t="str">
            <v>해당없음</v>
          </cell>
          <cell r="AC29"/>
        </row>
        <row r="30">
          <cell r="A30" t="str">
            <v>105-37-3</v>
          </cell>
          <cell r="B30" t="str">
            <v>ETHYL PROPIONATE</v>
          </cell>
          <cell r="C30" t="str">
            <v>해당없음</v>
          </cell>
          <cell r="D30" t="str">
            <v>해당없음</v>
          </cell>
          <cell r="E30" t="str">
            <v>해당없음</v>
          </cell>
          <cell r="F30" t="str">
            <v>LD50 8732 ㎎/㎏ Rat (NLM)</v>
          </cell>
          <cell r="G30" t="str">
            <v>자료없음</v>
          </cell>
          <cell r="H30" t="str">
            <v>자료없음</v>
          </cell>
          <cell r="I30" t="str">
            <v>피부 화상/자극 (THOMSON)</v>
          </cell>
          <cell r="J30" t="str">
            <v>눈 화상 / 자극 (THOMSON)</v>
          </cell>
          <cell r="K30" t="str">
            <v>자료없음</v>
          </cell>
          <cell r="L30" t="str">
            <v>자료없음</v>
          </cell>
          <cell r="M30" t="str">
            <v>해당없음</v>
          </cell>
          <cell r="N30" t="str">
            <v>자료없음</v>
          </cell>
          <cell r="O30" t="str">
            <v>자료없음</v>
          </cell>
          <cell r="P30" t="str">
            <v>자료없음</v>
          </cell>
          <cell r="Q30" t="str">
            <v>심장 영향 / 간과 신장 영향 (THOMSON)</v>
          </cell>
          <cell r="R30" t="str">
            <v>자료없음</v>
          </cell>
          <cell r="S30" t="str">
            <v>해당없음</v>
          </cell>
          <cell r="T30" t="str">
            <v>LC50 34.007 ㎎/ℓ 96 hr (Estimate)</v>
          </cell>
          <cell r="U30" t="str">
            <v>LC50 120 ㎎/ℓ 48 hr Daphnia magna (ECOTOX)</v>
          </cell>
          <cell r="V30" t="str">
            <v>EC50 2.644 ㎎/ℓ 96 hr (Estimate)</v>
          </cell>
          <cell r="W30" t="str">
            <v>log Kow 1.21</v>
          </cell>
          <cell r="X30" t="str">
            <v>자료없음</v>
          </cell>
          <cell r="Y30" t="str">
            <v>BCF 1.7 (HSDB)</v>
          </cell>
          <cell r="Z30" t="str">
            <v>자료없음</v>
          </cell>
          <cell r="AA30" t="str">
            <v>자료없음</v>
          </cell>
          <cell r="AB30" t="str">
            <v>해당없음</v>
          </cell>
        </row>
        <row r="31">
          <cell r="A31" t="str">
            <v>105-53-3</v>
          </cell>
          <cell r="B31" t="str">
            <v>DIETHYL MALONATE</v>
          </cell>
          <cell r="C31" t="str">
            <v>해당없음</v>
          </cell>
          <cell r="D31" t="str">
            <v>해당없음</v>
          </cell>
          <cell r="E31" t="str">
            <v>해당없음</v>
          </cell>
          <cell r="F31" t="str">
            <v>LD50 &gt; 2000 ㎎/㎏ Rat (SIDS)</v>
          </cell>
          <cell r="G31" t="str">
            <v>LD50 &gt; 2000 ㎎/㎏ Rat (SIDS)</v>
          </cell>
          <cell r="H31" t="str">
            <v>자료없음</v>
          </cell>
          <cell r="I31" t="str">
            <v>래빗 피부 자극 (SIDS)</v>
          </cell>
          <cell r="J31" t="str">
            <v>래빗 눈 자극 (SIDS)</v>
          </cell>
          <cell r="K31" t="str">
            <v>자료없음</v>
          </cell>
          <cell r="L31" t="str">
            <v>인체 / 무반응 (SIDS)</v>
          </cell>
          <cell r="M31" t="str">
            <v>해당없음</v>
          </cell>
          <cell r="N31" t="str">
            <v>박테리아/돌연변이성 없음 (SIDS)</v>
          </cell>
          <cell r="O31" t="str">
            <v>무독성(SIDS)</v>
          </cell>
          <cell r="P31" t="str">
            <v>자료없음</v>
          </cell>
          <cell r="Q31" t="str">
            <v>rat/90d/ 무반응 (IUCLID)</v>
          </cell>
          <cell r="R31" t="str">
            <v>자료없음</v>
          </cell>
          <cell r="S31" t="str">
            <v>해당없음</v>
          </cell>
          <cell r="T31" t="str">
            <v>LC50 11.8 ㎎/ℓ 96 hr Pimephales promelas (IUCLID)</v>
          </cell>
          <cell r="U31" t="str">
            <v>LC50 202.3 ㎎/ℓ 96 hr Daphnia magna (Directive 84/449/EEC, C.2., GLP, IUCLID)</v>
          </cell>
          <cell r="V31" t="str">
            <v>EC50 508.2 ㎎/ℓ 72 hr Scenedesmus subspicatus (Directive 88/302/EEC, GLP, IUCLID)</v>
          </cell>
          <cell r="W31" t="str">
            <v>log Kow 0.96 (ICSC)</v>
          </cell>
          <cell r="X31" t="str">
            <v>자료없음</v>
          </cell>
          <cell r="Y31" t="str">
            <v>자료없음</v>
          </cell>
          <cell r="Z31" t="str">
            <v>98% 28 days (IUCLID)</v>
          </cell>
          <cell r="AA31" t="str">
            <v>자료없음</v>
          </cell>
          <cell r="AB31" t="str">
            <v>해당없음</v>
          </cell>
          <cell r="AC31"/>
        </row>
        <row r="32">
          <cell r="A32" t="str">
            <v>105-54-4</v>
          </cell>
          <cell r="B32" t="str">
            <v>ETHYL BUTYRATE</v>
          </cell>
          <cell r="C32" t="str">
            <v>해당없음</v>
          </cell>
          <cell r="D32" t="str">
            <v>해당없음</v>
          </cell>
          <cell r="E32" t="str">
            <v>해당없음</v>
          </cell>
          <cell r="F32" t="str">
            <v>LD50 13000 ㎎/㎏ Rat (NLM, THOMSON)</v>
          </cell>
          <cell r="G32" t="str">
            <v>LD50 &gt; 2000 ㎎/㎏ Rabbit (NLM)</v>
          </cell>
          <cell r="H32" t="str">
            <v>자료없음</v>
          </cell>
          <cell r="I32" t="str">
            <v>피부 자극 (THOMSON)</v>
          </cell>
          <cell r="J32" t="str">
            <v>안자극이 보고됨.</v>
          </cell>
          <cell r="K32" t="str">
            <v>자료없음</v>
          </cell>
          <cell r="L32" t="str">
            <v>자료없음</v>
          </cell>
          <cell r="M32" t="str">
            <v>해당없음</v>
          </cell>
          <cell r="N32" t="str">
            <v>자료없음</v>
          </cell>
          <cell r="O32" t="str">
            <v>테스트되지 않음 (Thomson)</v>
          </cell>
          <cell r="P32" t="str">
            <v>자료없음</v>
          </cell>
          <cell r="Q32" t="str">
            <v>테스트되지 않음 (Thomson)</v>
          </cell>
          <cell r="R32" t="str">
            <v>자료없음</v>
          </cell>
          <cell r="S32" t="str">
            <v>해당없음</v>
          </cell>
          <cell r="T32" t="str">
            <v>LC50 53 ㎎/ℓ 48 hr (ECOTOX)</v>
          </cell>
          <cell r="U32" t="str">
            <v>EC50 750 ㎎/ℓ 24 hr Daphnia magna (ECOTOX)</v>
          </cell>
          <cell r="V32" t="str">
            <v>EC50 1.675 ㎎/ℓ 96 hr (Estimate)</v>
          </cell>
          <cell r="W32" t="str">
            <v>log Kow 1.85 (Estimate)</v>
          </cell>
          <cell r="X32" t="str">
            <v>자료없음</v>
          </cell>
          <cell r="Y32" t="str">
            <v>BCF 12 (HSDB)</v>
          </cell>
          <cell r="Z32" t="str">
            <v>자료없음</v>
          </cell>
          <cell r="AA32" t="str">
            <v>자료없음</v>
          </cell>
          <cell r="AB32" t="str">
            <v>해당없음</v>
          </cell>
          <cell r="AC32"/>
        </row>
        <row r="33">
          <cell r="A33" t="str">
            <v>105-87-3</v>
          </cell>
          <cell r="B33" t="str">
            <v>GERANYL ACETATE</v>
          </cell>
          <cell r="C33" t="str">
            <v>해당없음</v>
          </cell>
          <cell r="D33" t="str">
            <v>해당없음</v>
          </cell>
          <cell r="E33" t="str">
            <v>해당없음</v>
          </cell>
          <cell r="F33" t="str">
            <v>LD50 6330 ㎎/㎏ Rat(NLM, THOMSON)</v>
          </cell>
          <cell r="G33" t="str">
            <v>LD50 6 ㎎/㎏ (Rabbit) (RIFM Database)</v>
          </cell>
          <cell r="H33" t="str">
            <v>자료없음</v>
          </cell>
          <cell r="I33" t="str">
            <v>인체/약한자극 (THOMSON)</v>
          </cell>
          <cell r="J33" t="str">
            <v>자료없음</v>
          </cell>
          <cell r="K33" t="str">
            <v>자료없음</v>
          </cell>
          <cell r="L33" t="str">
            <v>자료없음</v>
          </cell>
          <cell r="M33" t="str">
            <v>해당없음</v>
          </cell>
          <cell r="N33" t="str">
            <v>자료없음</v>
          </cell>
          <cell r="O33" t="str">
            <v>자료없음</v>
          </cell>
          <cell r="P33" t="str">
            <v>자료없음</v>
          </cell>
          <cell r="Q33" t="str">
            <v>자료없음</v>
          </cell>
          <cell r="R33" t="str">
            <v>자료없음</v>
          </cell>
          <cell r="S33" t="str">
            <v>해당없음</v>
          </cell>
          <cell r="T33" t="str">
            <v>LC50 1.400 ㎎/ℓ 96 hr (Estimate)</v>
          </cell>
          <cell r="U33" t="str">
            <v>LC50 0.863 ㎎/ℓ 48 hr (Estimate)</v>
          </cell>
          <cell r="V33" t="str">
            <v>EC50 0.122 ㎎/ℓ 96 hr (Estimate)</v>
          </cell>
          <cell r="W33" t="str">
            <v>자료없음</v>
          </cell>
          <cell r="X33" t="str">
            <v>자료없음</v>
          </cell>
          <cell r="Y33" t="str">
            <v>BCF 1500 (HSDB)</v>
          </cell>
          <cell r="Z33" t="str">
            <v>자료없음</v>
          </cell>
          <cell r="AA33" t="str">
            <v>자료없음</v>
          </cell>
          <cell r="AB33" t="str">
            <v>해당없음</v>
          </cell>
          <cell r="AC33"/>
        </row>
        <row r="34">
          <cell r="A34" t="str">
            <v>105-95-3</v>
          </cell>
          <cell r="B34" t="str">
            <v>MUSK T</v>
          </cell>
          <cell r="C34" t="str">
            <v>해당없음</v>
          </cell>
          <cell r="D34" t="str">
            <v>해당없음</v>
          </cell>
          <cell r="E34" t="str">
            <v>해당없음</v>
          </cell>
          <cell r="F34" t="str">
            <v>LD50 &gt;5,000 ㎎/㎏ (Rat) (RIFM Database)</v>
          </cell>
          <cell r="G34" t="str">
            <v>LD50 &gt;5,000 ㎎/㎏ (Rabbit) (RIFM Database)</v>
          </cell>
          <cell r="H34" t="str">
            <v>자료없음</v>
          </cell>
          <cell r="I34" t="str">
            <v>피부/눈 자극 (ChemIDplus)</v>
          </cell>
          <cell r="J34" t="str">
            <v>피부/눈 자극 (ChemIDplus)</v>
          </cell>
          <cell r="K34" t="str">
            <v>자료없음</v>
          </cell>
          <cell r="L34" t="str">
            <v>자료없음</v>
          </cell>
          <cell r="M34" t="str">
            <v>해당없음</v>
          </cell>
          <cell r="N34" t="str">
            <v>자료없음</v>
          </cell>
          <cell r="O34" t="str">
            <v>자료없음</v>
          </cell>
          <cell r="P34" t="str">
            <v>자료없음</v>
          </cell>
          <cell r="Q34" t="str">
            <v>자료없음</v>
          </cell>
          <cell r="R34" t="str">
            <v>자료없음</v>
          </cell>
          <cell r="S34" t="str">
            <v>해당없음</v>
          </cell>
          <cell r="T34" t="str">
            <v>LC50 1.035 ㎎/ℓ 96 hr (Estimate)</v>
          </cell>
          <cell r="U34" t="str">
            <v>LC50 1.499 ㎎/ℓ 48 hr Daphnia magna (Estimate)</v>
          </cell>
          <cell r="V34" t="str">
            <v>EC50 0.411 ㎎/ℓ 96 hr (Estimate)</v>
          </cell>
          <cell r="W34" t="str">
            <v>log Kow 4.71  (Estimate)</v>
          </cell>
          <cell r="X34" t="str">
            <v>자료없음</v>
          </cell>
          <cell r="Y34" t="str">
            <v>BCF 597.3 (Estimate)</v>
          </cell>
          <cell r="Z34" t="str">
            <v>자료없음</v>
          </cell>
          <cell r="AA34" t="str">
            <v>Koc 2507 (Estimates)</v>
          </cell>
          <cell r="AB34" t="str">
            <v>해당없음</v>
          </cell>
        </row>
        <row r="35">
          <cell r="A35" t="str">
            <v>106-02-5</v>
          </cell>
          <cell r="B35" t="str">
            <v>EXALTOLIDE TOTAL (=PENTALIDE)</v>
          </cell>
          <cell r="C35" t="str">
            <v>해당없음</v>
          </cell>
          <cell r="D35" t="str">
            <v>해당없음</v>
          </cell>
          <cell r="E35" t="str">
            <v>해당없음</v>
          </cell>
          <cell r="F35" t="str">
            <v>LD50 &gt; 5000 ㎎/㎏ Rat (NLM, THOMSON)</v>
          </cell>
          <cell r="G35" t="str">
            <v>LD50 &gt; 5000 ㎎/㎏ Rabbit (NLM, THOMSON)</v>
          </cell>
          <cell r="H35" t="str">
            <v>자료없음</v>
          </cell>
          <cell r="I35" t="str">
            <v>자료없음</v>
          </cell>
          <cell r="J35" t="str">
            <v>자료없음</v>
          </cell>
          <cell r="K35" t="str">
            <v>자료없음</v>
          </cell>
          <cell r="L35" t="str">
            <v>자료없음</v>
          </cell>
          <cell r="M35" t="str">
            <v>해당없음</v>
          </cell>
          <cell r="N35" t="str">
            <v>자료없음</v>
          </cell>
          <cell r="O35" t="str">
            <v>자료없음</v>
          </cell>
          <cell r="P35" t="str">
            <v>자료없음</v>
          </cell>
          <cell r="Q35" t="str">
            <v>자료없음</v>
          </cell>
          <cell r="R35" t="str">
            <v>자료없음</v>
          </cell>
          <cell r="S35" t="str">
            <v>해당없음</v>
          </cell>
          <cell r="T35" t="str">
            <v>LC50 0.219 ㎎/ℓ 96 hr (Estimate)</v>
          </cell>
          <cell r="U35" t="str">
            <v>LC50 0.032 ㎎/ℓ 48 hr (Estimate)</v>
          </cell>
          <cell r="V35" t="str">
            <v>EC50 0.02 ㎎/ℓ 96 hr (Estimate)</v>
          </cell>
          <cell r="W35" t="str">
            <v>자료없음</v>
          </cell>
          <cell r="X35" t="str">
            <v>자료없음</v>
          </cell>
          <cell r="Y35" t="str">
            <v>자료없음</v>
          </cell>
          <cell r="Z35" t="str">
            <v>자료없음</v>
          </cell>
          <cell r="AA35" t="str">
            <v>자료없음</v>
          </cell>
          <cell r="AB35" t="str">
            <v>해당없음</v>
          </cell>
        </row>
        <row r="36">
          <cell r="A36" t="str">
            <v>106-21-8</v>
          </cell>
          <cell r="B36" t="str">
            <v>DIHYDROCITRONELLOL</v>
          </cell>
          <cell r="C36" t="str">
            <v>해당없음</v>
          </cell>
          <cell r="D36" t="str">
            <v>해당없음</v>
          </cell>
          <cell r="E36" t="str">
            <v>해당없음</v>
          </cell>
          <cell r="F36" t="str">
            <v>LD50 &gt;5,000 ㎎/㎏ (Rat) (National Library of Medicine, Registry of Toxic Effects of Chemical Substances)</v>
          </cell>
          <cell r="G36" t="str">
            <v>LD50 2,400 ㎎/㎏  (Rabbit) (National Library of Medicine, Registry of Toxic Effects of Chemical Substances)</v>
          </cell>
          <cell r="H36" t="str">
            <v>자료없음</v>
          </cell>
          <cell r="I36" t="str">
            <v>자료없음</v>
          </cell>
          <cell r="J36" t="str">
            <v>자료없음</v>
          </cell>
          <cell r="K36" t="str">
            <v>자료없음</v>
          </cell>
          <cell r="L36" t="str">
            <v>자료없음</v>
          </cell>
          <cell r="M36" t="str">
            <v>자료없음</v>
          </cell>
          <cell r="N36" t="str">
            <v>자료없음</v>
          </cell>
          <cell r="O36" t="str">
            <v>자료없음</v>
          </cell>
          <cell r="P36" t="str">
            <v>자료없음</v>
          </cell>
          <cell r="Q36" t="str">
            <v>자료없음</v>
          </cell>
          <cell r="R36" t="str">
            <v>자료없음</v>
          </cell>
          <cell r="S36" t="str">
            <v>해당없음</v>
          </cell>
          <cell r="T36" t="str">
            <v>LC50 4.393 ㎎/ℓ 96 hr (ECOSAR Class Neutral Organics-acid) (Ecological Structure Activity Relationships (ECOSAR))</v>
          </cell>
          <cell r="U36" t="str">
            <v>LC50 3.157 ㎎/ℓ 48 hr (ECOSAR Class Neutral Organics-acid) (Ecological Structure Activity Relationships (ECOSAR))</v>
          </cell>
          <cell r="V36" t="str">
            <v>EC50 3.056 ㎎/ℓ 96 hr (ECOSAR Class Neutral Organics-acid) (Ecological Structure Activity Relationships (ECOSAR))</v>
          </cell>
          <cell r="W36" t="str">
            <v>자료없음</v>
          </cell>
          <cell r="X36" t="str">
            <v>자료없음</v>
          </cell>
          <cell r="Y36" t="str">
            <v>자료없음</v>
          </cell>
          <cell r="Z36" t="str">
            <v>자료없음</v>
          </cell>
          <cell r="AA36" t="str">
            <v>자료없음</v>
          </cell>
          <cell r="AB36" t="str">
            <v>해당없음</v>
          </cell>
          <cell r="AC36"/>
        </row>
        <row r="37">
          <cell r="A37" t="str">
            <v>106-22-9</v>
          </cell>
          <cell r="B37" t="str">
            <v>CITRONELLOL</v>
          </cell>
          <cell r="C37" t="str">
            <v>해당없음</v>
          </cell>
          <cell r="D37" t="str">
            <v>해당없음</v>
          </cell>
          <cell r="E37" t="str">
            <v>해당없음</v>
          </cell>
          <cell r="F37" t="str">
            <v>LD50 3,450 ㎎/㎏ (Rat) (National Library of Medicine (NL)</v>
          </cell>
          <cell r="G37" t="str">
            <v>LD50 2,650 ㎎/㎏  (Rabbit) (National Library of Medicine (NLM))</v>
          </cell>
          <cell r="H37" t="str">
            <v>LC50 0 ㎎/ℓ (Rat) (RIFM Database)</v>
          </cell>
          <cell r="I37" t="str">
            <v>사람에게서 피부 건조, 자극반응 보고 피부자극성 시험결과(토끼) 자극성(Rabbit/Skin-100 mg/24H,0.5 mL/4H- Severe) (HSDB, RTECS)</v>
          </cell>
          <cell r="J37" t="str">
            <v>눈자극성 시험결과(토끼) 자극성(Rabbit/Eyes-0.42%-Moderate) (RTECS)</v>
          </cell>
          <cell r="K37" t="str">
            <v>자료없음</v>
          </cell>
          <cell r="L37" t="str">
            <v>자료없음</v>
          </cell>
          <cell r="M37" t="str">
            <v>해당없음</v>
          </cell>
          <cell r="N37" t="str">
            <v>Salmonella typhimurium(in vitro Ames test)시험에서 음성 (NLM,CCRIS)</v>
          </cell>
          <cell r="O37" t="str">
            <v>자료없음</v>
          </cell>
          <cell r="P37" t="str">
            <v>자료없음</v>
          </cell>
          <cell r="Q37" t="str">
            <v>자료없음</v>
          </cell>
          <cell r="R37" t="str">
            <v>자료없음</v>
          </cell>
          <cell r="S37" t="str">
            <v>해당없음</v>
          </cell>
          <cell r="T37" t="str">
            <v>LC50 3.958 ㎎/ℓ 96 hr (Ecological Structure Activity Relationships (ECOSAR))</v>
          </cell>
          <cell r="U37" t="str">
            <v>LC50 4.724 ㎎/ℓ 48 hr (Ecological Structure Activity Relationships (ECOSAR))</v>
          </cell>
          <cell r="V37" t="str">
            <v>EC50 3.231 ㎎/ℓ 96 hr (Estimate)</v>
          </cell>
          <cell r="W37" t="str">
            <v>log Kow 3.91 (NLM)</v>
          </cell>
          <cell r="X37" t="str">
            <v>자료없음</v>
          </cell>
          <cell r="Y37" t="str">
            <v>BCF 204.5 (Estimate)</v>
          </cell>
          <cell r="Z37" t="str">
            <v>자료없음</v>
          </cell>
          <cell r="AA37" t="str">
            <v>Koc 70.79 (Estimate)</v>
          </cell>
          <cell r="AB37" t="str">
            <v>해당없음</v>
          </cell>
        </row>
        <row r="38">
          <cell r="A38" t="str">
            <v>106-23-0</v>
          </cell>
          <cell r="B38" t="str">
            <v>CITRONELLAL</v>
          </cell>
          <cell r="C38" t="str">
            <v>해당없음</v>
          </cell>
          <cell r="D38" t="str">
            <v>해당없음</v>
          </cell>
          <cell r="E38" t="str">
            <v>해당없음</v>
          </cell>
          <cell r="F38" t="str">
            <v>LD50 2,420 ㎎/㎏  (Rat) (NLM, ChemIDplus, TOMES;LOLI)</v>
          </cell>
          <cell r="G38" t="str">
            <v>LD50 &gt; 2500 ㎎/㎏ Rabbit (NLM;ChemIDplus, TOMES;LOLI)</v>
          </cell>
          <cell r="H38" t="str">
            <v>자료없음</v>
          </cell>
          <cell r="I38" t="str">
            <v>자료없음</v>
          </cell>
          <cell r="J38" t="str">
            <v>자료없음</v>
          </cell>
          <cell r="K38" t="str">
            <v>자료없음</v>
          </cell>
          <cell r="L38" t="str">
            <v>기니피그 Buehler test method에의해 과민성 일어남 (NLM;HSDB)</v>
          </cell>
          <cell r="M38" t="str">
            <v>해당없음</v>
          </cell>
          <cell r="N38" t="str">
            <v>In vitro 미생물을 이용한 복귀돌연변이시험(Salmonella typhimurium TA97A,TA98,TA100,TA102,TA1535): 음성 (NLM;CCRIS)</v>
          </cell>
          <cell r="O38" t="str">
            <v>자료없음</v>
          </cell>
          <cell r="P38" t="str">
            <v>자료없음</v>
          </cell>
          <cell r="Q38" t="str">
            <v>자료없음</v>
          </cell>
          <cell r="R38" t="str">
            <v>자료없음</v>
          </cell>
          <cell r="S38" t="str">
            <v>해당없음</v>
          </cell>
          <cell r="T38" t="str">
            <v>LC50 1.516 ㎎/ℓ 96 hr (Estimate)</v>
          </cell>
          <cell r="U38" t="str">
            <v>EC50 1.172 ㎎/ℓ 48 hr (Estimate)</v>
          </cell>
          <cell r="V38" t="str">
            <v>EC50 2.972 ㎎/ℓ 96 hr (Estimate)</v>
          </cell>
          <cell r="W38" t="str">
            <v>log Kow 3.48 (UAKRON)</v>
          </cell>
          <cell r="X38" t="str">
            <v>자료없음</v>
          </cell>
          <cell r="Y38" t="str">
            <v>BCF 156.3 (SRC, HSDB)</v>
          </cell>
          <cell r="Z38" t="str">
            <v>Non-degradable; not degraded and has a high potential to accumulate in vivo</v>
          </cell>
          <cell r="AA38" t="str">
            <v>Koc 652.1 (Can be adsorbed in the soil)</v>
          </cell>
          <cell r="AB38" t="str">
            <v>해당없음</v>
          </cell>
          <cell r="AC38"/>
        </row>
        <row r="39">
          <cell r="A39" t="str">
            <v>106-24-1</v>
          </cell>
          <cell r="B39" t="str">
            <v>GERANIOL</v>
          </cell>
          <cell r="C39" t="str">
            <v>해당없음</v>
          </cell>
          <cell r="D39" t="str">
            <v>해당없음</v>
          </cell>
          <cell r="E39" t="str">
            <v>해당없음</v>
          </cell>
          <cell r="F39" t="str">
            <v>LD50 3,600 ㎎/㎏ (Rat) (IUCLID, NLM, THOMSON)</v>
          </cell>
          <cell r="G39" t="str">
            <v>LD50 &gt; 5000 ㎎/㎏ Rabbit (IUCLID,NLM,THOMSON)</v>
          </cell>
          <cell r="H39" t="str">
            <v>자료없음</v>
          </cell>
          <cell r="I39" t="str">
            <v>피부 자극성 있음(래빗의 피부에 0.5 ml의 양으로 4시간 노출 후 7일 동안 관찰결과, 홍반점수 : 2, 부종점수 : 1.67, 피부 자극점수 : 3.67)_신뢰도 2 (1995, ECHA)</v>
          </cell>
          <cell r="J39" t="str">
            <v>눈 자극성 있음(래빗을 통하여 0.1 ml의 양으로 24시간 노출시킨 후 21일 동안 관찰 결과, 각막의 혼탁, 홍채결속, 결막의 부종이 관찰되었음)_신뢰도 2(OECD Guideline 405) (2000, ECHA)</v>
          </cell>
          <cell r="K39" t="str">
            <v>마우스 / 애매모호함(IUCLID)</v>
          </cell>
          <cell r="L39" t="str">
            <v>자료없음</v>
          </cell>
          <cell r="M39" t="str">
            <v>해당없음</v>
          </cell>
          <cell r="N39" t="str">
            <v>염색체이상 / 양성(IUCLID)</v>
          </cell>
          <cell r="O39" t="str">
            <v>OECD TG 421의 시험방법으로 랫트를 이용한 1세대 생식독성시험으로 경피를 통하여 50, 150, 300, 450mg/kg의 농도로 시험 결과, 모체와 태아의 NOAEL : 300 mg/kg이며, 모체의 피부 절편에 림프구 침윤을 관찰하였음 (ECHA)</v>
          </cell>
          <cell r="P39" t="str">
            <v>급성 경구 노출 후 관찰결과, 우울증과 혼수상태를 관찰하였으며, 4시간-18시간에 시험동물이 사망하였음 (ECHA)</v>
          </cell>
          <cell r="Q39" t="str">
            <v>래트 / 무 영향 16weeks (IUCLID)</v>
          </cell>
          <cell r="R39" t="str">
            <v>자료없음</v>
          </cell>
          <cell r="S39" t="str">
            <v>해당없음</v>
          </cell>
          <cell r="T39" t="str">
            <v>LC50 3.7 ㎎/ℓ 96 hr Oncorhynchus mykiss (ECOTOX)</v>
          </cell>
          <cell r="U39" t="str">
            <v>자료없음</v>
          </cell>
          <cell r="V39" t="str">
            <v>NOEL 1 ㎎/ℓ 3 day (NOEC 1 ㎎/ℓ, 3day, Fresh Water, Growth Rate_Reliability 2 (OECD Guideline 201, GLP)) (Desmodesmus subspicatus) (ECHA (2010))</v>
          </cell>
          <cell r="W39" t="str">
            <v>log Kow 3.56</v>
          </cell>
          <cell r="X39" t="str">
            <v>자료없음</v>
          </cell>
          <cell r="Y39" t="str">
            <v>자료없음</v>
          </cell>
          <cell r="Z39" t="str">
            <v>86% 28 days (IUCLID)</v>
          </cell>
          <cell r="AA39" t="str">
            <v>자료없음</v>
          </cell>
          <cell r="AB39" t="str">
            <v>해당없음</v>
          </cell>
          <cell r="AC39"/>
        </row>
        <row r="40">
          <cell r="A40" t="str">
            <v>106-25-2</v>
          </cell>
          <cell r="B40" t="str">
            <v>NEROL</v>
          </cell>
          <cell r="C40" t="str">
            <v>해당없음</v>
          </cell>
          <cell r="D40" t="str">
            <v>해당없음</v>
          </cell>
          <cell r="E40" t="str">
            <v>해당없음</v>
          </cell>
          <cell r="F40" t="str">
            <v>LD50 4,500 ㎎/㎏ (Rat) (IUCLID, NLM, THOMSON)</v>
          </cell>
          <cell r="G40" t="str">
            <v>LD50 &gt;5,000 ㎎/㎏  (Rabbit) (IUCLID, NLM, THOMSON)</v>
          </cell>
          <cell r="H40" t="str">
            <v>자료없음</v>
          </cell>
          <cell r="I40" t="str">
            <v>래빗 자극 (IUCLID, THOMSON)</v>
          </cell>
          <cell r="J40" t="str">
            <v>래빗 자극 (IUCLID)</v>
          </cell>
          <cell r="K40" t="str">
            <v>자료없음</v>
          </cell>
          <cell r="L40" t="str">
            <v>자료없음</v>
          </cell>
          <cell r="M40" t="str">
            <v>해당없음</v>
          </cell>
          <cell r="N40" t="str">
            <v>자료없음</v>
          </cell>
          <cell r="O40" t="str">
            <v>자료없음</v>
          </cell>
          <cell r="P40" t="str">
            <v>자료없음</v>
          </cell>
          <cell r="Q40" t="str">
            <v>자료없음</v>
          </cell>
          <cell r="R40" t="str">
            <v>자료없음</v>
          </cell>
          <cell r="S40" t="str">
            <v>해당없음</v>
          </cell>
          <cell r="T40" t="str">
            <v>LC50 0.572 ㎎/ℓ 96 hr (Estimate)</v>
          </cell>
          <cell r="U40" t="str">
            <v>LC50 0.005 ㎎/ℓ 48 hr (Estimate)</v>
          </cell>
          <cell r="V40" t="str">
            <v>ErC50 2.16 ㎎/ℓ (Pseudokirchneriella subcapitata) (RIFM Database)</v>
          </cell>
          <cell r="W40" t="str">
            <v>log Kow 3.47</v>
          </cell>
          <cell r="X40" t="str">
            <v>자료없음</v>
          </cell>
          <cell r="Y40" t="str">
            <v>자료없음</v>
          </cell>
          <cell r="Z40" t="str">
            <v>≥ 90%, 10 days (IUCLID)</v>
          </cell>
          <cell r="AA40" t="str">
            <v>자료없음</v>
          </cell>
          <cell r="AB40" t="str">
            <v>해당없음</v>
          </cell>
        </row>
        <row r="41">
          <cell r="A41" t="str">
            <v>106-32-1</v>
          </cell>
          <cell r="B41" t="str">
            <v>ETHYL OCTANOATE</v>
          </cell>
          <cell r="C41" t="str">
            <v>해당없음</v>
          </cell>
          <cell r="D41" t="str">
            <v>해당없음</v>
          </cell>
          <cell r="E41" t="str">
            <v>해당없음</v>
          </cell>
          <cell r="F41" t="str">
            <v>LD50 25960 ㎎/㎏ Rat (NLM, THOMSON)</v>
          </cell>
          <cell r="G41" t="str">
            <v>자료없음</v>
          </cell>
          <cell r="H41" t="str">
            <v>자료없음</v>
          </cell>
          <cell r="I41" t="str">
            <v>래빗 자극 (THOMSON)</v>
          </cell>
          <cell r="J41" t="str">
            <v>자료없음</v>
          </cell>
          <cell r="K41" t="str">
            <v>자료없음</v>
          </cell>
          <cell r="L41" t="str">
            <v>자료없음</v>
          </cell>
          <cell r="M41" t="str">
            <v>해당없음</v>
          </cell>
          <cell r="N41" t="str">
            <v>자료없음</v>
          </cell>
          <cell r="O41" t="str">
            <v>자료없음</v>
          </cell>
          <cell r="P41" t="str">
            <v>자료없음</v>
          </cell>
          <cell r="Q41" t="str">
            <v>자료없음</v>
          </cell>
          <cell r="R41" t="str">
            <v>자료없음</v>
          </cell>
          <cell r="S41" t="str">
            <v>해당없음</v>
          </cell>
          <cell r="T41" t="str">
            <v>LC50 2.805 ㎎/ℓ 96 hr (Estimate)</v>
          </cell>
          <cell r="U41" t="str">
            <v>LC50 3.084 ㎎/ℓ 48 hr (Estimate)</v>
          </cell>
          <cell r="V41" t="str">
            <v>EC50 0.239 ㎎/ℓ 96 hr (Estimate)</v>
          </cell>
          <cell r="W41" t="str">
            <v>자료없음</v>
          </cell>
          <cell r="X41" t="str">
            <v>자료없음</v>
          </cell>
          <cell r="Y41" t="str">
            <v>자료없음</v>
          </cell>
          <cell r="Z41" t="str">
            <v>자료없음</v>
          </cell>
          <cell r="AA41" t="str">
            <v>자료없음</v>
          </cell>
          <cell r="AB41" t="str">
            <v>해당없음</v>
          </cell>
          <cell r="AC41"/>
        </row>
        <row r="42">
          <cell r="A42" t="str">
            <v>106-72-9</v>
          </cell>
          <cell r="B42" t="str">
            <v>DIMETHYL HEPTENAL</v>
          </cell>
          <cell r="C42" t="str">
            <v>해당없음</v>
          </cell>
          <cell r="D42" t="str">
            <v>해당없음</v>
          </cell>
          <cell r="E42" t="str">
            <v>해당없음</v>
          </cell>
          <cell r="F42" t="str">
            <v>자료없음</v>
          </cell>
          <cell r="G42" t="str">
            <v>자료없음</v>
          </cell>
          <cell r="H42" t="str">
            <v>자료없음</v>
          </cell>
          <cell r="I42" t="str">
            <v>자료없음</v>
          </cell>
          <cell r="J42" t="str">
            <v>자료없음</v>
          </cell>
          <cell r="K42" t="str">
            <v>자료없음</v>
          </cell>
          <cell r="L42" t="str">
            <v>자료없음</v>
          </cell>
          <cell r="M42" t="str">
            <v>해당없음</v>
          </cell>
          <cell r="N42" t="str">
            <v>자료없음</v>
          </cell>
          <cell r="O42" t="str">
            <v>자료없음</v>
          </cell>
          <cell r="P42" t="str">
            <v>자료없음</v>
          </cell>
          <cell r="Q42" t="str">
            <v>자료없음</v>
          </cell>
          <cell r="R42" t="str">
            <v>자료없음</v>
          </cell>
          <cell r="S42" t="str">
            <v>해당없음</v>
          </cell>
          <cell r="T42" t="str">
            <v>LC50=2.288 ㎎/ℓ 96hr (ECHA)</v>
          </cell>
          <cell r="U42" t="str">
            <v>자료없음</v>
          </cell>
          <cell r="V42" t="str">
            <v>자료없음</v>
          </cell>
          <cell r="W42" t="str">
            <v>자료없음</v>
          </cell>
          <cell r="X42" t="str">
            <v>자료없음</v>
          </cell>
          <cell r="Y42" t="str">
            <v>자료없음</v>
          </cell>
          <cell r="Z42" t="str">
            <v>자료없음</v>
          </cell>
          <cell r="AA42" t="str">
            <v>자료없음</v>
          </cell>
          <cell r="AB42" t="str">
            <v>해당없음</v>
          </cell>
          <cell r="AC42"/>
        </row>
        <row r="43">
          <cell r="A43" t="str">
            <v>107-74-4</v>
          </cell>
          <cell r="B43" t="str">
            <v>HYDROXYCITRONELLOL</v>
          </cell>
          <cell r="C43" t="str">
            <v>해당없음</v>
          </cell>
          <cell r="D43" t="str">
            <v>해당없음</v>
          </cell>
          <cell r="E43" t="str">
            <v>해당없음</v>
          </cell>
          <cell r="F43" t="str">
            <v>LD50 &gt;5000 ㎎/㎏ (Rat)</v>
          </cell>
          <cell r="G43" t="str">
            <v>LD50 &gt;5000 ㎎/㎏ (Rabbit)</v>
          </cell>
          <cell r="H43" t="str">
            <v>자료없음</v>
          </cell>
          <cell r="I43" t="str">
            <v>자료없음</v>
          </cell>
          <cell r="J43" t="str">
            <v>자료없음</v>
          </cell>
          <cell r="K43" t="str">
            <v>자료없음</v>
          </cell>
          <cell r="L43" t="str">
            <v>자료없음</v>
          </cell>
          <cell r="M43" t="str">
            <v>해당없음</v>
          </cell>
          <cell r="N43" t="str">
            <v>자료없음</v>
          </cell>
          <cell r="O43" t="str">
            <v>자료없음</v>
          </cell>
          <cell r="P43" t="str">
            <v>자료없음</v>
          </cell>
          <cell r="Q43" t="str">
            <v>자료없음</v>
          </cell>
          <cell r="R43" t="str">
            <v>자료없음</v>
          </cell>
          <cell r="S43" t="str">
            <v>해당없음</v>
          </cell>
          <cell r="T43" t="str">
            <v>LC50 44.562 ㎎/ℓ 96 hr (Estimate)</v>
          </cell>
          <cell r="U43" t="str">
            <v>LC50 27.235 ㎎/ℓ 48 hr (Estimate)</v>
          </cell>
          <cell r="V43" t="str">
            <v>EC50 16.377 ㎎/ℓ 96 hr (Estimate)</v>
          </cell>
          <cell r="W43" t="str">
            <v>자료없음</v>
          </cell>
          <cell r="X43" t="str">
            <v>자료없음</v>
          </cell>
          <cell r="Y43" t="str">
            <v>자료없음</v>
          </cell>
          <cell r="Z43" t="str">
            <v>자료없음</v>
          </cell>
          <cell r="AA43" t="str">
            <v>자료없음</v>
          </cell>
          <cell r="AB43" t="str">
            <v>해당없음</v>
          </cell>
          <cell r="AC43"/>
        </row>
        <row r="44">
          <cell r="A44" t="str">
            <v>107-75-5</v>
          </cell>
          <cell r="B44" t="str">
            <v>HYDROXYCITRONELLAL</v>
          </cell>
          <cell r="C44" t="str">
            <v>해당없음</v>
          </cell>
          <cell r="D44" t="str">
            <v>해당없음</v>
          </cell>
          <cell r="E44" t="str">
            <v>해당없음</v>
          </cell>
          <cell r="F44" t="str">
            <v>LD50 &gt;5,000 ㎎/㎏ (Rat) (NLM, ChemIDPlus, TOMES;Loli)</v>
          </cell>
          <cell r="G44" t="str">
            <v>LD50 2,000 ㎎/㎏ (Rabbit) (RIFM Database)</v>
          </cell>
          <cell r="H44" t="str">
            <v>자료없음</v>
          </cell>
          <cell r="I44" t="str">
            <v>erythema score 0.8, 0.1 7일 내 완전 회복, erythema score 0.1, 7일 내 완전 회복 (ECHA)</v>
          </cell>
          <cell r="J44" t="str">
            <v>conjunctiva score 1.25, chemosis score 0.5 corneal opacity score 2, 8일 내 완전히 회복하지는 않음 (ECHA)</v>
          </cell>
          <cell r="K44" t="str">
            <v>자료없음</v>
          </cell>
          <cell r="L44" t="str">
            <v>마우스 피부에 과민성 (RTECS)</v>
          </cell>
          <cell r="M44" t="str">
            <v>해당없음</v>
          </cell>
          <cell r="N44" t="str">
            <v>자료없음</v>
          </cell>
          <cell r="O44" t="str">
            <v>자료없음</v>
          </cell>
          <cell r="P44" t="str">
            <v>자료없음</v>
          </cell>
          <cell r="Q44" t="str">
            <v>자료없음</v>
          </cell>
          <cell r="R44" t="str">
            <v>자료없음</v>
          </cell>
          <cell r="S44" t="str">
            <v>해당없음</v>
          </cell>
          <cell r="T44" t="str">
            <v>LC50 31.6 ㎎/ℓ  96 hr Other (ECHA Registered substances)</v>
          </cell>
          <cell r="U44" t="str">
            <v>EC50 410 ㎎/ℓ  48 hr Other (ECHA Registered substances)</v>
          </cell>
          <cell r="V44" t="str">
            <v>EC50 123.32 ㎎/ℓ  72 hr Other (ECHA Registered substances)</v>
          </cell>
          <cell r="W44" t="str">
            <v>log Kow 1.68 (ECHA Registered substances)</v>
          </cell>
          <cell r="X44" t="str">
            <v>자료없음</v>
          </cell>
          <cell r="Y44" t="str">
            <v>BCF 11.52 (Estimate)</v>
          </cell>
          <cell r="Z44" t="str">
            <v>80 ~ 90 (%) 21 day (ECHA)</v>
          </cell>
          <cell r="AA44" t="str">
            <v>Koc 28.28 (Estimates)</v>
          </cell>
          <cell r="AB44" t="str">
            <v>해당없음</v>
          </cell>
        </row>
        <row r="45">
          <cell r="A45" t="str">
            <v>107898-54-4</v>
          </cell>
          <cell r="B45" t="str">
            <v>POLYSANTOL</v>
          </cell>
          <cell r="C45" t="str">
            <v>해당없음</v>
          </cell>
          <cell r="D45" t="str">
            <v>해당없음</v>
          </cell>
          <cell r="E45" t="str">
            <v>해당없음</v>
          </cell>
          <cell r="F45" t="str">
            <v>자료없음</v>
          </cell>
          <cell r="G45" t="str">
            <v>자료없음</v>
          </cell>
          <cell r="H45" t="str">
            <v>자료없음</v>
          </cell>
          <cell r="I45" t="str">
            <v>자료없음</v>
          </cell>
          <cell r="J45" t="str">
            <v>자료없음</v>
          </cell>
          <cell r="K45" t="str">
            <v>자료없음</v>
          </cell>
          <cell r="L45" t="str">
            <v>자료없음</v>
          </cell>
          <cell r="M45" t="str">
            <v>해당없음</v>
          </cell>
          <cell r="N45" t="str">
            <v>자료없음</v>
          </cell>
          <cell r="O45" t="str">
            <v>자료없음</v>
          </cell>
          <cell r="P45" t="str">
            <v>자료없음</v>
          </cell>
          <cell r="Q45" t="str">
            <v>자료없음</v>
          </cell>
          <cell r="R45" t="str">
            <v>자료없음</v>
          </cell>
          <cell r="S45" t="str">
            <v>해당없음</v>
          </cell>
          <cell r="T45" t="str">
            <v>(Out of ECOSAR's Log Kow confidence range (fish, crustaceans))</v>
          </cell>
          <cell r="U45" t="str">
            <v>자료없음</v>
          </cell>
          <cell r="V45" t="str">
            <v>EC50 0.344 ㎎/ℓ  96 hr (Ecosar:Neutral Organics) (Estimate)</v>
          </cell>
          <cell r="W45" t="str">
            <v>log Kow 5.39 (Estimate)</v>
          </cell>
          <cell r="X45" t="str">
            <v>자료없음</v>
          </cell>
          <cell r="Y45" t="str">
            <v>BCF 1666 (Estimate)</v>
          </cell>
          <cell r="Z45" t="str">
            <v>(non-degradable(Biowin 1,2,5,6,7)) (Estimate)</v>
          </cell>
          <cell r="AA45" t="str">
            <v>자료없음</v>
          </cell>
          <cell r="AB45" t="str">
            <v>해당없음</v>
          </cell>
          <cell r="AC45" t="str">
            <v>H315,H400,H410</v>
          </cell>
        </row>
        <row r="46">
          <cell r="A46" t="str">
            <v>109-08-0</v>
          </cell>
          <cell r="B46" t="str">
            <v>2-METHYL PYRAZINE</v>
          </cell>
          <cell r="C46" t="str">
            <v>해당없음</v>
          </cell>
          <cell r="D46" t="str">
            <v>해당없음</v>
          </cell>
          <cell r="E46" t="str">
            <v>해당없음</v>
          </cell>
          <cell r="F46" t="str">
            <v>LD50 1800 ㎎/㎏ Rat (NLM, THOMSON)</v>
          </cell>
          <cell r="G46" t="str">
            <v>자료없음</v>
          </cell>
          <cell r="H46" t="str">
            <v>자료없음</v>
          </cell>
          <cell r="I46" t="str">
            <v>자료없음</v>
          </cell>
          <cell r="J46" t="str">
            <v>자료없음</v>
          </cell>
          <cell r="K46" t="str">
            <v>자료없음</v>
          </cell>
          <cell r="L46" t="str">
            <v>자료없음</v>
          </cell>
          <cell r="M46" t="str">
            <v>해당없음</v>
          </cell>
          <cell r="N46" t="str">
            <v>자료없음</v>
          </cell>
          <cell r="O46" t="str">
            <v>자료없음</v>
          </cell>
          <cell r="P46" t="str">
            <v>자료없음</v>
          </cell>
          <cell r="Q46" t="str">
            <v>자료없음</v>
          </cell>
          <cell r="R46" t="str">
            <v>자료없음</v>
          </cell>
          <cell r="S46" t="str">
            <v>해당없음</v>
          </cell>
          <cell r="T46" t="str">
            <v>LC50 1832.6 ㎎/ℓ 96 hr (Estimate)</v>
          </cell>
          <cell r="U46" t="str">
            <v>LC50 1769.162 ㎎/ℓ 48 hr (Estimate)</v>
          </cell>
          <cell r="V46" t="str">
            <v>EC50 1013.952 ㎎/ℓ 96 hr (Estimate)</v>
          </cell>
          <cell r="W46" t="str">
            <v>log Kow 0.21 (ChemIDplus)</v>
          </cell>
          <cell r="X46" t="str">
            <v>자료없음</v>
          </cell>
          <cell r="Y46" t="str">
            <v>자료없음</v>
          </cell>
          <cell r="Z46" t="str">
            <v>자료없음</v>
          </cell>
          <cell r="AA46" t="str">
            <v>자료없음</v>
          </cell>
          <cell r="AB46" t="str">
            <v>해당없음</v>
          </cell>
          <cell r="AC46"/>
        </row>
        <row r="47">
          <cell r="A47" t="str">
            <v>110-19-0</v>
          </cell>
          <cell r="B47" t="str">
            <v>ISOBUTYL ACETATE</v>
          </cell>
          <cell r="C47" t="str">
            <v>해당없음</v>
          </cell>
          <cell r="D47" t="str">
            <v>해당없음</v>
          </cell>
          <cell r="E47" t="str">
            <v>해당없음</v>
          </cell>
          <cell r="F47" t="str">
            <v>LD50 13,413 ㎎/㎏ (Male, OECD Guideline 401) (실험종 : Rat) (ECHA)</v>
          </cell>
          <cell r="G47" t="str">
            <v>LD50 &gt;17,400 ㎎/㎏ (OECD Guideline 402) (실험종 : Rabbit) (ECHA)</v>
          </cell>
          <cell r="H47" t="str">
            <v>LC50 23 ㎎/ℓ (실험종 : Rat) (RIFM Database)</v>
          </cell>
          <cell r="I47" t="str">
            <v>자료없음</v>
          </cell>
          <cell r="J47" t="str">
            <v>자료없음</v>
          </cell>
          <cell r="K47" t="str">
            <v>자료없음</v>
          </cell>
          <cell r="L47" t="str">
            <v>자료없음</v>
          </cell>
          <cell r="M47" t="str">
            <v>해당없음</v>
          </cell>
          <cell r="N47" t="str">
            <v>자료없음</v>
          </cell>
          <cell r="O47" t="str">
            <v>자료없음</v>
          </cell>
          <cell r="P47" t="str">
            <v>표적장기: 중추신경계. (ECHA)</v>
          </cell>
          <cell r="Q47" t="str">
            <v>자료없음</v>
          </cell>
          <cell r="R47" t="str">
            <v>자료없음</v>
          </cell>
          <cell r="S47" t="str">
            <v>해당없음</v>
          </cell>
          <cell r="T47" t="str">
            <v>LC50 16.6 ㎎/ℓ 96 hr (OECD Guideline 203 ,GLP) (실험종 : Oryzias latipes) (ECHA)</v>
          </cell>
          <cell r="U47" t="str">
            <v>EC50 26.8 ㎎/ℓ 48 hr (OECD Guideline 202 ,GLP) (실험종 : Daphnia magna) (ECHA)</v>
          </cell>
          <cell r="V47" t="str">
            <v>ErC50 397 ㎎/ℓ 72 hr (OECD Guideline 201, GLP) (실험종 : Pseudokirchnerella
subcapitata) (ECHA)</v>
          </cell>
          <cell r="W47" t="str">
            <v>자료없음</v>
          </cell>
          <cell r="X47" t="str">
            <v>자료없음</v>
          </cell>
          <cell r="Y47" t="str">
            <v>자료없음</v>
          </cell>
          <cell r="Z47" t="str">
            <v>자료없음</v>
          </cell>
          <cell r="AA47" t="str">
            <v>자료없음</v>
          </cell>
          <cell r="AB47" t="str">
            <v>해당없음</v>
          </cell>
          <cell r="AC47"/>
        </row>
        <row r="48">
          <cell r="A48" t="str">
            <v>110-19-0</v>
          </cell>
          <cell r="B48" t="str">
            <v>ISOBUTYL ACETATE</v>
          </cell>
          <cell r="C48" t="str">
            <v>해당없음</v>
          </cell>
          <cell r="D48" t="str">
            <v>해당없음</v>
          </cell>
          <cell r="E48" t="str">
            <v>해당없음</v>
          </cell>
          <cell r="F48" t="str">
            <v>LD50 13,413 ㎎/㎏ (Male, OECD Guideline 401) (실험종 : Rat)</v>
          </cell>
          <cell r="G48" t="str">
            <v>LD50 &gt;17,400 ㎎/㎏ (OECD Guideline 402) (실험종 : Rabbit)</v>
          </cell>
          <cell r="H48" t="str">
            <v>LC50 23 ㎎/ℓ (실험종 : Rat)</v>
          </cell>
          <cell r="I48" t="str">
            <v>자료없음</v>
          </cell>
          <cell r="J48" t="str">
            <v>자료없음</v>
          </cell>
          <cell r="K48" t="str">
            <v>자료없음</v>
          </cell>
          <cell r="L48" t="str">
            <v>자료없음</v>
          </cell>
          <cell r="M48" t="str">
            <v>해당없음</v>
          </cell>
          <cell r="N48" t="str">
            <v>자료없음</v>
          </cell>
          <cell r="O48" t="str">
            <v>자료없음</v>
          </cell>
          <cell r="P48" t="str">
            <v>표적장기: 중추신경계 (ECHA)</v>
          </cell>
          <cell r="Q48" t="str">
            <v>자료없음</v>
          </cell>
          <cell r="R48" t="str">
            <v>자료없음</v>
          </cell>
          <cell r="S48" t="str">
            <v>해당없음</v>
          </cell>
          <cell r="T48" t="str">
            <v>LC50 16.6 ㎎/ℓ 96 hr (OECD Guideline 203 ,GLP) (실험종 : Oryzias latipes)</v>
          </cell>
          <cell r="U48" t="str">
            <v>EC50 26.8 ㎎/ℓ 48 hr (OECD Guideline 202 ,GLP) (실험종 : Daphnia magna) (ECHA)</v>
          </cell>
          <cell r="V48" t="str">
            <v>ErC50 397 ㎎/ℓ 72 hr (OECD Guideline 201, GLP) (실험종 : Pseudokirchnerella
subcapitata) (ECHA)</v>
          </cell>
          <cell r="W48" t="str">
            <v>자료없음</v>
          </cell>
          <cell r="X48" t="str">
            <v>자료없음</v>
          </cell>
          <cell r="Y48" t="str">
            <v>자료없음</v>
          </cell>
          <cell r="Z48" t="str">
            <v>자료없음</v>
          </cell>
          <cell r="AA48" t="str">
            <v>자료없음</v>
          </cell>
          <cell r="AB48" t="str">
            <v>해당없음</v>
          </cell>
        </row>
        <row r="49">
          <cell r="A49" t="str">
            <v>110-27-0</v>
          </cell>
          <cell r="B49" t="str">
            <v>ISOPROPYL MYRISTATE</v>
          </cell>
          <cell r="C49" t="str">
            <v>해당없음</v>
          </cell>
          <cell r="D49" t="str">
            <v>해당없음</v>
          </cell>
          <cell r="E49" t="str">
            <v>해당없음</v>
          </cell>
          <cell r="F49" t="str">
            <v>LD50 &gt; 10,000 mg/kg Species: rat</v>
          </cell>
          <cell r="G49" t="str">
            <v>LD50 &gt; 5000 ㎎/㎏ Rabbit</v>
          </cell>
          <cell r="H49" t="str">
            <v>Steam LC50 &gt; 0.225 mg/L/4 hr Rat</v>
          </cell>
          <cell r="I49" t="str">
            <v>인체/약한자극</v>
          </cell>
          <cell r="J49" t="str">
            <v>래빗 경 자극</v>
          </cell>
          <cell r="K49" t="str">
            <v>자료없음</v>
          </cell>
          <cell r="L49" t="str">
            <v>피그/무 반응</v>
          </cell>
          <cell r="M49" t="str">
            <v>해당없음</v>
          </cell>
          <cell r="N49" t="str">
            <v>인비트로/음성</v>
          </cell>
          <cell r="O49" t="str">
            <v>자료없음</v>
          </cell>
          <cell r="P49" t="str">
            <v>자료없음</v>
          </cell>
          <cell r="Q49" t="str">
            <v>래트/ 체중 감소</v>
          </cell>
          <cell r="R49" t="str">
            <v>자료없음</v>
          </cell>
          <cell r="S49" t="str">
            <v>해당없음</v>
          </cell>
          <cell r="T49" t="str">
            <v>LC50 8400 ㎎/ℓ 96 hr Brachydanio rerio (ISO 7346/2, IUCLID)</v>
          </cell>
          <cell r="U49" t="str">
            <v>EC50 100 ㎎/ℓ 48 hr Daphnia magna (DIN 38412, GLP, IUCLID)</v>
          </cell>
          <cell r="V49" t="str">
            <v>EC50 0.007 ㎎/ℓ 96 hr (Estimate)</v>
          </cell>
          <cell r="W49" t="str">
            <v>log Kow 7.17</v>
          </cell>
          <cell r="X49" t="str">
            <v>자료없음</v>
          </cell>
          <cell r="Y49" t="str">
            <v>BCF 1200 (HSDB)</v>
          </cell>
          <cell r="Z49" t="str">
            <v>91 (%) 30 day (Directive 84/449/EEC, C.6, IUCLID), Readily biodegradable (100%)(ECHA)</v>
          </cell>
          <cell r="AA49" t="str">
            <v>자료없음</v>
          </cell>
          <cell r="AB49" t="str">
            <v>해당없음</v>
          </cell>
        </row>
        <row r="50">
          <cell r="A50" t="str">
            <v>110-41-8</v>
          </cell>
          <cell r="B50" t="str">
            <v>METHYLUNDECANAL</v>
          </cell>
          <cell r="C50" t="str">
            <v>해당없음</v>
          </cell>
          <cell r="D50" t="str">
            <v>해당없음</v>
          </cell>
          <cell r="E50" t="str">
            <v>해당없음</v>
          </cell>
          <cell r="F50" t="str">
            <v>LD50 &gt; 5000 ㎎/㎏ Rat</v>
          </cell>
          <cell r="G50" t="str">
            <v>LD50 &gt; 10000 ㎎/㎏ Rabbit</v>
          </cell>
          <cell r="H50" t="str">
            <v>자료없음</v>
          </cell>
          <cell r="I50" t="str">
            <v>자료없음</v>
          </cell>
          <cell r="J50" t="str">
            <v>자료없음</v>
          </cell>
          <cell r="K50" t="str">
            <v>자료없음</v>
          </cell>
          <cell r="L50" t="str">
            <v>자료없음</v>
          </cell>
          <cell r="M50" t="str">
            <v>해당없음</v>
          </cell>
          <cell r="N50" t="str">
            <v>자료없음</v>
          </cell>
          <cell r="O50" t="str">
            <v>자료없음</v>
          </cell>
          <cell r="P50" t="str">
            <v>자료없음</v>
          </cell>
          <cell r="Q50" t="str">
            <v>자료없음</v>
          </cell>
          <cell r="R50" t="str">
            <v>자료없음</v>
          </cell>
          <cell r="S50" t="str">
            <v>해당없음</v>
          </cell>
          <cell r="T50" t="str">
            <v>LC50 0.472 ㎎/ℓ 96 hr (Estimate)</v>
          </cell>
          <cell r="U50" t="str">
            <v>LC50 0.214 ㎎/ℓ 48 hr (Estimate)</v>
          </cell>
          <cell r="V50" t="str">
            <v>EC50 0.778 ㎎/ℓ 96 hr (Estimate)</v>
          </cell>
          <cell r="W50" t="str">
            <v>log Kow 4.67 (estimate) (NLM/ChemIDPlus)</v>
          </cell>
          <cell r="X50" t="str">
            <v>자료없음</v>
          </cell>
          <cell r="Y50" t="str">
            <v>BCF 23.7 (Estimate)</v>
          </cell>
          <cell r="Z50" t="str">
            <v>Non-degradable; not degraded and has a high potential to accumulate in vivo</v>
          </cell>
          <cell r="AA50" t="str">
            <v>Koc 192.10 (Estimates)</v>
          </cell>
          <cell r="AB50" t="str">
            <v>해당없음</v>
          </cell>
          <cell r="AC50"/>
        </row>
        <row r="51">
          <cell r="A51" t="str">
            <v>111-12-6</v>
          </cell>
          <cell r="B51" t="str">
            <v>METHYL 2-OCTYNOATE</v>
          </cell>
          <cell r="C51" t="str">
            <v>해당없음</v>
          </cell>
          <cell r="D51" t="str">
            <v>해당없음</v>
          </cell>
          <cell r="E51" t="str">
            <v>해당없음</v>
          </cell>
          <cell r="F51" t="str">
            <v>LD50 1530 ㎎/㎏ Rat</v>
          </cell>
          <cell r="G51" t="str">
            <v>LD50 3300 ㎎/㎏ Rabbit</v>
          </cell>
          <cell r="H51" t="str">
            <v>자료없음</v>
          </cell>
          <cell r="I51" t="str">
            <v>피부 자극에 대한 드레이즈 테스트에서 토끼실험 결과 중자극이었음</v>
          </cell>
          <cell r="J51" t="str">
            <v>피부 자극에 대한 드레이즈 테스트에서 토끼실험 결과 중자극이었음</v>
          </cell>
          <cell r="K51" t="str">
            <v>자료없음</v>
          </cell>
          <cell r="L51" t="str">
            <v>자료없음</v>
          </cell>
          <cell r="M51" t="str">
            <v>해당없음</v>
          </cell>
          <cell r="N51" t="str">
            <v>아메스 박테리아 시험 또는 과일파리 시험에서 돌연변이 활동이 관찰되지 않음</v>
          </cell>
          <cell r="O51" t="str">
            <v>자료없음</v>
          </cell>
          <cell r="P51" t="str">
            <v>자료없음</v>
          </cell>
          <cell r="Q51" t="str">
            <v>자료없음</v>
          </cell>
          <cell r="R51" t="str">
            <v>자료없음</v>
          </cell>
          <cell r="S51" t="str">
            <v>해당없음</v>
          </cell>
          <cell r="T51" t="str">
            <v>LC50 9.463 ㎎/ℓ 96 hr (Estimate)</v>
          </cell>
          <cell r="U51" t="str">
            <v>LC50 17.993 ㎎/ℓ 48 hr (Estimate)</v>
          </cell>
          <cell r="V51" t="str">
            <v>EC50 7.186 ㎎/ℓ 96 hr (Estimate)</v>
          </cell>
          <cell r="W51" t="str">
            <v>log Kow 2.6043 (Estimate)</v>
          </cell>
          <cell r="X51" t="str">
            <v>자료없음</v>
          </cell>
          <cell r="Y51" t="str">
            <v>BCF 24.28 (Estimate)</v>
          </cell>
          <cell r="Z51" t="str">
            <v>(Cut-off value 0.7956; rapidly biodegradable(BIOWIN5)) (Estimate)</v>
          </cell>
          <cell r="AA51" t="str">
            <v>Koc 198.4 (estimate)</v>
          </cell>
          <cell r="AB51" t="str">
            <v>해당없음</v>
          </cell>
          <cell r="AC51"/>
        </row>
        <row r="52">
          <cell r="A52" t="str">
            <v>111-27-3</v>
          </cell>
          <cell r="B52" t="str">
            <v>HEXYL ALCOHOL</v>
          </cell>
          <cell r="C52" t="str">
            <v>해당없음</v>
          </cell>
          <cell r="D52" t="str">
            <v>해당없음</v>
          </cell>
          <cell r="E52" t="str">
            <v>해당없음</v>
          </cell>
          <cell r="F52" t="str">
            <v>LD50 3131 ~ 3344 ㎎/㎏ Rat ((GLP:yes))</v>
          </cell>
          <cell r="G52" t="str">
            <v>LD50 1500 ㎎/㎏ rabbit</v>
          </cell>
          <cell r="H52" t="str">
            <v>Steam LC50 &gt; 21 ㎎/ℓ 1 hr Rat ((conversion:10.5mg/l/4h))</v>
          </cell>
          <cell r="I52" t="str">
            <v>사람에 patch test 결과 자극성없음</v>
          </cell>
          <cell r="J52" t="str">
            <v>눈에 심한 자극 나타남</v>
          </cell>
          <cell r="K52" t="str">
            <v>자료없음</v>
          </cell>
          <cell r="L52" t="str">
            <v>자료없음</v>
          </cell>
          <cell r="M52" t="str">
            <v>해당없음</v>
          </cell>
          <cell r="N52" t="str">
            <v>자료없음</v>
          </cell>
          <cell r="O52" t="str">
            <v>자료없음</v>
          </cell>
          <cell r="P52" t="str">
            <v>자료없음</v>
          </cell>
          <cell r="Q52" t="str">
            <v xml:space="preserve"> Repeated exposure to aliphatic alcohols is generally without significant systemic toxicological findings and this category is therefore regarded to be of a low order of toxicity upon repeated exposure (aliphatic alcohols의 반복노출은 일반적으로 독성적 중요성이 없고 이 분류는 낮은 독성으로 간주된다) (SIDS SIAP)</v>
          </cell>
          <cell r="R52" t="str">
            <v>자료없음</v>
          </cell>
          <cell r="S52" t="str">
            <v>해당없음</v>
          </cell>
          <cell r="T52" t="str">
            <v>LC50 97.2 ㎎/ℓ 96 hr Pimephales promelas ( European chemical Substances Information System)</v>
          </cell>
          <cell r="U52" t="str">
            <v>EC50 0.13 ㎎/ℓ 48 hr (OECD Screening Information Data Set)</v>
          </cell>
          <cell r="V52" t="str">
            <v>ErC50 0.1 ㎎/ℓ 72 hr (ca. 0.1mg/l) (OECD Screening Information Data Set)</v>
          </cell>
          <cell r="W52" t="str">
            <v>log Kow 1.95 (ESIS)</v>
          </cell>
          <cell r="X52" t="str">
            <v>자료없음</v>
          </cell>
          <cell r="Y52" t="str">
            <v>BCF 21 (HSDB)</v>
          </cell>
          <cell r="Z52" t="str">
            <v>28%, 5 day; not degraded and has a high potential to accumulate in vivo (NLM)</v>
          </cell>
          <cell r="AA52" t="str">
            <v>Koc 1.637 (estimate)</v>
          </cell>
          <cell r="AB52" t="str">
            <v>해당없음</v>
          </cell>
          <cell r="AC52"/>
        </row>
        <row r="53">
          <cell r="A53" t="str">
            <v>111-80-8</v>
          </cell>
          <cell r="B53" t="str">
            <v>METHYL OCTINE CARBONATE</v>
          </cell>
          <cell r="C53" t="str">
            <v>해당없음</v>
          </cell>
          <cell r="D53" t="str">
            <v>해당없음</v>
          </cell>
          <cell r="E53" t="str">
            <v>해당없음</v>
          </cell>
          <cell r="F53" t="str">
            <v>자료없음</v>
          </cell>
          <cell r="G53" t="str">
            <v>자료없음</v>
          </cell>
          <cell r="H53" t="str">
            <v>자료없음</v>
          </cell>
          <cell r="I53" t="str">
            <v>자료없음</v>
          </cell>
          <cell r="J53" t="str">
            <v>자료없음</v>
          </cell>
          <cell r="K53" t="str">
            <v>자료없음</v>
          </cell>
          <cell r="L53" t="str">
            <v>자료없음</v>
          </cell>
          <cell r="M53" t="str">
            <v>해당없음</v>
          </cell>
          <cell r="N53" t="str">
            <v>자료없음</v>
          </cell>
          <cell r="O53" t="str">
            <v>자료없음</v>
          </cell>
          <cell r="P53" t="str">
            <v>자료없음</v>
          </cell>
          <cell r="Q53" t="str">
            <v>자료없음</v>
          </cell>
          <cell r="R53" t="str">
            <v>자료없음</v>
          </cell>
          <cell r="S53" t="str">
            <v>해당없음</v>
          </cell>
          <cell r="T53" t="str">
            <v>자료없음</v>
          </cell>
          <cell r="U53" t="str">
            <v>자료없음</v>
          </cell>
          <cell r="V53" t="str">
            <v>자료없음</v>
          </cell>
          <cell r="W53" t="str">
            <v>자료없음</v>
          </cell>
          <cell r="X53" t="str">
            <v>자료없음</v>
          </cell>
          <cell r="Y53" t="str">
            <v>자료없음</v>
          </cell>
          <cell r="Z53" t="str">
            <v>자료없음</v>
          </cell>
          <cell r="AA53" t="str">
            <v>자료없음</v>
          </cell>
          <cell r="AB53" t="str">
            <v>해당없음</v>
          </cell>
        </row>
        <row r="54">
          <cell r="A54" t="str">
            <v>111879-80-2</v>
          </cell>
          <cell r="B54" t="str">
            <v>HABANOLIDE</v>
          </cell>
          <cell r="C54" t="str">
            <v>해당없음</v>
          </cell>
          <cell r="D54" t="str">
            <v>해당없음</v>
          </cell>
          <cell r="E54" t="str">
            <v>해당없음</v>
          </cell>
          <cell r="F54" t="str">
            <v>자료없음</v>
          </cell>
          <cell r="G54" t="str">
            <v>자료없음</v>
          </cell>
          <cell r="H54" t="str">
            <v>자료없음</v>
          </cell>
          <cell r="I54" t="str">
            <v>자료없음</v>
          </cell>
          <cell r="J54" t="str">
            <v>자료없음</v>
          </cell>
          <cell r="K54" t="str">
            <v>자료없음</v>
          </cell>
          <cell r="L54" t="str">
            <v>자료없음</v>
          </cell>
          <cell r="M54" t="str">
            <v>해당없음</v>
          </cell>
          <cell r="N54" t="str">
            <v>자료없음</v>
          </cell>
          <cell r="O54" t="str">
            <v>자료없음</v>
          </cell>
          <cell r="P54" t="str">
            <v>자료없음</v>
          </cell>
          <cell r="Q54" t="str">
            <v>자료없음</v>
          </cell>
          <cell r="R54" t="str">
            <v>자료없음</v>
          </cell>
          <cell r="S54" t="str">
            <v>해당없음</v>
          </cell>
          <cell r="T54" t="str">
            <v>자료없음</v>
          </cell>
          <cell r="U54" t="str">
            <v>자료없음</v>
          </cell>
          <cell r="V54" t="str">
            <v>자료없음</v>
          </cell>
          <cell r="W54" t="str">
            <v>자료없음</v>
          </cell>
          <cell r="X54" t="str">
            <v>자료없음</v>
          </cell>
          <cell r="Y54" t="str">
            <v>자료없음</v>
          </cell>
          <cell r="Z54" t="str">
            <v>자료없음</v>
          </cell>
          <cell r="AA54" t="str">
            <v>자료없음</v>
          </cell>
          <cell r="AB54" t="str">
            <v>해당없음</v>
          </cell>
        </row>
        <row r="55">
          <cell r="A55" t="str">
            <v>111-90-0</v>
          </cell>
          <cell r="B55" t="str">
            <v>CARBITOL</v>
          </cell>
          <cell r="C55" t="str">
            <v>해당없음</v>
          </cell>
          <cell r="D55" t="str">
            <v>해당없음</v>
          </cell>
          <cell r="E55" t="str">
            <v>해당없음</v>
          </cell>
          <cell r="F55" t="str">
            <v>LD50 1920 ㎎/㎏ Rat (IUCLID)</v>
          </cell>
          <cell r="G55" t="str">
            <v>LD50 4,200 ㎎/㎏  (Rabbit) GESTIS</v>
          </cell>
          <cell r="H55" t="str">
            <v>자료없음</v>
          </cell>
          <cell r="I55" t="str">
            <v>자료없음</v>
          </cell>
          <cell r="J55" t="str">
            <v>자료없음</v>
          </cell>
          <cell r="K55" t="str">
            <v>자료없음</v>
          </cell>
          <cell r="L55" t="str">
            <v>자료없음</v>
          </cell>
          <cell r="M55" t="str">
            <v>해당없음</v>
          </cell>
          <cell r="N55" t="str">
            <v>자료없음</v>
          </cell>
          <cell r="O55" t="str">
            <v>자료없음</v>
          </cell>
          <cell r="P55" t="str">
            <v>자료없음</v>
          </cell>
          <cell r="Q55" t="str">
            <v>자료없음</v>
          </cell>
          <cell r="R55" t="str">
            <v>자료없음</v>
          </cell>
          <cell r="S55" t="str">
            <v>해당없음</v>
          </cell>
          <cell r="T55" t="str">
            <v>LC50 13,400 ㎎/ℓ 96 hr  (Salmo gairdneri)(IUCLID)</v>
          </cell>
          <cell r="U55" t="str">
            <v>EC50 3,940 ~ 4,670 ㎎/ℓ 48 hr  (Daphnia magna)(IUCLID)</v>
          </cell>
          <cell r="V55" t="str">
            <v>자료없음</v>
          </cell>
          <cell r="W55" t="str">
            <v>자료없음</v>
          </cell>
          <cell r="X55" t="str">
            <v>자료없음</v>
          </cell>
          <cell r="Y55" t="str">
            <v>자료없음</v>
          </cell>
          <cell r="Z55" t="str">
            <v>자료없음</v>
          </cell>
          <cell r="AA55" t="str">
            <v>자료없음</v>
          </cell>
          <cell r="AB55" t="str">
            <v>해당없음</v>
          </cell>
        </row>
        <row r="56">
          <cell r="A56" t="str">
            <v>112-31-2</v>
          </cell>
          <cell r="B56" t="str">
            <v>ALDEHYDE C10 DECYLIC</v>
          </cell>
          <cell r="C56" t="str">
            <v>해당없음</v>
          </cell>
          <cell r="D56" t="str">
            <v>해당없음</v>
          </cell>
          <cell r="E56" t="str">
            <v>해당없음</v>
          </cell>
          <cell r="F56" t="str">
            <v>LD50 &gt;33,300 ㎎/㎏  (Rat) (THOMSON)</v>
          </cell>
          <cell r="G56" t="str">
            <v>LD50 5.04 ㎎/㎏ (Rat) (THOMSON)</v>
          </cell>
          <cell r="H56" t="str">
            <v>자료없음</v>
          </cell>
          <cell r="I56" t="str">
            <v>래빗 경 자극</v>
          </cell>
          <cell r="J56" t="str">
            <v>래빗 손상</v>
          </cell>
          <cell r="K56" t="str">
            <v>자료없음</v>
          </cell>
          <cell r="L56" t="str">
            <v>자료없음</v>
          </cell>
          <cell r="M56" t="str">
            <v>해당없음</v>
          </cell>
          <cell r="N56" t="str">
            <v>자료없음</v>
          </cell>
          <cell r="O56" t="str">
            <v>자료없음</v>
          </cell>
          <cell r="P56" t="str">
            <v>자료없음</v>
          </cell>
          <cell r="Q56" t="str">
            <v>자료없음</v>
          </cell>
          <cell r="R56" t="str">
            <v>자료없음</v>
          </cell>
          <cell r="S56" t="str">
            <v>해당없음</v>
          </cell>
          <cell r="T56" t="str">
            <v>LC50 3.669 ㎎/ℓ 96 hr (Estimate)</v>
          </cell>
          <cell r="U56" t="str">
            <v>LC50 0.712 ㎎/ℓ 48 hr (Estimate)</v>
          </cell>
          <cell r="V56" t="str">
            <v>EC50 2.149 ㎎/ℓ 96 hr (Estimate)</v>
          </cell>
          <cell r="W56" t="str">
            <v>log Kow 3.76</v>
          </cell>
          <cell r="X56" t="str">
            <v>자료없음</v>
          </cell>
          <cell r="Y56" t="str">
            <v>BCF 420 (HSDB)</v>
          </cell>
          <cell r="Z56" t="str">
            <v>22 (%) 5 day (HSDB)</v>
          </cell>
          <cell r="AA56" t="str">
            <v>자료없음</v>
          </cell>
          <cell r="AB56" t="str">
            <v>해당없음</v>
          </cell>
          <cell r="AC56"/>
        </row>
        <row r="57">
          <cell r="A57" t="str">
            <v>112-53-8</v>
          </cell>
          <cell r="B57" t="str">
            <v>LAURYL ALCOHOL</v>
          </cell>
          <cell r="C57" t="str">
            <v>해당없음</v>
          </cell>
          <cell r="D57" t="str">
            <v>해당없음</v>
          </cell>
          <cell r="E57" t="str">
            <v>해당없음</v>
          </cell>
          <cell r="F57" t="str">
            <v>LD50 &gt; 5000 ㎎/㎏ Rat</v>
          </cell>
          <cell r="G57" t="str">
            <v>LD50 &gt; 8300 ㎎/㎏ Guinea pig</v>
          </cell>
          <cell r="H57" t="str">
            <v>자료없음</v>
          </cell>
          <cell r="I57" t="str">
            <v>래빗 중 자극</v>
          </cell>
          <cell r="J57" t="str">
            <v>래빗 경자극</v>
          </cell>
          <cell r="K57" t="str">
            <v>자료없음</v>
          </cell>
          <cell r="L57" t="str">
            <v>자료없음</v>
          </cell>
          <cell r="M57" t="str">
            <v>해당없음</v>
          </cell>
          <cell r="N57" t="str">
            <v>인비트로/음성</v>
          </cell>
          <cell r="O57" t="str">
            <v>래트/독성 영향 없음</v>
          </cell>
          <cell r="P57" t="str">
            <v>자료없음</v>
          </cell>
          <cell r="Q57" t="str">
            <v>래트/약간의 변화가 혈장에서 발견됨.</v>
          </cell>
          <cell r="R57" t="str">
            <v>자료없음</v>
          </cell>
          <cell r="S57" t="str">
            <v>해당없음</v>
          </cell>
          <cell r="T57" t="str">
            <v>LC50 1.01 ㎎/ℓ 96 day Pimephales promelas (US EPA, IUCLID)</v>
          </cell>
          <cell r="U57" t="str">
            <v>EC50 320 ㎎/ℓ 48 hr Daphnia magna (DIN 38412 Teil 11, GLP, IUCLID)</v>
          </cell>
          <cell r="V57" t="str">
            <v>ErC50 0.97 ㎎/ℓ 96 Scenedesmus subspicatus (DIN 38412 Teil 9, GLP, IUCLID), NOEC(72hr) 0.085 mg/L (ECHA)</v>
          </cell>
          <cell r="W57" t="str">
            <v>log Kow 5.13</v>
          </cell>
          <cell r="X57" t="str">
            <v>자료없음</v>
          </cell>
          <cell r="Y57" t="str">
            <v>자료없음</v>
          </cell>
          <cell r="Z57" t="str">
            <v>79 (%) 29 day (Directive 84/449/EEC, C. 6, GLP, IUCLID)</v>
          </cell>
          <cell r="AA57" t="str">
            <v>자료없음</v>
          </cell>
          <cell r="AB57" t="str">
            <v>해당없음</v>
          </cell>
          <cell r="AC57"/>
        </row>
        <row r="58">
          <cell r="A58" t="str">
            <v>112-54-9</v>
          </cell>
          <cell r="B58" t="str">
            <v>LAURALDEHYDE</v>
          </cell>
          <cell r="C58" t="str">
            <v>해당없음</v>
          </cell>
          <cell r="D58" t="str">
            <v>해당없음</v>
          </cell>
          <cell r="E58" t="str">
            <v>해당없음</v>
          </cell>
          <cell r="F58" t="str">
            <v>LD50 23000 ㎎/㎏ (Rat)</v>
          </cell>
          <cell r="G58" t="str">
            <v>자료없음</v>
          </cell>
          <cell r="H58" t="str">
            <v>자료없음</v>
          </cell>
          <cell r="I58" t="str">
            <v>인체 경 자극</v>
          </cell>
          <cell r="J58" t="str">
            <v>자료없음</v>
          </cell>
          <cell r="K58" t="str">
            <v>자료없음</v>
          </cell>
          <cell r="L58" t="str">
            <v>자료없음</v>
          </cell>
          <cell r="M58" t="str">
            <v>해당없음</v>
          </cell>
          <cell r="N58" t="str">
            <v>자료없음</v>
          </cell>
          <cell r="O58" t="str">
            <v>자료없음</v>
          </cell>
          <cell r="P58" t="str">
            <v>자료없음</v>
          </cell>
          <cell r="Q58" t="str">
            <v>자료없음</v>
          </cell>
          <cell r="R58" t="str">
            <v>자료없음</v>
          </cell>
          <cell r="S58" t="str">
            <v>해당없음</v>
          </cell>
          <cell r="T58" t="str">
            <v>LC50 2.115 ㎎/ℓ 96 hr (Estimate)</v>
          </cell>
          <cell r="U58" t="str">
            <v>LC50 0.211 ㎎/ℓ 48 hr (Estimate)</v>
          </cell>
          <cell r="V58" t="str">
            <v>EC50 0.337 ㎎/ℓ 96 hr (Estimate)</v>
          </cell>
          <cell r="W58" t="str">
            <v>log Kow 5.16</v>
          </cell>
          <cell r="X58" t="str">
            <v>자료없음</v>
          </cell>
          <cell r="Y58" t="str">
            <v>자료없음</v>
          </cell>
          <cell r="Z58" t="str">
            <v>자료없음</v>
          </cell>
          <cell r="AA58" t="str">
            <v>자료없음</v>
          </cell>
          <cell r="AB58" t="str">
            <v>해당없음</v>
          </cell>
        </row>
        <row r="59">
          <cell r="A59" t="str">
            <v>115-95-7</v>
          </cell>
          <cell r="B59" t="str">
            <v>LINALYL ACETATE</v>
          </cell>
          <cell r="C59" t="str">
            <v>해당없음</v>
          </cell>
          <cell r="D59" t="str">
            <v>해당없음</v>
          </cell>
          <cell r="E59" t="str">
            <v>해당없음</v>
          </cell>
          <cell r="F59" t="str">
            <v>LD50 13,934 ㎎/㎏ (Rat) (HSDB)</v>
          </cell>
          <cell r="G59" t="str">
            <v>LD50 &gt;5,000 ㎎/㎏  (Rabbit) (HSDB)</v>
          </cell>
          <cell r="H59" t="str">
            <v>LC50 &gt; 2.740 ㎎/ℓ 4 hr Rat</v>
          </cell>
          <cell r="I59" t="str">
            <v>사람 자극이 없거나 아주 작은 잠재적 자극</v>
          </cell>
          <cell r="J59" t="str">
            <v>자극</v>
          </cell>
          <cell r="K59" t="str">
            <v>자료없음</v>
          </cell>
          <cell r="L59" t="str">
            <v>자료없음</v>
          </cell>
          <cell r="M59" t="str">
            <v>해당없음</v>
          </cell>
          <cell r="N59" t="str">
            <v>in Vitro , induce gene mutation, chromosomal test : 음성</v>
          </cell>
          <cell r="O59" t="str">
            <v>사람의 생식 또는 발생독성 의심물질</v>
          </cell>
          <cell r="P59" t="str">
            <v>자료없음</v>
          </cell>
          <cell r="Q59" t="str">
            <v>사람 반복 노출 시 신경과 소화 증상</v>
          </cell>
          <cell r="R59" t="str">
            <v>자료없음</v>
          </cell>
          <cell r="S59" t="str">
            <v>해당없음</v>
          </cell>
          <cell r="T59" t="str">
            <v>LC50 0.572 ㎎/ℓ 96 hr (Estimate)</v>
          </cell>
          <cell r="U59" t="str">
            <v>LC50 1.113 ㎎/ℓ 48 hr (Estimate)</v>
          </cell>
          <cell r="V59" t="str">
            <v>EC50 0.437 ㎎/ℓ 96 hr (Estimate)</v>
          </cell>
          <cell r="W59" t="str">
            <v>log Kow 3.93 (NLM;ChemIDPlus)</v>
          </cell>
          <cell r="X59" t="str">
            <v>자료없음</v>
          </cell>
          <cell r="Y59" t="str">
            <v>BCF 182 (Estimate)</v>
          </cell>
          <cell r="Z59" t="str">
            <v>Non-degradable; not degraded and has a high potential to accumulate in vivo</v>
          </cell>
          <cell r="AA59" t="str">
            <v>Koc 432.4  (Estimates)</v>
          </cell>
          <cell r="AB59" t="str">
            <v>해당없음</v>
          </cell>
        </row>
        <row r="60">
          <cell r="A60" t="str">
            <v>118-58-1</v>
          </cell>
          <cell r="B60" t="str">
            <v>BENZYL SALICYLATE</v>
          </cell>
          <cell r="C60" t="str">
            <v>해당없음</v>
          </cell>
          <cell r="D60" t="str">
            <v>해당없음</v>
          </cell>
          <cell r="E60" t="str">
            <v>해당없음</v>
          </cell>
          <cell r="F60" t="str">
            <v>LD50 2,227 ㎎/㎏ (Rat) (IUCLID, THOMSON)</v>
          </cell>
          <cell r="G60" t="str">
            <v>LD50 4,150 ㎎/㎏  (Rabbit) (IUCLID)</v>
          </cell>
          <cell r="H60" t="str">
            <v>자료없음</v>
          </cell>
          <cell r="I60" t="str">
            <v>인체 경 자극 slightly irritating</v>
          </cell>
          <cell r="J60" t="str">
            <v>rabbit, 자극 moderately irritating</v>
          </cell>
          <cell r="K60" t="str">
            <v>자료없음</v>
          </cell>
          <cell r="L60" t="str">
            <v>인체/무과민성</v>
          </cell>
          <cell r="M60" t="str">
            <v>해당없음</v>
          </cell>
          <cell r="N60" t="str">
            <v>인비트로/음성</v>
          </cell>
          <cell r="O60" t="str">
            <v>자료없음</v>
          </cell>
          <cell r="P60" t="str">
            <v>자료없음</v>
          </cell>
          <cell r="Q60" t="str">
            <v>자료없음</v>
          </cell>
          <cell r="R60" t="str">
            <v>자료없음</v>
          </cell>
          <cell r="S60" t="str">
            <v>해당없음</v>
          </cell>
          <cell r="T60" t="str">
            <v>LC50 1.03 ㎎/ℓ  96 hr (zebra fish)  (ECHA Registered substances)</v>
          </cell>
          <cell r="U60" t="str">
            <v>EC50 1.16 ㎎/ℓ  48 hr Daphnia magna (ECHA Registered substances)</v>
          </cell>
          <cell r="V60" t="str">
            <v>LC50 1.29 ㎎/ℓ  72 hr (Alga)  (ECHA Registered substances)</v>
          </cell>
          <cell r="W60" t="str">
            <v>log Kow 4.0  (ECHA Registered substances)</v>
          </cell>
          <cell r="X60" t="str">
            <v>자료없음</v>
          </cell>
          <cell r="Y60" t="str">
            <v>자료없음</v>
          </cell>
          <cell r="Z60" t="str">
            <v>자료없음</v>
          </cell>
          <cell r="AA60" t="str">
            <v>자료없음</v>
          </cell>
          <cell r="AB60" t="str">
            <v>해당없음</v>
          </cell>
        </row>
        <row r="61">
          <cell r="A61" t="str">
            <v>118-61-6</v>
          </cell>
          <cell r="B61" t="str">
            <v>ETHYL SALICYLATE</v>
          </cell>
          <cell r="C61" t="str">
            <v>해당없음</v>
          </cell>
          <cell r="D61" t="str">
            <v>해당없음</v>
          </cell>
          <cell r="E61" t="str">
            <v>해당없음</v>
          </cell>
          <cell r="F61" t="str">
            <v>LD50 &gt; 2,000 mg/kg (NIER 고시 제2016-15호 유해성심사결과)</v>
          </cell>
          <cell r="G61" t="str">
            <v>자료없음</v>
          </cell>
          <cell r="H61" t="str">
            <v>자료없음</v>
          </cell>
          <cell r="I61" t="str">
            <v>피부 자극성 물질 아님 (NIER 고시 제2016-15호 유해성심사결과)</v>
          </cell>
          <cell r="J61" t="str">
            <v>눈 자극성 물질 아님 (NIER 고시 제2016-15호 유해성심사결과)</v>
          </cell>
          <cell r="K61" t="str">
            <v>자료없음</v>
          </cell>
          <cell r="L61" t="str">
            <v>자료없음</v>
          </cell>
          <cell r="M61" t="str">
            <v>해당없음</v>
          </cell>
          <cell r="N61" t="str">
            <v>Ames 시험 : 음성 (NIER 고시 제2016-15호 유해성심사결과)</v>
          </cell>
          <cell r="O61" t="str">
            <v>자료없음</v>
          </cell>
          <cell r="P61" t="str">
            <v>자료없음</v>
          </cell>
          <cell r="Q61" t="str">
            <v>자료없음</v>
          </cell>
          <cell r="R61" t="str">
            <v>자료없음</v>
          </cell>
          <cell r="S61" t="str">
            <v>해당없음</v>
          </cell>
          <cell r="T61" t="str">
            <v>LC50 = 15 mg/L (NIER 고시 제2016-15호 유해성심사결과)</v>
          </cell>
          <cell r="U61" t="str">
            <v>자료없음</v>
          </cell>
          <cell r="V61" t="str">
            <v>자료없음</v>
          </cell>
          <cell r="W61" t="str">
            <v>자료없음</v>
          </cell>
          <cell r="X61" t="str">
            <v>이분해성 물질 (NIER 고시 제2016-15호 유해성심사결과)</v>
          </cell>
          <cell r="Y61" t="str">
            <v>자료없음</v>
          </cell>
          <cell r="Z61" t="str">
            <v>자료없음</v>
          </cell>
          <cell r="AA61" t="str">
            <v>자료없음</v>
          </cell>
          <cell r="AB61" t="str">
            <v>해당없음</v>
          </cell>
        </row>
        <row r="62">
          <cell r="A62" t="str">
            <v>118-71-8</v>
          </cell>
          <cell r="B62" t="str">
            <v>MALTOL</v>
          </cell>
          <cell r="C62" t="str">
            <v>해당없음</v>
          </cell>
          <cell r="D62" t="str">
            <v>해당없음</v>
          </cell>
          <cell r="E62" t="str">
            <v>해당없음</v>
          </cell>
          <cell r="F62" t="str">
            <v>LD50 1410 ㎎/㎏ Rat</v>
          </cell>
          <cell r="G62" t="str">
            <v>자료없음</v>
          </cell>
          <cell r="H62" t="str">
            <v>자료없음</v>
          </cell>
          <cell r="I62" t="str">
            <v>STANDARD DRAIZE TEST 결과 약한자극성나타남</v>
          </cell>
          <cell r="J62" t="str">
            <v>자료없음</v>
          </cell>
          <cell r="K62" t="str">
            <v>자료없음</v>
          </cell>
          <cell r="L62" t="str">
            <v>자료없음</v>
          </cell>
          <cell r="M62" t="str">
            <v>해당없음</v>
          </cell>
          <cell r="N62" t="str">
            <v>IN VIVO MICRONUCLEUS 테스트결과 :양성</v>
          </cell>
          <cell r="O62" t="str">
            <v>자료없음</v>
          </cell>
          <cell r="P62" t="str">
            <v>자료없음</v>
          </cell>
          <cell r="Q62" t="str">
            <v>자료없음</v>
          </cell>
          <cell r="R62" t="str">
            <v>자료없음</v>
          </cell>
          <cell r="S62" t="str">
            <v>해당없음</v>
          </cell>
          <cell r="T62" t="str">
            <v>LC50 4.838 ㎎/ℓ 96 hr (Estimate)</v>
          </cell>
          <cell r="U62" t="str">
            <v>LC50 0.584 ㎎/ℓ 48 hr (Estimate)</v>
          </cell>
          <cell r="V62" t="str">
            <v>EC50 328.759 ㎎/ℓ 96 hr (Estimate)</v>
          </cell>
          <cell r="W62" t="str">
            <v>log Kow 0.09 (NLM)</v>
          </cell>
          <cell r="X62" t="str">
            <v>자료없음</v>
          </cell>
          <cell r="Y62" t="str">
            <v>BCF 3.162 (Estimate)</v>
          </cell>
          <cell r="Z62" t="str">
            <v>(Cut-off value=0.1756; rapidly biodegradable(BIOWIN 2)) (estimate)</v>
          </cell>
          <cell r="AA62" t="str">
            <v>Koc 0.668 (estimate)</v>
          </cell>
          <cell r="AB62" t="str">
            <v>해당없음</v>
          </cell>
          <cell r="AC62"/>
        </row>
        <row r="63">
          <cell r="A63" t="str">
            <v>1191-16-8</v>
          </cell>
          <cell r="B63" t="str">
            <v>PHENOXYETHYL ISOBUTYRATE</v>
          </cell>
          <cell r="C63" t="str">
            <v>해당없음</v>
          </cell>
          <cell r="D63" t="str">
            <v>해당없음</v>
          </cell>
          <cell r="E63" t="str">
            <v>해당없음</v>
          </cell>
          <cell r="F63" t="str">
            <v>LD50 2,900 ㎎/㎏  (Rat) (National Library of Medicine)</v>
          </cell>
          <cell r="G63" t="str">
            <v>LD50 &gt;5,000 ㎎/㎏  (Rabbit) (ChemIDPlus)</v>
          </cell>
          <cell r="H63" t="str">
            <v>자료없음</v>
          </cell>
          <cell r="I63" t="str">
            <v>자료없음</v>
          </cell>
          <cell r="J63" t="str">
            <v>자료없음</v>
          </cell>
          <cell r="K63" t="str">
            <v>자료없음</v>
          </cell>
          <cell r="L63" t="str">
            <v>자료없음</v>
          </cell>
          <cell r="M63" t="str">
            <v>해당없음</v>
          </cell>
          <cell r="N63" t="str">
            <v>자료없음</v>
          </cell>
          <cell r="O63" t="str">
            <v>자료없음</v>
          </cell>
          <cell r="P63" t="str">
            <v>자료없음</v>
          </cell>
          <cell r="Q63" t="str">
            <v>자료없음</v>
          </cell>
          <cell r="R63" t="str">
            <v>자료없음</v>
          </cell>
          <cell r="S63" t="str">
            <v>해당없음</v>
          </cell>
          <cell r="T63" t="str">
            <v>LC50 7.450 ㎎/ℓ 96 hr (EPISUITE)</v>
          </cell>
          <cell r="U63" t="str">
            <v>LC50 6.3 ㎎/ℓ 48 hr (Estimated) (EPISUITE)</v>
          </cell>
          <cell r="V63" t="str">
            <v>EC50 5.134 ㎎/ℓ 96 hr (Estimated) (EPISUITE)</v>
          </cell>
          <cell r="W63" t="str">
            <v>자료없음</v>
          </cell>
          <cell r="X63" t="str">
            <v>자료없음</v>
          </cell>
          <cell r="Y63" t="str">
            <v>자료없음</v>
          </cell>
          <cell r="Z63" t="str">
            <v>자료없음</v>
          </cell>
          <cell r="AA63" t="str">
            <v>자료없음</v>
          </cell>
          <cell r="AB63" t="str">
            <v>해당없음</v>
          </cell>
          <cell r="AC63"/>
        </row>
        <row r="64">
          <cell r="A64" t="str">
            <v>119-36-8</v>
          </cell>
          <cell r="B64" t="str">
            <v>METHYL SALICYLATE</v>
          </cell>
          <cell r="C64" t="str">
            <v>해당없음</v>
          </cell>
          <cell r="D64" t="str">
            <v>해당없음</v>
          </cell>
          <cell r="E64" t="str">
            <v>해당없음</v>
          </cell>
          <cell r="F64" t="str">
            <v>LD50 887 ㎎/㎏ (Rat)</v>
          </cell>
          <cell r="G64" t="str">
            <v>LD50 700 ㎎/㎏ Guinea pig (ca.)</v>
          </cell>
          <cell r="H64" t="str">
            <v>자료없음</v>
          </cell>
          <cell r="I64" t="str">
            <v>rabbit, 자극 moderately irritating</v>
          </cell>
          <cell r="J64" t="str">
            <v>자료없음</v>
          </cell>
          <cell r="K64" t="str">
            <v>자료없음</v>
          </cell>
          <cell r="L64" t="str">
            <v>기니피그/무과민성</v>
          </cell>
          <cell r="M64" t="str">
            <v>해당없음</v>
          </cell>
          <cell r="N64" t="str">
            <v xml:space="preserve">인비트로/음성
</v>
          </cell>
          <cell r="O64" t="str">
            <v>마우스 태아 영향</v>
          </cell>
          <cell r="P64" t="str">
            <v>자료없음</v>
          </cell>
          <cell r="Q64" t="str">
            <v>rat, 2yr, 래트/변화 없음 No bone change or other adverse effects up to 0.21% in the diet</v>
          </cell>
          <cell r="R64" t="str">
            <v>자료없음</v>
          </cell>
          <cell r="S64" t="str">
            <v>해당없음</v>
          </cell>
          <cell r="T64" t="str">
            <v>LC50 10.997 ㎎/ℓ 96 hr (Estimate)</v>
          </cell>
          <cell r="U64" t="str">
            <v>LC50 34.378 ㎎/ℓ 48 hr (Estimate)</v>
          </cell>
          <cell r="V64" t="str">
            <v>EC50 0.895 ㎎/ℓ 96 hr (Estimate)</v>
          </cell>
          <cell r="W64" t="str">
            <v>log Kow 2.55 (ICSC)</v>
          </cell>
          <cell r="X64" t="str">
            <v>자료없음</v>
          </cell>
          <cell r="Y64" t="str">
            <v>BCF 4 (HSDB)</v>
          </cell>
          <cell r="Z64" t="str">
            <v>100 %, 7 day (IUCLID)</v>
          </cell>
          <cell r="AA64" t="str">
            <v>자료없음</v>
          </cell>
          <cell r="AB64" t="str">
            <v>해당없음</v>
          </cell>
        </row>
        <row r="65">
          <cell r="A65" t="str">
            <v>120-45-6</v>
          </cell>
          <cell r="B65" t="str">
            <v>STYRAYL PROPIONATE</v>
          </cell>
          <cell r="C65" t="str">
            <v>해당없음</v>
          </cell>
          <cell r="D65" t="str">
            <v>해당없음</v>
          </cell>
          <cell r="E65" t="str">
            <v>해당없음</v>
          </cell>
          <cell r="F65" t="str">
            <v>자료없음</v>
          </cell>
          <cell r="G65" t="str">
            <v>자료없음</v>
          </cell>
          <cell r="H65" t="str">
            <v>자료없음</v>
          </cell>
          <cell r="I65" t="str">
            <v>자료없음</v>
          </cell>
          <cell r="J65" t="str">
            <v>자료없음</v>
          </cell>
          <cell r="K65" t="str">
            <v>자료없음</v>
          </cell>
          <cell r="L65" t="str">
            <v>자료없음</v>
          </cell>
          <cell r="M65" t="str">
            <v>해당없음</v>
          </cell>
          <cell r="N65" t="str">
            <v>해당없음</v>
          </cell>
          <cell r="O65" t="str">
            <v>자료없음</v>
          </cell>
          <cell r="P65" t="str">
            <v>자료없음</v>
          </cell>
          <cell r="Q65" t="str">
            <v>자료없음</v>
          </cell>
          <cell r="R65" t="str">
            <v>자료없음</v>
          </cell>
          <cell r="S65" t="str">
            <v>해당없음</v>
          </cell>
          <cell r="T65" t="str">
            <v>자료없음</v>
          </cell>
          <cell r="U65" t="str">
            <v>자료없음</v>
          </cell>
          <cell r="V65" t="str">
            <v>자료없음</v>
          </cell>
          <cell r="W65" t="str">
            <v>자료없음</v>
          </cell>
          <cell r="X65" t="str">
            <v>자료없음</v>
          </cell>
          <cell r="Y65" t="str">
            <v>자료없음</v>
          </cell>
          <cell r="Z65" t="str">
            <v>자료없음</v>
          </cell>
          <cell r="AA65" t="str">
            <v>자료없음</v>
          </cell>
          <cell r="AB65" t="str">
            <v>해당없음</v>
          </cell>
        </row>
        <row r="66">
          <cell r="A66" t="str">
            <v>120-51-4</v>
          </cell>
          <cell r="B66" t="str">
            <v>BENZYL BENZOATE</v>
          </cell>
          <cell r="C66" t="str">
            <v>해당없음</v>
          </cell>
          <cell r="D66" t="str">
            <v>해당없음</v>
          </cell>
          <cell r="E66" t="str">
            <v>해당없음</v>
          </cell>
          <cell r="F66" t="str">
            <v>LD50 1,700 ㎎/㎏ (Rat) (HSDB)</v>
          </cell>
          <cell r="G66" t="str">
            <v>LD50 4,000 ㎎/㎏ (Rabbit)</v>
          </cell>
          <cell r="H66" t="str">
            <v>자료없음</v>
          </cell>
          <cell r="I66" t="str">
            <v>비자극성(rabbit) (ECHA)</v>
          </cell>
          <cell r="J66" t="str">
            <v>자료없음</v>
          </cell>
          <cell r="K66" t="str">
            <v>자료없음</v>
          </cell>
          <cell r="L66" t="str">
            <v>자료없음</v>
          </cell>
          <cell r="M66" t="str">
            <v>해당없음</v>
          </cell>
          <cell r="N66" t="str">
            <v>자료없음</v>
          </cell>
          <cell r="O66" t="str">
            <v>자료없음</v>
          </cell>
          <cell r="P66" t="str">
            <v>자료없음</v>
          </cell>
          <cell r="Q66" t="str">
            <v>자료없음</v>
          </cell>
          <cell r="R66" t="str">
            <v>자료없음</v>
          </cell>
          <cell r="S66" t="str">
            <v>해당없음</v>
          </cell>
          <cell r="T66" t="str">
            <v>LC 50  2.32mg/L 96hr  Danio rerio (ECHA)</v>
          </cell>
          <cell r="U66" t="str">
            <v>EC 50 3.09mg/L 48hr Daphnia magna (ECHA)</v>
          </cell>
          <cell r="V66" t="str">
            <v>EC 50 0.497mg/L 72hr, NOEC   0.065 mg/L 72hr Pseudokirchneriella subcapitataa (ECHA)</v>
          </cell>
          <cell r="W66" t="str">
            <v>3.97 log Kow  (ICSC)</v>
          </cell>
          <cell r="X66" t="str">
            <v>자료없음</v>
          </cell>
          <cell r="Y66" t="str">
            <v>자료없음</v>
          </cell>
          <cell r="Z66" t="str">
            <v>28-day BOD  90% (NITE) 94%,  28 day (Aerobic, Activated sludge)</v>
          </cell>
          <cell r="AA66" t="str">
            <v>자료없음</v>
          </cell>
          <cell r="AB66" t="str">
            <v>해당없음</v>
          </cell>
          <cell r="AC66" t="str">
            <v>H302,H411</v>
          </cell>
        </row>
        <row r="67">
          <cell r="A67" t="str">
            <v>1205-17-0</v>
          </cell>
          <cell r="B67" t="str">
            <v>HELIONAL</v>
          </cell>
          <cell r="C67" t="str">
            <v>해당없음</v>
          </cell>
          <cell r="D67" t="str">
            <v>해당없음</v>
          </cell>
          <cell r="E67" t="str">
            <v>해당없음</v>
          </cell>
          <cell r="F67" t="str">
            <v>자료없음</v>
          </cell>
          <cell r="G67" t="str">
            <v>자료없음</v>
          </cell>
          <cell r="H67" t="str">
            <v>gas (해당없음: Light yellowLiquid (Akron))</v>
          </cell>
          <cell r="I67" t="str">
            <v>토끼를 대상으로 피부자극성시험결과, 약간의 부종과 출혈, 허혈과 외피형성 증상 들 심한 자극을 야기(피부자극점수 =3(FDA Standards) (ECHA)</v>
          </cell>
          <cell r="J67" t="str">
            <v>자료없음</v>
          </cell>
          <cell r="K67" t="str">
            <v>자료없음</v>
          </cell>
          <cell r="L67" t="str">
            <v>자료없음</v>
          </cell>
          <cell r="M67" t="str">
            <v>해당없음</v>
          </cell>
          <cell r="N67" t="str">
            <v>자료없음</v>
          </cell>
          <cell r="O67" t="str">
            <v>자료없음</v>
          </cell>
          <cell r="P67" t="str">
            <v>자료없음</v>
          </cell>
          <cell r="Q67" t="str">
            <v>자료없음</v>
          </cell>
          <cell r="R67" t="str">
            <v>자료없음</v>
          </cell>
          <cell r="S67" t="str">
            <v>해당없음</v>
          </cell>
          <cell r="T67" t="str">
            <v>LC50 6.274 ㎎/ℓ 96 hr (Estimate)</v>
          </cell>
          <cell r="U67" t="str">
            <v>EC50 1.425 ㎎/ℓ 48 hr (Estimated) (EPISUITE)</v>
          </cell>
          <cell r="V67" t="str">
            <v>EC50 14.359 ㎎/ℓ 96 hr (Estimated) (EPISUITE)</v>
          </cell>
          <cell r="W67" t="str">
            <v>log Kow 2.51 (Estimate)</v>
          </cell>
          <cell r="X67" t="str">
            <v>자료없음</v>
          </cell>
          <cell r="Y67" t="str">
            <v>BCF 21.12  (Estimate)</v>
          </cell>
          <cell r="Z67" t="str">
            <v>Non-degradable; not degraded and has a high potential to accumulate in vivo</v>
          </cell>
          <cell r="AA67" t="str">
            <v>Koc 157 (Low potential for soil adsorption, Estimates)</v>
          </cell>
          <cell r="AB67" t="str">
            <v>해당없음</v>
          </cell>
          <cell r="AC67"/>
        </row>
        <row r="68">
          <cell r="A68" t="str">
            <v>120-57-0</v>
          </cell>
          <cell r="B68" t="str">
            <v>HELIOTROPINE (=PIPERONAL)</v>
          </cell>
          <cell r="C68" t="str">
            <v>해당없음</v>
          </cell>
          <cell r="D68" t="str">
            <v>해당없음</v>
          </cell>
          <cell r="E68" t="str">
            <v>해당없음</v>
          </cell>
          <cell r="F68" t="str">
            <v>LD50 2,700 ㎎/㎏ (Rat) (NLM)</v>
          </cell>
          <cell r="G68" t="str">
            <v>LD50 &gt;5 ㎎/㎏  (Rat) (NLM)</v>
          </cell>
          <cell r="H68" t="str">
            <v>자료없음</v>
          </cell>
          <cell r="I68" t="str">
            <v>인체 - 피부 자극</v>
          </cell>
          <cell r="J68" t="str">
            <v>자료없음</v>
          </cell>
          <cell r="K68" t="str">
            <v>자료없음</v>
          </cell>
          <cell r="L68" t="str">
            <v>자료없음</v>
          </cell>
          <cell r="M68" t="str">
            <v>해당없음</v>
          </cell>
          <cell r="N68" t="str">
            <v>자료없음</v>
          </cell>
          <cell r="O68" t="str">
            <v>자료없음</v>
          </cell>
          <cell r="P68" t="str">
            <v>자료없음</v>
          </cell>
          <cell r="Q68" t="str">
            <v>자료없음</v>
          </cell>
          <cell r="R68" t="str">
            <v>자료없음</v>
          </cell>
          <cell r="S68" t="str">
            <v>해당없음</v>
          </cell>
          <cell r="T68" t="str">
            <v>LC50 14.859 ㎎/ℓ 96 hr (Estimate)</v>
          </cell>
          <cell r="U68" t="str">
            <v>LC50 11.043 ㎎/ℓ 48 hr Daphnia pulex (Estimate)</v>
          </cell>
          <cell r="V68" t="str">
            <v>EC50 119.133 ㎎/ℓ 96 hr (Estimate)</v>
          </cell>
          <cell r="W68" t="str">
            <v>log Kow 1.05</v>
          </cell>
          <cell r="X68" t="str">
            <v>88 %, 14 days (theoretical BOD) (the Japanese MITI test) (HSDB)</v>
          </cell>
          <cell r="Y68" t="str">
            <v>BCF 1 (estimate) (HSDB)</v>
          </cell>
          <cell r="Z68" t="str">
            <v>자료없음</v>
          </cell>
          <cell r="AA68" t="str">
            <v>자료없음</v>
          </cell>
          <cell r="AB68" t="str">
            <v>해당없음</v>
          </cell>
        </row>
        <row r="69">
          <cell r="A69" t="str">
            <v>120-72-9</v>
          </cell>
          <cell r="B69" t="str">
            <v>INDOL</v>
          </cell>
          <cell r="C69" t="str">
            <v>해당없음</v>
          </cell>
          <cell r="D69" t="str">
            <v>해당없음</v>
          </cell>
          <cell r="E69" t="str">
            <v>해당없음</v>
          </cell>
          <cell r="F69" t="str">
            <v>LD50 1000 ㎎/㎏ Rat (NLM, THOMSON)</v>
          </cell>
          <cell r="G69" t="str">
            <v>LD50 790 ㎎/㎏ Rabbit(4days(NLM, THOMSON</v>
          </cell>
          <cell r="H69" t="str">
            <v>자료없음</v>
          </cell>
          <cell r="I69" t="str">
            <v>자료없음</v>
          </cell>
          <cell r="J69" t="str">
            <v>자료없음</v>
          </cell>
          <cell r="K69" t="str">
            <v>자료없음</v>
          </cell>
          <cell r="L69" t="str">
            <v>자료없음</v>
          </cell>
          <cell r="M69" t="str">
            <v>해당없음</v>
          </cell>
          <cell r="N69" t="str">
            <v>자료없음</v>
          </cell>
          <cell r="O69" t="str">
            <v>자료없음</v>
          </cell>
          <cell r="P69" t="str">
            <v>자료없음</v>
          </cell>
          <cell r="Q69" t="str">
            <v>자료없음</v>
          </cell>
          <cell r="R69" t="str">
            <v>자료없음</v>
          </cell>
          <cell r="S69" t="str">
            <v>해당없음</v>
          </cell>
          <cell r="T69" t="str">
            <v>LC50 ≥ 77.938 ㎎/ℓ 96 hr (ECOSAR)</v>
          </cell>
          <cell r="U69" t="str">
            <v>LC50 1 ㎎/ℓ 48 hr Daphnia magna (ECOTOX)</v>
          </cell>
          <cell r="V69" t="str">
            <v>EC50 52.541 ㎎/ℓ 96 hr (ECOSAR)</v>
          </cell>
          <cell r="W69" t="str">
            <v>자료없음</v>
          </cell>
          <cell r="X69" t="str">
            <v>자료없음</v>
          </cell>
          <cell r="Y69" t="str">
            <v>자료없음</v>
          </cell>
          <cell r="Z69" t="str">
            <v>자료없음</v>
          </cell>
          <cell r="AA69" t="str">
            <v>자료없음</v>
          </cell>
          <cell r="AB69" t="str">
            <v>해당없음</v>
          </cell>
          <cell r="AC69"/>
        </row>
        <row r="70">
          <cell r="A70" t="str">
            <v>121-32-4</v>
          </cell>
          <cell r="B70" t="str">
            <v>ETHYL VANILLIN</v>
          </cell>
          <cell r="C70" t="str">
            <v>해당없음</v>
          </cell>
          <cell r="D70" t="str">
            <v>해당없음</v>
          </cell>
          <cell r="E70" t="str">
            <v>해당없음</v>
          </cell>
          <cell r="F70" t="str">
            <v>LD50 1,590 ㎎/㎏ (Rat) (NLM, THOMSON )</v>
          </cell>
          <cell r="G70" t="str">
            <v>LD50 &gt;7,940 ㎎/㎏  (Rabbit)(NLM)</v>
          </cell>
          <cell r="H70" t="str">
            <v>자료없음</v>
          </cell>
          <cell r="I70" t="str">
            <v>인체 자극(48hr,10mg)</v>
          </cell>
          <cell r="J70" t="str">
            <v>자료없음</v>
          </cell>
          <cell r="K70" t="str">
            <v>자료없음</v>
          </cell>
          <cell r="L70" t="str">
            <v>자료없음</v>
          </cell>
          <cell r="M70" t="str">
            <v>해당없음</v>
          </cell>
          <cell r="N70" t="str">
            <v>자료없음</v>
          </cell>
          <cell r="O70" t="str">
            <v>자료없음</v>
          </cell>
          <cell r="P70" t="str">
            <v>자료없음</v>
          </cell>
          <cell r="Q70" t="str">
            <v>자료없음</v>
          </cell>
          <cell r="R70" t="str">
            <v>자료없음</v>
          </cell>
          <cell r="S70" t="str">
            <v>해당없음</v>
          </cell>
          <cell r="T70" t="str">
            <v>LC50 87.6 ㎎/ℓ 48 hr Pimephales promelas (ECOTOX)</v>
          </cell>
          <cell r="U70" t="str">
            <v>LC50 16.624 ㎎/ℓ 48 hr (Estimate)</v>
          </cell>
          <cell r="V70" t="str">
            <v>EC50 206.454 ㎎/ℓ 96 hr (Estimate)</v>
          </cell>
          <cell r="W70" t="str">
            <v>log Kow 1.58 (ChemIDplus)</v>
          </cell>
          <cell r="X70" t="str">
            <v>52.9%, 5 days (theoretical BOD)</v>
          </cell>
          <cell r="Y70" t="str">
            <v>BCF 10 (estimate) (HSDB)</v>
          </cell>
          <cell r="Z70" t="str">
            <v>자료없음</v>
          </cell>
          <cell r="AA70" t="str">
            <v>(not available)</v>
          </cell>
          <cell r="AB70" t="str">
            <v>해당없음</v>
          </cell>
          <cell r="AC70"/>
        </row>
        <row r="71">
          <cell r="A71" t="str">
            <v>121-33-5</v>
          </cell>
          <cell r="B71" t="str">
            <v>VANILLIN</v>
          </cell>
          <cell r="C71" t="str">
            <v>해당없음</v>
          </cell>
          <cell r="D71" t="str">
            <v>해당없음</v>
          </cell>
          <cell r="E71" t="str">
            <v>해당없음</v>
          </cell>
          <cell r="F71" t="str">
            <v>LD50 3,928 ~ 3,976 ㎎/㎏  (Rat ) (SIDS)</v>
          </cell>
          <cell r="G71" t="str">
            <v>LD50 5,010 ㎎/㎏  (Rat) (SIDS, THOMSON)</v>
          </cell>
          <cell r="H71" t="str">
            <v>LC50 42 ㎎/ℓ (Mouse) (RIFM Database)</v>
          </cell>
          <cell r="I71" t="str">
            <v>토끼, 인체 음성(24hr)</v>
          </cell>
          <cell r="J71" t="str">
            <v>토끼 자극 (24hr)</v>
          </cell>
          <cell r="K71" t="str">
            <v>자료없음</v>
          </cell>
          <cell r="L71" t="str">
            <v>피그(guinea pig) 알러지 과민성</v>
          </cell>
          <cell r="M71" t="str">
            <v>해당없음</v>
          </cell>
          <cell r="N71" t="str">
            <v>자료없음</v>
          </cell>
          <cell r="O71" t="str">
            <v>자료없음</v>
          </cell>
          <cell r="P71" t="str">
            <v>자료없음</v>
          </cell>
          <cell r="Q71" t="str">
            <v>자료없음</v>
          </cell>
          <cell r="R71" t="str">
            <v>자료없음</v>
          </cell>
          <cell r="S71" t="str">
            <v>해당없음</v>
          </cell>
          <cell r="T71" t="str">
            <v>LC50 ≥57 ㎎/ℓ 96 hr Pimephales promelas (IUCLID)</v>
          </cell>
          <cell r="U71" t="str">
            <v>자료없음</v>
          </cell>
          <cell r="V71" t="str">
            <v>자료없음</v>
          </cell>
          <cell r="W71" t="str">
            <v>log Kow 1.37 log Kow 1.21 (ICSC)</v>
          </cell>
          <cell r="X71" t="str">
            <v>자료없음</v>
          </cell>
          <cell r="Y71" t="str">
            <v>BCF 6 (Estimate) (HSDB)</v>
          </cell>
          <cell r="Z71" t="str">
            <v>72 (%) 28 day (IUCLID)</v>
          </cell>
          <cell r="AA71" t="str">
            <v>자료없음</v>
          </cell>
          <cell r="AB71" t="str">
            <v>해당없음</v>
          </cell>
        </row>
        <row r="72">
          <cell r="A72" t="str">
            <v>122-00-9</v>
          </cell>
          <cell r="B72" t="str">
            <v>P-METHYL ACETOPHENONE</v>
          </cell>
          <cell r="C72" t="str">
            <v>해당없음</v>
          </cell>
          <cell r="D72" t="str">
            <v>해당없음</v>
          </cell>
          <cell r="E72" t="str">
            <v>해당없음</v>
          </cell>
          <cell r="F72" t="str">
            <v>LD50 1400 ㎎/㎏ Rat</v>
          </cell>
          <cell r="G72" t="str">
            <v>자료없음</v>
          </cell>
          <cell r="H72" t="str">
            <v>자료없음</v>
          </cell>
          <cell r="I72" t="str">
            <v>토끼 - 약한 자극</v>
          </cell>
          <cell r="J72" t="str">
            <v>자료없음</v>
          </cell>
          <cell r="K72" t="str">
            <v>자료없음</v>
          </cell>
          <cell r="L72" t="str">
            <v>자료없음</v>
          </cell>
          <cell r="M72" t="str">
            <v>해당없음</v>
          </cell>
          <cell r="N72" t="str">
            <v>자료없음</v>
          </cell>
          <cell r="O72" t="str">
            <v>자료없음</v>
          </cell>
          <cell r="P72" t="str">
            <v>자료없음</v>
          </cell>
          <cell r="Q72" t="str">
            <v>자료없음</v>
          </cell>
          <cell r="R72" t="str">
            <v>자료없음</v>
          </cell>
          <cell r="S72" t="str">
            <v>해당없음</v>
          </cell>
          <cell r="T72" t="str">
            <v>LC50 61.785 ㎎/ℓ 96 hr (Estimate)</v>
          </cell>
          <cell r="U72" t="str">
            <v>LC50 67.218 ㎎/ℓ 48 hr (Estimate)</v>
          </cell>
          <cell r="V72" t="str">
            <v>EC50 42.558 ㎎/ℓ 96 hr (Estimate)</v>
          </cell>
          <cell r="W72" t="str">
            <v>log Kow 2.10</v>
          </cell>
          <cell r="X72" t="str">
            <v>자료없음</v>
          </cell>
          <cell r="Y72" t="str">
            <v>자료없음</v>
          </cell>
          <cell r="Z72" t="str">
            <v>자료없음</v>
          </cell>
          <cell r="AA72" t="str">
            <v>자료없음</v>
          </cell>
          <cell r="AB72" t="str">
            <v>해당없음</v>
          </cell>
        </row>
        <row r="73">
          <cell r="A73" t="str">
            <v>122-03-2</v>
          </cell>
          <cell r="B73" t="str">
            <v>CUMINIC ALD</v>
          </cell>
          <cell r="C73" t="str">
            <v>해당없음</v>
          </cell>
          <cell r="D73" t="str">
            <v>해당없음</v>
          </cell>
          <cell r="E73" t="str">
            <v>해당없음</v>
          </cell>
          <cell r="F73" t="str">
            <v>LD50 1390 ㎎/㎏ Rat</v>
          </cell>
          <cell r="G73" t="str">
            <v>LD50 2800 ㎎/㎏ Rabbit</v>
          </cell>
          <cell r="H73" t="str">
            <v>자료없음</v>
          </cell>
          <cell r="I73" t="str">
            <v>토끼/표준 드레이즈 실험/투여량:500mg/24H/반응 보고되지 않음</v>
          </cell>
          <cell r="J73" t="str">
            <v>자료없음</v>
          </cell>
          <cell r="K73" t="str">
            <v>자료없음</v>
          </cell>
          <cell r="L73" t="str">
            <v>자료없음</v>
          </cell>
          <cell r="M73" t="str">
            <v>자료없음</v>
          </cell>
          <cell r="N73" t="str">
            <v>Probability 0.0-0.3 : non-mutagen (0.000)</v>
          </cell>
          <cell r="O73" t="str">
            <v>자료없음</v>
          </cell>
          <cell r="P73" t="str">
            <v>랫드 경구투여 LD50=1390mg/kg 졸림, 위궤양, 위출혈,간 변화</v>
          </cell>
          <cell r="Q73" t="str">
            <v>자료없음</v>
          </cell>
          <cell r="R73" t="str">
            <v>자료없음</v>
          </cell>
          <cell r="S73" t="str">
            <v>해당없음</v>
          </cell>
          <cell r="T73" t="str">
            <v>LC50 6.62 ㎎/ℓ 96 hr (THOMSON;Loli)</v>
          </cell>
          <cell r="U73" t="str">
            <v>자료없음</v>
          </cell>
          <cell r="V73" t="str">
            <v>자료없음</v>
          </cell>
          <cell r="W73" t="str">
            <v>log Kow 3.17 (Estimate)</v>
          </cell>
          <cell r="X73" t="str">
            <v>BOD 810000 (NITE)</v>
          </cell>
          <cell r="Y73" t="str">
            <v>BCF 57.02 (Estimate)</v>
          </cell>
          <cell r="Z73" t="str">
            <v>자료없음</v>
          </cell>
          <cell r="AA73" t="str">
            <v>자료없음</v>
          </cell>
          <cell r="AB73" t="str">
            <v>해당없음</v>
          </cell>
        </row>
        <row r="74">
          <cell r="A74" t="str">
            <v>1222-05-5</v>
          </cell>
          <cell r="B74" t="str">
            <v>MUSK CONCENTRATE</v>
          </cell>
          <cell r="C74" t="str">
            <v>해당없음</v>
          </cell>
          <cell r="D74" t="str">
            <v>해당없음</v>
          </cell>
          <cell r="E74" t="str">
            <v>해당없음</v>
          </cell>
          <cell r="F74" t="str">
            <v>LD50 &gt;5,000 ㎎/㎏ (Rat) (IUCLID, NLM, chemIDplus, HSDB, TOMES;LOLI)</v>
          </cell>
          <cell r="G74" t="str">
            <v>LD50 &gt;3,250 ㎎/㎏  (Rabbit) (IUCLID, ECB RAR, TOMES;LOLI)</v>
          </cell>
          <cell r="H74" t="str">
            <v>자료없음</v>
          </cell>
          <cell r="I74" t="str">
            <v>자료없음</v>
          </cell>
          <cell r="J74" t="str">
            <v>토끼-자극성 없음(IUCLID;ECB RARA)</v>
          </cell>
          <cell r="K74" t="str">
            <v>자료없음</v>
          </cell>
          <cell r="L74" t="str">
            <v>기니피그-과민성 없음(IUCLID;ECB RARA)</v>
          </cell>
          <cell r="M74" t="str">
            <v>해당없음</v>
          </cell>
          <cell r="N74" t="str">
            <v>시험관내 박테리아를 이용한 복귀돌연변이시험 결과, 대사활성계 유무에 관계없이 음성 OECD TG 471 / In vitro 소핵시험 음성 / In vitro 자매 염색 분체 교환 시험 음성 / In vitro미예정 DNA 합성시험 음성 / in-vivo 포유동물 적혈구 소핵시험 음성 OECD Guideline 474 GLP / in vivo mammalian comet assay 결과, 전반적으로 골수, 십이지장 및 간에서 genotoxity가 발견되지 않았으며, 위장에서의 결과는 모호하므로 분류에 적용하기에 충분치 않음 (ECHA)</v>
          </cell>
          <cell r="O74" t="str">
            <v>NOAEL=50 mg/kg/day(모체독성), NOAEL=150 mg/kg/day(발달독성), 7~17일 임신한 랫드에 HHCB를 100, 250, 500 or 1000 mg/kg bw/day의 농도로 위장관 투여한 결과, 500 mg/kg bw/day의 농도에서 태아의 골격기형 발생률 증가 및 골화 감소 관찰되나, 1272 / 2008 / EC의 부록 I에 기재된 바와 같이 추가적인 독성 자료(인간이 동물보다 더 민감 할 수 있음을 나타내는 독성 역학 정보 등 )없이 단독으로 분류에 적용하기엔 정보가 불충분함 (ECHA)</v>
          </cell>
          <cell r="P74" t="str">
            <v>자료없음</v>
          </cell>
          <cell r="Q74" t="str">
            <v>암수 랫드에 0, 5, 15, 50, or 150 mg/kg bw/day로 13주동안 음식물에 넣어 노출한 결과, 안구에 변화 없었고, 생식기관이나 골수에 조직병리학적인 이상이 발견되지 않았다.(OECD TG408, GLP)(IUCLID;ECB RAR)</v>
          </cell>
          <cell r="R74" t="str">
            <v>자료없음</v>
          </cell>
          <cell r="S74" t="str">
            <v>해당없음</v>
          </cell>
          <cell r="T74" t="str">
            <v>LC50 0.39 ㎎/ℓ 96 hr Brachydanio rerio</v>
          </cell>
          <cell r="U74" t="str">
            <v>EC50 885 µg/L (Daphnia magna) (RIFM Database)</v>
          </cell>
          <cell r="V74" t="str">
            <v>EC50 0.723 ㎎/ℓ 72 hr (Pseudokirchneriella subcapitata)(ECHA)</v>
          </cell>
          <cell r="W74" t="str">
            <v>log Kow 5.99 (IUCLID, ECB RAR)</v>
          </cell>
          <cell r="X74" t="str">
            <v>자료없음</v>
          </cell>
          <cell r="Y74" t="str">
            <v>BCF 624 (Possibility of bioaccumulation) (Estimate)</v>
          </cell>
          <cell r="Z74" t="str">
            <v>Under test conditions no biodegradation observed (ECHA) 0 %, 28 day (not degraded and has a high potential to accumulate in vivo)</v>
          </cell>
          <cell r="AA74" t="str">
            <v>Koc 12530 (Can be adsorbed in the soil, Estimates)</v>
          </cell>
          <cell r="AB74" t="str">
            <v>해당없음</v>
          </cell>
        </row>
        <row r="75">
          <cell r="A75" t="str">
            <v>122-40-7</v>
          </cell>
          <cell r="B75" t="str">
            <v>ALPHA-AMYL CINNAMIC ALDEHYDE</v>
          </cell>
          <cell r="C75" t="str">
            <v>해당없음</v>
          </cell>
          <cell r="D75" t="str">
            <v>해당없음</v>
          </cell>
          <cell r="E75" t="str">
            <v>해당없음</v>
          </cell>
          <cell r="F75" t="str">
            <v>LD50 3730 ㎎/㎏ Rat</v>
          </cell>
          <cell r="G75" t="str">
            <v>자료없음</v>
          </cell>
          <cell r="H75" t="str">
            <v>자료없음</v>
          </cell>
          <cell r="I75" t="str">
            <v>Rabbit, ROUTE: Skin; DOSE: 100 mg/24H; REACTION: Severe(심각한 자극성)</v>
          </cell>
          <cell r="J75" t="str">
            <v>자료없음</v>
          </cell>
          <cell r="K75" t="str">
            <v>자료없음</v>
          </cell>
          <cell r="L75" t="str">
            <v>자료없음</v>
          </cell>
          <cell r="M75" t="str">
            <v>해당없음</v>
          </cell>
          <cell r="N75" t="str">
            <v>자료없음</v>
          </cell>
          <cell r="O75" t="str">
            <v>자료없음</v>
          </cell>
          <cell r="P75" t="str">
            <v>자료없음</v>
          </cell>
          <cell r="Q75" t="str">
            <v>자료없음</v>
          </cell>
          <cell r="R75" t="str">
            <v>자료없음</v>
          </cell>
          <cell r="S75" t="str">
            <v>해당없음</v>
          </cell>
          <cell r="T75" t="str">
            <v>LC50 0.91 ㎎/ℓ 96 hr Oryzias latipes (NITE)</v>
          </cell>
          <cell r="U75" t="str">
            <v>EC50 0.28 ㎎/ℓ 48 hr (NITE)</v>
          </cell>
          <cell r="V75" t="str">
            <v>EC50 &gt;1.5 ㎎/ℓ 72 hr (NITE)</v>
          </cell>
          <cell r="W75" t="str">
            <v>log Kow 4.33 (NITE)</v>
          </cell>
          <cell r="X75" t="str">
            <v>자료없음</v>
          </cell>
          <cell r="Y75" t="str">
            <v>BCF 334.1 (Estimate)</v>
          </cell>
          <cell r="Z75" t="str">
            <v>51 %, 28 day (OECD TG 301) (NITE)</v>
          </cell>
          <cell r="AA75" t="str">
            <v>Koc 1233 (Can be adsorbed in the soil) (estimate)</v>
          </cell>
          <cell r="AB75" t="str">
            <v>해당없음</v>
          </cell>
        </row>
        <row r="76">
          <cell r="A76" t="str">
            <v>122-63-4</v>
          </cell>
          <cell r="B76" t="str">
            <v>BENZYL PROPIONATE</v>
          </cell>
          <cell r="C76" t="str">
            <v>해당없음</v>
          </cell>
          <cell r="D76" t="str">
            <v>해당없음</v>
          </cell>
          <cell r="E76" t="str">
            <v>해당없음</v>
          </cell>
          <cell r="F76" t="str">
            <v>LD50 3300 ㎎/㎏ Rat</v>
          </cell>
          <cell r="G76" t="str">
            <v>LD50 &gt; 5000 ㎎/㎏ Rabbit</v>
          </cell>
          <cell r="H76" t="str">
            <v>자료없음</v>
          </cell>
          <cell r="I76" t="str">
            <v>자료없음</v>
          </cell>
          <cell r="J76" t="str">
            <v>자료없음</v>
          </cell>
          <cell r="K76" t="str">
            <v>자료없음</v>
          </cell>
          <cell r="L76" t="str">
            <v>자료없음</v>
          </cell>
          <cell r="M76" t="str">
            <v>해당없음</v>
          </cell>
          <cell r="N76" t="str">
            <v>자료없음</v>
          </cell>
          <cell r="O76" t="str">
            <v>자료없음</v>
          </cell>
          <cell r="P76" t="str">
            <v>자료없음</v>
          </cell>
          <cell r="Q76" t="str">
            <v>자료없음</v>
          </cell>
          <cell r="R76" t="str">
            <v>자료없음</v>
          </cell>
          <cell r="S76" t="str">
            <v>해당없음</v>
          </cell>
          <cell r="T76" t="str">
            <v>LC50 12.315 ㎎/ℓ 96 hr (Estimate)</v>
          </cell>
          <cell r="U76" t="str">
            <v>LC50 39.508 ㎎/ℓ 48 hr (Estimate)</v>
          </cell>
          <cell r="V76" t="str">
            <v>EC50 1.001 ㎎/ℓ 96 hr (Estimate)</v>
          </cell>
          <cell r="W76" t="str">
            <v>log Kow 2.57</v>
          </cell>
          <cell r="X76" t="str">
            <v>자료없음</v>
          </cell>
          <cell r="Y76" t="str">
            <v>자료없음</v>
          </cell>
          <cell r="Z76" t="str">
            <v>자료없음</v>
          </cell>
          <cell r="AA76" t="str">
            <v>자료없음</v>
          </cell>
          <cell r="AB76" t="str">
            <v>해당없음</v>
          </cell>
          <cell r="AC76"/>
        </row>
        <row r="77">
          <cell r="A77" t="str">
            <v>122-78-1</v>
          </cell>
          <cell r="B77" t="str">
            <v>PHENYL ACETALDEHYDE</v>
          </cell>
          <cell r="C77" t="str">
            <v>해당없음</v>
          </cell>
          <cell r="D77" t="str">
            <v>해당없음</v>
          </cell>
          <cell r="E77" t="str">
            <v>해당없음</v>
          </cell>
          <cell r="F77" t="str">
            <v>LD50 1550 ㎎/㎏ Rat</v>
          </cell>
          <cell r="G77" t="str">
            <v>LD50 5000 ㎎/㎏ Rabbit</v>
          </cell>
          <cell r="H77" t="str">
            <v>자료없음</v>
          </cell>
          <cell r="I77" t="str">
            <v>자료없음</v>
          </cell>
          <cell r="J77" t="str">
            <v>자료없음</v>
          </cell>
          <cell r="K77" t="str">
            <v>자료없음</v>
          </cell>
          <cell r="L77" t="str">
            <v>자료없음</v>
          </cell>
          <cell r="M77" t="str">
            <v>해당없음</v>
          </cell>
          <cell r="N77" t="str">
            <v>자료없음</v>
          </cell>
          <cell r="O77" t="str">
            <v>자료없음</v>
          </cell>
          <cell r="P77" t="str">
            <v>자료없음</v>
          </cell>
          <cell r="Q77" t="str">
            <v>자료없음</v>
          </cell>
          <cell r="R77" t="str">
            <v>자료없음</v>
          </cell>
          <cell r="S77" t="str">
            <v>해당없음</v>
          </cell>
          <cell r="T77" t="str">
            <v>LC50 14.043 ㎎/ℓ 96 hr (Estimate)</v>
          </cell>
          <cell r="U77" t="str">
            <v>LC50 12.189 ㎎/ℓ 48 hr (Estimate)</v>
          </cell>
          <cell r="V77" t="str">
            <v>EC50 152.34 ㎎/ℓ 96 hr (Estimate)</v>
          </cell>
          <cell r="W77" t="str">
            <v>log Kow 1.78</v>
          </cell>
          <cell r="X77" t="str">
            <v>자료없음</v>
          </cell>
          <cell r="Y77" t="str">
            <v>자료없음</v>
          </cell>
          <cell r="Z77" t="str">
            <v>자료없음</v>
          </cell>
          <cell r="AA77" t="str">
            <v>자료없음</v>
          </cell>
          <cell r="AB77" t="str">
            <v>해당없음</v>
          </cell>
          <cell r="AC77"/>
        </row>
        <row r="78">
          <cell r="A78" t="str">
            <v>122-97-4</v>
          </cell>
          <cell r="B78" t="str">
            <v>PHENYL PROPYL ALCOHOL</v>
          </cell>
          <cell r="C78" t="str">
            <v>해당없음</v>
          </cell>
          <cell r="D78" t="str">
            <v>해당없음</v>
          </cell>
          <cell r="E78" t="str">
            <v>해당없음</v>
          </cell>
          <cell r="F78" t="str">
            <v>LD50 2,300 ㎎/㎏  (Rat) (NLM, THOMSON)</v>
          </cell>
          <cell r="G78" t="str">
            <v>LD50 ≥5,000 ㎎/㎏  (Rabbit) (NLM)</v>
          </cell>
          <cell r="H78" t="str">
            <v>자료없음</v>
          </cell>
          <cell r="I78" t="str">
            <v>자료없음</v>
          </cell>
          <cell r="J78" t="str">
            <v>자료없음</v>
          </cell>
          <cell r="K78" t="str">
            <v>자료없음</v>
          </cell>
          <cell r="L78" t="str">
            <v>자료없음</v>
          </cell>
          <cell r="M78" t="str">
            <v>해당없음</v>
          </cell>
          <cell r="N78" t="str">
            <v>자료없음</v>
          </cell>
          <cell r="O78" t="str">
            <v>자료없음</v>
          </cell>
          <cell r="P78" t="str">
            <v>자료없음</v>
          </cell>
          <cell r="Q78" t="str">
            <v>자료없음</v>
          </cell>
          <cell r="R78" t="str">
            <v>자료없음</v>
          </cell>
          <cell r="S78" t="str">
            <v>해당없음</v>
          </cell>
          <cell r="T78" t="str">
            <v>LC50 88.667 ㎎/ℓ 96 hr(ECOSAR)</v>
          </cell>
          <cell r="U78" t="str">
            <v>LC50 95.403 ㎎/ℓ 48 hr (ECOSAR)</v>
          </cell>
          <cell r="V78" t="str">
            <v>EC50 59.850 ㎎/ℓ 96 hr (ECOSAR)</v>
          </cell>
          <cell r="W78" t="str">
            <v>자료없음</v>
          </cell>
          <cell r="X78" t="str">
            <v>자료없음</v>
          </cell>
          <cell r="Y78" t="str">
            <v>자료없음</v>
          </cell>
          <cell r="Z78" t="str">
            <v>자료없음</v>
          </cell>
          <cell r="AA78" t="str">
            <v>자료없음</v>
          </cell>
          <cell r="AB78" t="str">
            <v>해당없음</v>
          </cell>
        </row>
        <row r="79">
          <cell r="A79" t="str">
            <v>122-99-6</v>
          </cell>
          <cell r="B79" t="str">
            <v>PHENOXY ETHYL ALCOHOL</v>
          </cell>
          <cell r="C79" t="str">
            <v>해당없음</v>
          </cell>
          <cell r="D79" t="str">
            <v>해당없음</v>
          </cell>
          <cell r="E79" t="str">
            <v>해당없음</v>
          </cell>
          <cell r="F79" t="str">
            <v>LD50 1260 ㎎/㎏ Rat (SIDS), LD50 1840 mg/kg Rat (OECD TG 401) (EU Harmonized Cat. 4) (ECHA)</v>
          </cell>
          <cell r="G79" t="str">
            <v>LD50 14300 ㎎/㎏ Rat (SIDS), LD50 &gt; 2000 mg/kg Rat (OECD TG 402, GLP) (ECHA)</v>
          </cell>
          <cell r="H79" t="str">
            <v>Aerosol LC50 &gt; 1 mg/L air (&gt; 6 hr) Rat No death Not classified (OECD TG 412, GLP) (ECHA)</v>
          </cell>
          <cell r="I79" t="str">
            <v>사람 피부에서 자극 반응이 보이지 않음, 토끼 피부에 약한 자극 (SIDS), 토끼를 대상으로 피부
부식성/자극성 시험 결과 분류되지 않음 (OECD TG 404) (ECHA)</v>
          </cell>
          <cell r="J79" t="str">
            <v>토끼를 대상으로 심한 눈 손상성/자극성 시험 결과 눈에 심한 손상을 일으킴 (OECD TG 405)
(EU Harmonized Cat. 1) (ECHA)</v>
          </cell>
          <cell r="K79" t="str">
            <v>자료없음</v>
          </cell>
          <cell r="L79" t="str">
            <v>기니피그 대상 시험 과민성 없음 (IUCLID), 기니피그를 대상으로 피부 과민성 시험 결과 알레르
기성 피부 반응을 일으키지 않음 (OECD TG 406, GLP) (ECHA)</v>
          </cell>
          <cell r="M79" t="str">
            <v>해당없음</v>
          </cell>
          <cell r="N79" t="str">
            <v xml:space="preserve"> In vitro 미생물을 이용한 복귀돌연변이시험 결과 대사활성계 유무에 관계없이 음성 (OECD TG
471, GLP), In vivo 마우스를 대상으로 포유류 적혈구 소핵 검사 시험 결과 음성 (OECD TG 474, GLP), In vivo 랫드를 대상으로 포
유류 간 세포를 이용한 예정되지 않은 DNA 합성(UDS) 시험 결과 음성 (OECD TG 486, GLP), In vivo 랫드를 대상으로 포유류 골
수 염색체 이상 검사 결과 음성 (OECD TG 475, GLP) (ECHA)</v>
          </cell>
          <cell r="O79" t="str">
            <v>마우스를 대상으로 2세대 생식독성 시험 결과 탈수 증상 및 체중 감소 등이 관찰됨. 그외 생식
력에는 영향을 미치지 않음. NOAEL 375 mg/kg bw/day, 랫드를 대상으로 태아 발달 독성 연구 결과 부모 동물의 체중 및 음식
섭취량 감소 등이 관찰됨. 배아 또는 태아 독성 영향이 없음. NOAEL(모성독성) ca. 300 mg/kg bw/day. NOAEL(태아독성) 1000
mg/kg bw/day (OECD TG 414, GLP) (ECHA)</v>
          </cell>
          <cell r="P79" t="str">
            <v>눈, 피부 및 호흡 기관에 자극. 손상한 기능의 결과로 중앙 신경 조직 및 말초 신경계에 대한 영
향을 일으키는 원인 가능(ICSC), 쥐를 이용한 경구 투여 시험에서 활동 저하, 반사 및 호흡 억제, 혼수 등 중추 신경 억제 작용 관
찰 (SIDS (2005)), 호흡기계 자극을 일으킬 수 있음 (EU Harmonised Cat. 3) (ECHA)</v>
          </cell>
          <cell r="Q79" t="str">
            <v>랫드를 대상으로 90일 반복투여(경구)독성시험 결과 체중의 유의한 감소 및 장기 무게 변화 등
이 관찰됨. 그외 치명적인 영향이 관찰되지 않음. NOAEL 369 mg/kg bw/day (OECD TG 408, GLP), 토끼를 대상으로 90일 아만성
피부 독성 시험 결과 치명적인 영향이 관찰되지 않음. NOAEL 500 mg/kg bw/day (OECD TG 411, GLP) (ECHA)</v>
          </cell>
          <cell r="R79" t="str">
            <v>자료없음</v>
          </cell>
          <cell r="S79" t="str">
            <v>해당없음</v>
          </cell>
          <cell r="T79" t="str">
            <v>LC50 344 ㎎/ℓ 96 hr Pimephales promelas, NOEC 23 ㎎/ℓ 34 d Pimephales promelas (OECDTG 210, GLP) (ECHA)</v>
          </cell>
          <cell r="U79" t="str">
            <v>EC50 &gt; 500 ㎎/ℓ 48 hr Daphnia magna (OECD TG 202), NOEC 9.43 ㎎/ℓ 21 d Daphnia
magna (OECD TG 211, GLP) (ECHA)</v>
          </cell>
          <cell r="V79" t="str">
            <v xml:space="preserve"> EC50 &gt; 100 mg/L 72 hr, NOEC 46 mg/L 72 hr Desmodesmus subspicatus (OECD TG 201,
GLP) (ECHA)</v>
          </cell>
          <cell r="W79" t="str">
            <v>log Kow 1.2 (ICSC), log Pow 1.2 (23 ℃) (EU Method A.8, GLP) (ECHA)</v>
          </cell>
          <cell r="X79" t="str">
            <v>자료없음</v>
          </cell>
          <cell r="Y79" t="str">
            <v>BCF 0.349 dimensionless (calculation) (ECHA)</v>
          </cell>
          <cell r="Z79" t="str">
            <v>Readily biodegradable, &gt; 90 % 15 d (DOC removal) (OECD TG 301 A, GLP) (ECHA)</v>
          </cell>
          <cell r="AA79" t="str">
            <v>Koc 40.74 (OECD TG 121, GLP) (ECHA)</v>
          </cell>
          <cell r="AB79" t="str">
            <v>해당없음</v>
          </cell>
          <cell r="AC79"/>
        </row>
        <row r="80">
          <cell r="A80" t="str">
            <v>123-11-5</v>
          </cell>
          <cell r="B80" t="str">
            <v>ANISALDEHYDE</v>
          </cell>
          <cell r="C80" t="str">
            <v>해당없음</v>
          </cell>
          <cell r="D80" t="str">
            <v>해당없음</v>
          </cell>
          <cell r="E80" t="str">
            <v>해당없음</v>
          </cell>
          <cell r="F80" t="str">
            <v>LD50 1510 ㎎/㎏ Rat(NLM)</v>
          </cell>
          <cell r="G80" t="str">
            <v>LD50 &gt; 5000 ㎎/㎏ Rabbit(NLM)</v>
          </cell>
          <cell r="H80" t="str">
            <v>자료없음</v>
          </cell>
          <cell r="I80" t="str">
            <v>토끼 자극(24hr)(NLM)</v>
          </cell>
          <cell r="J80" t="str">
            <v>자료없음</v>
          </cell>
          <cell r="K80" t="str">
            <v>자료없음</v>
          </cell>
          <cell r="L80" t="str">
            <v>자료없음</v>
          </cell>
          <cell r="M80" t="str">
            <v>해당없음</v>
          </cell>
          <cell r="N80" t="str">
            <v>마우스 림프종양 양성(NLM)</v>
          </cell>
          <cell r="O80" t="str">
            <v>자료없음</v>
          </cell>
          <cell r="P80" t="str">
            <v>자료없음</v>
          </cell>
          <cell r="Q80" t="str">
            <v>자료없음</v>
          </cell>
          <cell r="R80" t="str">
            <v>자료없음</v>
          </cell>
          <cell r="S80" t="str">
            <v>해당없음</v>
          </cell>
          <cell r="T80" t="str">
            <v>LC50 40 ㎎/ℓ 96 hr Oryzias latipes (NITE)</v>
          </cell>
          <cell r="U80" t="str">
            <v>LC50 45 ㎎/ℓ 48 hr Daphnia magna (NITE)</v>
          </cell>
          <cell r="V80" t="str">
            <v>자료없음</v>
          </cell>
          <cell r="W80" t="str">
            <v>log Kow 1.76</v>
          </cell>
          <cell r="X80" t="str">
            <v>자료없음</v>
          </cell>
          <cell r="Y80" t="str">
            <v>자료없음</v>
          </cell>
          <cell r="Z80" t="str">
            <v>자료없음</v>
          </cell>
          <cell r="AA80" t="str">
            <v>자료없음</v>
          </cell>
          <cell r="AB80" t="str">
            <v>해당없음</v>
          </cell>
          <cell r="AC80"/>
        </row>
        <row r="81">
          <cell r="A81" t="str">
            <v>123-32-0</v>
          </cell>
          <cell r="B81" t="str">
            <v>2,5-DIMETHYL PYRAZINE</v>
          </cell>
          <cell r="C81" t="str">
            <v>해당없음</v>
          </cell>
          <cell r="D81" t="str">
            <v>해당없음</v>
          </cell>
          <cell r="E81" t="str">
            <v>해당없음</v>
          </cell>
          <cell r="F81" t="str">
            <v>LD50 1020 ㎎/㎏ Rat (National Library of Medicine(http://toxnet.nlm.nih.gov/cgibin/sis/htmlgen?CHEM))</v>
          </cell>
          <cell r="G81" t="str">
            <v>자료없음</v>
          </cell>
          <cell r="H81" t="str">
            <v>자료없음</v>
          </cell>
          <cell r="I81" t="str">
            <v>자료없음</v>
          </cell>
          <cell r="J81" t="str">
            <v>자료없음</v>
          </cell>
          <cell r="K81" t="str">
            <v>자료없음</v>
          </cell>
          <cell r="L81" t="str">
            <v>자료없음</v>
          </cell>
          <cell r="M81" t="str">
            <v>해당없음</v>
          </cell>
          <cell r="N81" t="str">
            <v>자료없음</v>
          </cell>
          <cell r="O81" t="str">
            <v>자료없음</v>
          </cell>
          <cell r="P81" t="str">
            <v>자료없음</v>
          </cell>
          <cell r="Q81" t="str">
            <v>자료없음</v>
          </cell>
          <cell r="R81" t="str">
            <v>자료없음</v>
          </cell>
          <cell r="S81" t="str">
            <v>해당없음</v>
          </cell>
          <cell r="T81" t="str">
            <v>LC50 589.090 ㎎/ℓ 96 hr (Estimate)</v>
          </cell>
          <cell r="U81" t="str">
            <v>LC50 586.443 ㎎/ℓ 48 hr (Estimate)</v>
          </cell>
          <cell r="V81" t="str">
            <v>EC50 288.016 ㎎/ℓ 96 hr (Estimate)</v>
          </cell>
          <cell r="W81" t="str">
            <v>log Kow 0.63 (Exp) (NLM)</v>
          </cell>
          <cell r="X81" t="str">
            <v>자료없음</v>
          </cell>
          <cell r="Y81" t="str">
            <v>BCF 3.16 (Estimate)</v>
          </cell>
          <cell r="Z81" t="str">
            <v>(Cut-off value 0.4898; Non-degradable(BIOWIN5)) (estimate)</v>
          </cell>
          <cell r="AA81" t="str">
            <v>Koc 1.98 (estimate)</v>
          </cell>
          <cell r="AB81" t="str">
            <v>해당없음</v>
          </cell>
          <cell r="AC81"/>
        </row>
        <row r="82">
          <cell r="A82" t="str">
            <v>123-35-3</v>
          </cell>
          <cell r="B82" t="str">
            <v>MYRCENE</v>
          </cell>
          <cell r="C82" t="str">
            <v>해당없음</v>
          </cell>
          <cell r="D82" t="str">
            <v>해당없음</v>
          </cell>
          <cell r="E82" t="str">
            <v>해당없음</v>
          </cell>
          <cell r="F82" t="str">
            <v>LD50 &gt; 5000 ㎎/㎏ Rat (NLM)</v>
          </cell>
          <cell r="G82" t="str">
            <v>LD50 &gt; 5000 ㎎/㎏ Rabbit (NLM)</v>
          </cell>
          <cell r="H82" t="str">
            <v>자료없음</v>
          </cell>
          <cell r="I82" t="str">
            <v>토끼 자극 (IUCLID)</v>
          </cell>
          <cell r="J82" t="str">
            <v>자료없음</v>
          </cell>
          <cell r="K82" t="str">
            <v>인체 무과민성 (IUCLID)</v>
          </cell>
          <cell r="L82" t="str">
            <v>인체 무과민성 (IUCLID)</v>
          </cell>
          <cell r="M82" t="str">
            <v>해당없음</v>
          </cell>
          <cell r="N82" t="str">
            <v>햄스터 음성(NLM)</v>
          </cell>
          <cell r="O82" t="str">
            <v>자료없음</v>
          </cell>
          <cell r="P82" t="str">
            <v>자료없음</v>
          </cell>
          <cell r="Q82" t="str">
            <v>면역계 이산 또는 알레르기</v>
          </cell>
          <cell r="R82" t="str">
            <v>자료없음</v>
          </cell>
          <cell r="S82" t="str">
            <v>해당없음</v>
          </cell>
          <cell r="T82" t="str">
            <v>LC50 0.92 ㎎/ℓ 96 hr Oryzias latipes (NITE)</v>
          </cell>
          <cell r="U82" t="str">
            <v>LC50 0.45 ㎎/ℓ 48 hr Daphnia magna (NITE)</v>
          </cell>
          <cell r="V82" t="str">
            <v>자료없음</v>
          </cell>
          <cell r="W82" t="str">
            <v>log Kow 4.17 (NITE)</v>
          </cell>
          <cell r="X82" t="str">
            <v>82 ~ 92 %, 14 days (IUCLID)</v>
          </cell>
          <cell r="Y82" t="str">
            <v>자료없음</v>
          </cell>
          <cell r="Z82" t="str">
            <v>자료없음</v>
          </cell>
          <cell r="AA82" t="str">
            <v>자료없음</v>
          </cell>
          <cell r="AB82" t="str">
            <v>해당없음</v>
          </cell>
          <cell r="AC82"/>
        </row>
        <row r="83">
          <cell r="A83" t="str">
            <v>123-51-3</v>
          </cell>
          <cell r="B83" t="str">
            <v>ISO AMYL ALCOHOL</v>
          </cell>
          <cell r="C83" t="str">
            <v xml:space="preserve"> TWA : 100 ppm, STEL : 125 ppm</v>
          </cell>
          <cell r="D83" t="str">
            <v>해당없음</v>
          </cell>
          <cell r="E83" t="str">
            <v>해당없음</v>
          </cell>
          <cell r="F83" t="str">
            <v>LD50 4300 ㎎/㎏ Rat (RTECS)</v>
          </cell>
          <cell r="G83" t="str">
            <v>LD50 3250 ㎎/㎏ rabbit (ACGIH)</v>
          </cell>
          <cell r="H83" t="str">
            <v>자료없음</v>
          </cell>
          <cell r="I83" t="str">
            <v>토끼를 대상으로 피부부식성/자극성 시험 결과, 자극성을 나타냄 홍반지수 : 2.4/4, 부종지수: 2.1/4 (ECHA) 동물에서 약한 자극을 일으킴. (ACGIH)</v>
          </cell>
          <cell r="J83" t="str">
            <v>토끼 눈에 강한 자극을 일으킴. (ACGIH, NITE) 토끼를 대상으로 심한눈손상/자극성 시험 결과, 눈에 자극을 일으킴각막지수:1.1/4, 홍채지수:0.3/2, 결막지수:2.8/3, 결막부종지수:1.1/4 (ECHA)</v>
          </cell>
          <cell r="K83" t="str">
            <v>자료없음</v>
          </cell>
          <cell r="L83" t="str">
            <v>피부에 대해서는 사람에게서 확실한 양성 결과는 없고, 과민성은 인정받지 않았다고 여겨짐 (IUCLID, NITE)</v>
          </cell>
          <cell r="M83" t="str">
            <v>해당없음</v>
          </cell>
          <cell r="N83" t="str">
            <v>시험관 내 포유류 세포 유전자 변이 시험 결과, 대사활성계 유무에 관계없이 음성 시험관 내 포유류 세포 미소핵 시험 결과, 대사활성계 없는 경우 음성 생체 내 포유류 적혈구 미소핵 시험 결과, 음성 GLP, OECD Guideline 474 (ECHA)</v>
          </cell>
          <cell r="O83" t="str">
            <v>랫드를 대상으로 복합반복투여독성 생식/발달 독성스크리닝 시험 결과, 가장 높은 농도까지 특별한 증상이 나타나지 않음 NOAEL P, F1=300mg/kg bw/day actual dose received OECD TG 422, GLP 랫드를 대상으로 태아 발달 독성시험결과, 특별한 영향은 관찰되지 않음 NOAELmaternal toxicity=2.5 mg/L air nominal, NOAELteratogenicity=10 mg/L air nominal OECD TG 414, GLP 토끼를 대상으로 태아 발달 독성 시험결과, 모체 독성: 약간, 통계적으로 노출기간 동안 유의하게 10mg/L 농도군의 새끼들의 체중 증가량이 지연됨, 노출기간동안 새끼의 눈에 자극을 유발함NOAELmaternal toxicity=2.5 mg/L air nominal, NOAELteratogenicity=10 mg/L air nominal OECD TG 414, GLP (ECHA)</v>
          </cell>
          <cell r="P83" t="str">
            <v>사람에서 흡입 노출에 의해 기도 자극성, 경구 섭취로 중추신경 억제가 나타남. (NITE) 랫드 호흡저감률 RD50=2.63 mg/L로 호흡기 자극성 있음 , 표적장기 : 호흡기계</v>
          </cell>
          <cell r="Q83" t="str">
            <v>랫드를 대상으로 설치류 반복투여 90일 경구 독성 시험 결과, 물질로 인한 증상은 관찰되지 않음, 명백하게 독성이 나타난 농도군은 1250 mg/kg bw/day임 NOAEL=1 250 mg/kg bw/day nominal GLP, OECD Guideline 408 랫드를대상으로 아만성 흡입신경독성 시험 결과, 가장높은 농도군에서도 신경계 기능 또는 구조에 영향이 지속 및 지연의 증거 부족 따라서 설정된 시험 농도에서는 특별한 증상이 발현되지 않음 NOEL neurotoxicity≥ 6 400 mg/m³ air nominal GLP, TSCA Test Guidelines</v>
          </cell>
          <cell r="R83" t="str">
            <v>자료없음</v>
          </cell>
          <cell r="S83" t="str">
            <v>해당없음</v>
          </cell>
          <cell r="T83" t="str">
            <v>LC50 700 ㎎/ℓ  96 hr Oncorhynchus mykiss(Static, OECD Guideline 203) (ECHA)</v>
          </cell>
          <cell r="U83" t="str">
            <v>EC50 260 ㎎/ℓ 48 hr (IUCLID) EC50 255 ㎎/ℓ  48 hr Daphnia magna(OECD TG 202) (ECHA)</v>
          </cell>
          <cell r="V83" t="str">
            <v>EC50 274 ㎎/ℓ  72 hr Other(DIN 38412 Part 9) (ECHA)</v>
          </cell>
          <cell r="W83" t="str">
            <v>log Kow 1.35 (pH=ca. 6.5, OECD TG 107) (ECHA)</v>
          </cell>
          <cell r="X83" t="str">
            <v>자료없음</v>
          </cell>
          <cell r="Y83" t="str">
            <v>자료없음</v>
          </cell>
          <cell r="Z83" t="str">
            <v>84 %,  27 day (OECD TG 301F) (ECHA)</v>
          </cell>
          <cell r="AA83" t="str">
            <v>Koc 5.32 (estimate) (ECHA)</v>
          </cell>
          <cell r="AB83" t="str">
            <v>해당없음</v>
          </cell>
          <cell r="AC83"/>
        </row>
        <row r="84">
          <cell r="A84" t="str">
            <v>123-66-0</v>
          </cell>
          <cell r="B84" t="str">
            <v>ETHYL CAPROATE</v>
          </cell>
          <cell r="C84" t="str">
            <v>해당없음</v>
          </cell>
          <cell r="D84" t="str">
            <v>해당없음</v>
          </cell>
          <cell r="E84" t="str">
            <v>해당없음</v>
          </cell>
          <cell r="F84" t="str">
            <v>LD50 20,000 ㎎/㎏ (Rat)</v>
          </cell>
          <cell r="G84" t="str">
            <v>자료없음</v>
          </cell>
          <cell r="H84" t="str">
            <v>자료없음</v>
          </cell>
          <cell r="I84" t="str">
            <v>토끼 약한 자극(24hr)</v>
          </cell>
          <cell r="J84" t="str">
            <v>자료없음</v>
          </cell>
          <cell r="K84" t="str">
            <v>자료없음</v>
          </cell>
          <cell r="L84" t="str">
            <v>자료없음</v>
          </cell>
          <cell r="M84" t="str">
            <v>해당없음</v>
          </cell>
          <cell r="N84" t="str">
            <v>자료없음</v>
          </cell>
          <cell r="O84" t="str">
            <v>자료없음</v>
          </cell>
          <cell r="P84" t="str">
            <v>자료없음</v>
          </cell>
          <cell r="Q84" t="str">
            <v>자료없음</v>
          </cell>
          <cell r="R84" t="str">
            <v>자료없음</v>
          </cell>
          <cell r="S84" t="str">
            <v>해당없음</v>
          </cell>
          <cell r="T84" t="str">
            <v>LC50 8.94 ㎎/ℓ 96 hr Pimephales promelas (ECOTOX)</v>
          </cell>
          <cell r="U84" t="str">
            <v>LC50 20.124 ㎎/ℓ 48 hr (Estimate)</v>
          </cell>
          <cell r="V84" t="str">
            <v>EC50 0.645 ㎎/ℓ 96 hr (Estimate)</v>
          </cell>
          <cell r="W84" t="str">
            <v>log Kow 2.83 (estimate) (ChemIDplus)</v>
          </cell>
          <cell r="X84" t="str">
            <v>자료없음</v>
          </cell>
          <cell r="Y84" t="str">
            <v>자료없음</v>
          </cell>
          <cell r="Z84" t="str">
            <v>자료없음</v>
          </cell>
          <cell r="AA84" t="str">
            <v>자료없음</v>
          </cell>
          <cell r="AB84" t="str">
            <v>해당없음</v>
          </cell>
          <cell r="AC84"/>
        </row>
        <row r="85">
          <cell r="A85" t="str">
            <v>123-68-2</v>
          </cell>
          <cell r="B85" t="str">
            <v>ALLYL CAPROATE</v>
          </cell>
          <cell r="C85" t="str">
            <v>해당없음</v>
          </cell>
          <cell r="D85" t="str">
            <v>해당없음</v>
          </cell>
          <cell r="E85" t="str">
            <v>해당없음</v>
          </cell>
          <cell r="F85" t="str">
            <v>LD50 218 ㎎/㎏ Rat</v>
          </cell>
          <cell r="G85" t="str">
            <v>LD50 300 ㎎/㎏ rabbit</v>
          </cell>
          <cell r="H85" t="str">
            <v>자료없음</v>
          </cell>
          <cell r="I85" t="str">
            <v>인체 약한 자극</v>
          </cell>
          <cell r="J85" t="str">
            <v>자료없음</v>
          </cell>
          <cell r="K85" t="str">
            <v>자료없음</v>
          </cell>
          <cell r="L85" t="str">
            <v>자료없음</v>
          </cell>
          <cell r="M85" t="str">
            <v>해당없음</v>
          </cell>
          <cell r="N85" t="str">
            <v>자료없음</v>
          </cell>
          <cell r="O85" t="str">
            <v>자료없음</v>
          </cell>
          <cell r="P85" t="str">
            <v>자료없음</v>
          </cell>
          <cell r="Q85" t="str">
            <v>자료없음</v>
          </cell>
          <cell r="R85" t="str">
            <v>자료없음</v>
          </cell>
          <cell r="S85" t="str">
            <v>해당없음</v>
          </cell>
          <cell r="T85" t="str">
            <v>LC50 5.527 ㎎/ℓ 96 hr (Estimate)</v>
          </cell>
          <cell r="U85" t="str">
            <v>LC50 10.470 ㎎/ℓ 48 hr (Estimate)</v>
          </cell>
          <cell r="V85" t="str">
            <v>EC50 0.460 ㎎/ℓ 96 hr (Estimate)</v>
          </cell>
          <cell r="W85" t="str">
            <v>log Kow 3.191 (20℃) (ECHA)</v>
          </cell>
          <cell r="X85" t="str">
            <v>자료없음</v>
          </cell>
          <cell r="Y85" t="str">
            <v>자료없음</v>
          </cell>
          <cell r="Z85" t="str">
            <v>자료없음</v>
          </cell>
          <cell r="AA85" t="str">
            <v>자료없음</v>
          </cell>
          <cell r="AB85" t="str">
            <v>해당없음</v>
          </cell>
          <cell r="AC85"/>
        </row>
        <row r="86">
          <cell r="A86" t="str">
            <v>123-86-4</v>
          </cell>
          <cell r="B86" t="str">
            <v>BUTYL ACETATE</v>
          </cell>
          <cell r="C86" t="str">
            <v>TWA : 150 ppm, STEL : 200 ppm</v>
          </cell>
          <cell r="D86" t="str">
            <v>TWA 50 ppm , STEL 150 ppm</v>
          </cell>
          <cell r="E86" t="str">
            <v>해당없음</v>
          </cell>
          <cell r="F86" t="str">
            <v>LD50 12789 mg/kg Rat (calculated,  12.2 ㎖/㎏, based on specific gravity of 0.882) (ECHA)</v>
          </cell>
          <cell r="G86" t="str">
            <v>LD50 &gt; 14112 mg/kg Rabbit (calculated,  16 ㎖/㎏, based on specific gravity of 0.882) (ECHA)</v>
          </cell>
          <cell r="H86" t="str">
            <v>Vapour LC50 &gt; 4.9 ㎎/ℓ 4 hr Rat (OECD Guideline 403, ECHA)</v>
          </cell>
          <cell r="I86" t="str">
            <v>토끼를 대상으로 피부부식성/자극성 시험 결과, 자극성을 나타내지 않음 (ECHA)</v>
          </cell>
          <cell r="J86" t="str">
            <v>토끼를 대상으로 심한눈손상/자극성 시험 결과, 눈에 자극을 일으키지 않음각막지수:0.33/4, 홍채지수:0.56/2, 결막지수1/3, 결막부종지수:0.33/4 OECD TG 405, GLP</v>
          </cell>
          <cell r="K86" t="str">
            <v>자료없음</v>
          </cell>
          <cell r="L86" t="str">
            <v>기니피그를 이용한 Buehler 시험 결과 비과민성 OECD TG 406</v>
          </cell>
          <cell r="M86" t="str">
            <v>해당없음</v>
          </cell>
          <cell r="N86" t="str">
            <v>시험관 내 미생물을 이용한 박테리아복귀돌연변이 시험 결과, 대사활성계 유무에 관계없이 음성 OECD Guideline 471 생체 내 포유류 적혈구 미소핵 시험 결과, 음성 OECD Guideline 474</v>
          </cell>
          <cell r="O86" t="str">
            <v>랫드를 대상으로 2세대 생식 독성 시험 결과, 1500ppm~2000ppm에서 체중, 체중증가량, 먹이섭취량 감소가 관찰됨 NOAELsystemic toxicity, adult rats=750 ppm nominal OECD TG 416, GLP 랫드를 대상으로 태아 발달 독성 시험결과, 체중 및 간 무게 감소, 새끼 크기 감소 및 늑골 기형이 관찰되었으나 발달 독성보다는 모체독성이 큰 것으로 판단됨</v>
          </cell>
          <cell r="P86" t="str">
            <v>사람에서 중추신경 장해, 폐수종, 호흡기계 자극을 일으킴. 표적장기 : 중추신경, 호흡기계. (NITE, 2009)</v>
          </cell>
          <cell r="Q86" t="str">
            <v>&lt;유사물질 CAS No. 71-36-3&gt; 랫드를 대상으로 설치류 90일 반복투여경구독성 시험 결과, 600mg/kg 농도군에서 노출 2~3분 후에 운동실조, 활동 저하 등의 중추신경계 이상이 관찰되었음 1시간 이내로 회복됨알코올 영향으로 보임 그외 특별한 영향은 관찰되지 않음 NOAEL=level:125 mg/kg bw/day nominal EPA OTS 798.2650, GLP 랫드를 대상으로 90일 흡입독성 시험 결과, 중간 및 가장 높은 농도에서 활동 수준 저하의 급성, 단기 증상이 관찰됨, 체중 및 먹이섭취량 감소, 비강의 상부호흡기 자극 증상이 관찰됨 NOAEC=500ppm GLP, EPA OTS 798.2450</v>
          </cell>
          <cell r="R86" t="str">
            <v>자료없음</v>
          </cell>
          <cell r="S86" t="str">
            <v>해당없음</v>
          </cell>
          <cell r="T86" t="str">
            <v>LC50 18 ㎎/ℓ 96 hr Pimephales promelas (OECD TG 203)(ECHA)</v>
          </cell>
          <cell r="U86" t="str">
            <v>EC50 44 ㎎/ℓ 48 hr Daphnia magna (ECHA)</v>
          </cell>
          <cell r="V86" t="str">
            <v>EC50 397mg/L 72hr, NOEC 105 mg/L 72hr Raphidocelis subcapitata (Read-across CAS No 110-19-0) (ECHA)</v>
          </cell>
          <cell r="W86" t="str">
            <v>log Kow 2.3  (25°C, OECD TG 117) log Kow 1.78 (HSDB)</v>
          </cell>
          <cell r="X86" t="str">
            <v>자료없음</v>
          </cell>
          <cell r="Y86" t="str">
            <v>자료없음</v>
          </cell>
          <cell r="Z86" t="str">
            <v>83% 28 day (OECD TG 301D) (ECHA)</v>
          </cell>
          <cell r="AA86" t="str">
            <v>자료없음</v>
          </cell>
          <cell r="AB86" t="str">
            <v>해당없음</v>
          </cell>
        </row>
        <row r="87">
          <cell r="A87" t="str">
            <v>123-92-2</v>
          </cell>
          <cell r="B87" t="str">
            <v>ISOAMYL ACETATE</v>
          </cell>
          <cell r="C87" t="str">
            <v>TWA : 50 ppm, STEL : 100 ppm</v>
          </cell>
          <cell r="D87" t="str">
            <v>TWA 50 ppm (266 mg/m3) STEL 100 ppm (532 mg/m3)</v>
          </cell>
          <cell r="E87" t="str">
            <v>해당없음</v>
          </cell>
          <cell r="F87" t="str">
            <v>LD50 16600 ㎎/㎏ Rat</v>
          </cell>
          <cell r="G87" t="str">
            <v>LD50 &gt;5,000 ㎎/㎏  (Rabbit) (ChemIDPLUS)</v>
          </cell>
          <cell r="H87" t="str">
            <v>자료없음</v>
          </cell>
          <cell r="I87" t="str">
            <v>토끼의 피부 자극성 시험결과 최소 자극성</v>
          </cell>
          <cell r="J87" t="str">
            <v>토끼의 눈자극성 시험결과 약한 자극성 사람에게 눈 또는 결막에 자극성이 보고됨.</v>
          </cell>
          <cell r="K87" t="str">
            <v>자료없음</v>
          </cell>
          <cell r="L87" t="str">
            <v>기니피그 시험결과 약한 과민 가능성</v>
          </cell>
          <cell r="M87" t="str">
            <v>해당없음</v>
          </cell>
          <cell r="N87" t="str">
            <v>자료없음</v>
          </cell>
          <cell r="O87" t="str">
            <v>자료없음</v>
          </cell>
          <cell r="P87" t="str">
            <v>자료없음</v>
          </cell>
          <cell r="Q87" t="str">
            <v>자료없음</v>
          </cell>
          <cell r="R87" t="str">
            <v>자료없음</v>
          </cell>
          <cell r="S87" t="str">
            <v>해당없음</v>
          </cell>
          <cell r="T87" t="str">
            <v>LC50 22 ~ 46 ㎎/ℓ  96 hr Brachydanio rerio (OECD Guideline 203) (ECHA)</v>
          </cell>
          <cell r="U87" t="str">
            <v>EC50 205 ㎎/ℓ 24 hr (NITE)</v>
          </cell>
          <cell r="V87" t="str">
            <v>자료없음</v>
          </cell>
          <cell r="W87" t="str">
            <v>log Kow 2.13 log Kow 2.7 (OECD TG 117, GLP) (ECHA)</v>
          </cell>
          <cell r="X87" t="str">
            <v>자료없음</v>
          </cell>
          <cell r="Y87" t="str">
            <v>BCF 28.1 (ECHA)</v>
          </cell>
          <cell r="Z87" t="str">
            <v>88 %,  28 day (OECD TG 301 F, GLP) (ECHA)</v>
          </cell>
          <cell r="AA87" t="str">
            <v>Koc 130 (estimate) (HSDB)</v>
          </cell>
          <cell r="AB87" t="str">
            <v>해당없음</v>
          </cell>
          <cell r="AC87"/>
        </row>
        <row r="88">
          <cell r="A88" t="str">
            <v>124-13-0</v>
          </cell>
          <cell r="B88" t="str">
            <v>OCTANAL</v>
          </cell>
          <cell r="C88" t="str">
            <v>해당없음</v>
          </cell>
          <cell r="D88" t="str">
            <v>해당없음</v>
          </cell>
          <cell r="E88" t="str">
            <v>해당없음</v>
          </cell>
          <cell r="F88" t="str">
            <v>LD50 4616 ㎎/㎏ Rat</v>
          </cell>
          <cell r="G88" t="str">
            <v>LD50 5207 ㎎/㎏ Rabbit</v>
          </cell>
          <cell r="H88" t="str">
            <v>자료없음</v>
          </cell>
          <cell r="I88" t="str">
            <v>인체 약한 자극</v>
          </cell>
          <cell r="J88" t="str">
            <v>자료없음</v>
          </cell>
          <cell r="K88" t="str">
            <v>자료없음</v>
          </cell>
          <cell r="L88" t="str">
            <v>자료없음</v>
          </cell>
          <cell r="M88" t="str">
            <v>해당없음</v>
          </cell>
          <cell r="N88" t="str">
            <v>자료없음</v>
          </cell>
          <cell r="O88" t="str">
            <v>자료없음</v>
          </cell>
          <cell r="P88" t="str">
            <v>자료없음</v>
          </cell>
          <cell r="Q88" t="str">
            <v>자료없음</v>
          </cell>
          <cell r="R88" t="str">
            <v>자료없음</v>
          </cell>
          <cell r="S88" t="str">
            <v>해당없음</v>
          </cell>
          <cell r="T88" t="str">
            <v>LC50 6.114 ㎎/ℓ 96 hr (Estimate)</v>
          </cell>
          <cell r="U88" t="str">
            <v>LC50 2.299 ㎎/ℓ 48 hr (Estimate)</v>
          </cell>
          <cell r="V88" t="str">
            <v>EC50 12.991 ㎎/ℓ 96 hr (Estimate)</v>
          </cell>
          <cell r="W88" t="str">
            <v>log Kow 2.78 (Estimate)</v>
          </cell>
          <cell r="X88" t="str">
            <v>자료없음</v>
          </cell>
          <cell r="Y88" t="str">
            <v>자료없음</v>
          </cell>
          <cell r="Z88" t="str">
            <v>자료없음</v>
          </cell>
          <cell r="AA88" t="str">
            <v>자료없음</v>
          </cell>
          <cell r="AB88" t="str">
            <v>해당없음</v>
          </cell>
          <cell r="AC88"/>
        </row>
        <row r="89">
          <cell r="A89" t="str">
            <v>125-12-2</v>
          </cell>
          <cell r="B89" t="str">
            <v>ISOBONYL ACETATE</v>
          </cell>
          <cell r="C89" t="str">
            <v>해당없음</v>
          </cell>
          <cell r="D89" t="str">
            <v>해당없음</v>
          </cell>
          <cell r="E89" t="str">
            <v>해당없음</v>
          </cell>
          <cell r="F89" t="str">
            <v>LD50 9,050 ㎎/㎏ (Rat) (NLM, ChemIDplus, TOMES;LOLI)</v>
          </cell>
          <cell r="G89" t="str">
            <v>LD50 &gt;20,000 ㎎/㎏  (Rabbit ) (IUCLID, TOMES;LOLI)</v>
          </cell>
          <cell r="H89" t="str">
            <v>gas (해당없음: Liquid(IUCLID))</v>
          </cell>
          <cell r="I89" t="str">
            <v>토끼에게 피부 자극 있음(OECD TG404, GLP)(IUCLID)</v>
          </cell>
          <cell r="J89" t="str">
            <v>토끼 눈에 약한 자극 있음(OECD TG405, GLP)(IUCLID)</v>
          </cell>
          <cell r="K89" t="str">
            <v>자료없음</v>
          </cell>
          <cell r="L89" t="str">
            <v>Human : 피부과민성없음 (IUCLID)</v>
          </cell>
          <cell r="M89" t="str">
            <v>해당없음</v>
          </cell>
          <cell r="N89" t="str">
            <v xml:space="preserve"> In vitro 미생물을 이용한 복귀돌연변이시험(Salmonella typhimurium TA98,TA100,TA1535,TA1537,TA1538):음성(OECD TG 471, GLP), In vivo 포유류 적혈구를 이용한 소핵시험:음성(OECD TG 474, GLP)(IUCLID)</v>
          </cell>
          <cell r="O89" t="str">
            <v>랫드 NOAEL maternalt(gavage)=1000mg/kgbw, 모체나 태자의 독성 없음(OECD TG 414, GLP)(IUCLID)</v>
          </cell>
          <cell r="P89" t="str">
            <v>자료없음</v>
          </cell>
          <cell r="Q89" t="str">
            <v>랫드 60일경구반복 TDLo39820 mg/kg/ 60D, 중추신경계 손상, 간기능 손상 및 신장기능 감소 (RTECS)</v>
          </cell>
          <cell r="R89" t="str">
            <v>자료없음</v>
          </cell>
          <cell r="S89" t="str">
            <v>해당없음</v>
          </cell>
          <cell r="T89" t="str">
            <v>LC50 10~18 ㎎/ℓ 96 hr (ECHA)</v>
          </cell>
          <cell r="U89" t="str">
            <v>EC50 3.07~4.09 mg/L 48hr (ECHA)</v>
          </cell>
          <cell r="V89" t="str">
            <v>EC50 1.31~1.45 mg/L 96hr (ECHA)</v>
          </cell>
          <cell r="W89" t="str">
            <v>log Kow 3.86 (IUCLID)</v>
          </cell>
          <cell r="X89" t="str">
            <v>자료없음</v>
          </cell>
          <cell r="Y89" t="str">
            <v>BCF 319.3 (Estimate)</v>
          </cell>
          <cell r="Z89" t="str">
            <v>90 %, 10 day (Degraded well and has a low potential to accumulate in vivo)</v>
          </cell>
          <cell r="AA89" t="str">
            <v>Koc 1730   (Can be adsorbed in the soil) (Estimate)</v>
          </cell>
          <cell r="AB89" t="str">
            <v>해당없음</v>
          </cell>
          <cell r="AC89"/>
        </row>
        <row r="90">
          <cell r="A90" t="str">
            <v>127-41-3</v>
          </cell>
          <cell r="B90" t="str">
            <v>ALPHA-IONONE</v>
          </cell>
          <cell r="C90" t="str">
            <v>해당없음</v>
          </cell>
          <cell r="D90" t="str">
            <v>해당없음</v>
          </cell>
          <cell r="E90" t="str">
            <v>해당없음</v>
          </cell>
          <cell r="F90" t="str">
            <v>자료없음</v>
          </cell>
          <cell r="G90" t="str">
            <v>자료없음</v>
          </cell>
          <cell r="H90" t="str">
            <v>자료없음</v>
          </cell>
          <cell r="I90" t="str">
            <v>자료없음</v>
          </cell>
          <cell r="J90" t="str">
            <v>자료없음</v>
          </cell>
          <cell r="K90" t="str">
            <v>자료없음</v>
          </cell>
          <cell r="L90" t="str">
            <v>자료없음</v>
          </cell>
          <cell r="M90" t="str">
            <v>해당없음</v>
          </cell>
          <cell r="N90" t="str">
            <v>Computed Probability of Mutagenicy 0.000</v>
          </cell>
          <cell r="O90" t="str">
            <v>자료없음</v>
          </cell>
          <cell r="P90" t="str">
            <v>자료없음</v>
          </cell>
          <cell r="Q90" t="str">
            <v>자료없음</v>
          </cell>
          <cell r="R90" t="str">
            <v>자료없음</v>
          </cell>
          <cell r="S90" t="str">
            <v>해당없음</v>
          </cell>
          <cell r="T90" t="str">
            <v>LC50 1.697 ㎎/ℓ 96 hr (Estimate)</v>
          </cell>
          <cell r="U90" t="str">
            <v>EC50 1.292 ㎎/ℓ 48 hr (Estimate)</v>
          </cell>
          <cell r="V90" t="str">
            <v>EC50 1.428 ㎎/ℓ 96 hr (Estimate)</v>
          </cell>
          <cell r="W90" t="str">
            <v>log Kow 3.85 (NLM)</v>
          </cell>
          <cell r="X90" t="str">
            <v>자료없음</v>
          </cell>
          <cell r="Y90" t="str">
            <v>BCF 161.1 (Estimate)</v>
          </cell>
          <cell r="Z90" t="str">
            <v>(Cut-off value=0.1303; Non-degradable(BIOWIN 2))</v>
          </cell>
          <cell r="AA90" t="str">
            <v>Koc 3.25 (estimate)</v>
          </cell>
          <cell r="AB90" t="str">
            <v>해당없음</v>
          </cell>
          <cell r="AC90"/>
        </row>
        <row r="91">
          <cell r="A91" t="str">
            <v>127-51-5</v>
          </cell>
          <cell r="B91" t="str">
            <v>ALPHA ISOMETHYL IONONE</v>
          </cell>
          <cell r="C91" t="str">
            <v>해당없음</v>
          </cell>
          <cell r="D91" t="str">
            <v>해당없음</v>
          </cell>
          <cell r="E91" t="str">
            <v>해당없음</v>
          </cell>
          <cell r="F91" t="str">
            <v>자료없음</v>
          </cell>
          <cell r="G91" t="str">
            <v>자료없음</v>
          </cell>
          <cell r="H91" t="str">
            <v>자료없음</v>
          </cell>
          <cell r="I91" t="str">
            <v>자료없음</v>
          </cell>
          <cell r="J91" t="str">
            <v>자료없음</v>
          </cell>
          <cell r="K91" t="str">
            <v>자료없음</v>
          </cell>
          <cell r="L91" t="str">
            <v>자료없음</v>
          </cell>
          <cell r="M91" t="str">
            <v>해당없음</v>
          </cell>
          <cell r="N91" t="str">
            <v>자료없음</v>
          </cell>
          <cell r="O91" t="str">
            <v>자료없음</v>
          </cell>
          <cell r="P91" t="str">
            <v>자료없음</v>
          </cell>
          <cell r="Q91" t="str">
            <v>자료없음</v>
          </cell>
          <cell r="R91" t="str">
            <v>자료없음</v>
          </cell>
          <cell r="S91" t="str">
            <v>해당없음</v>
          </cell>
          <cell r="T91" t="str">
            <v>LC50 0.052 ㎎/ℓ 96 hr (Estimate) LC50 5.495 ㎎/ℓ  96 hr Oncorhynchus mykiss(estimate) (ECHA Registered substances)</v>
          </cell>
          <cell r="U91" t="str">
            <v>LC50 0.086 ㎎/ℓ 48 hr (Estimate) EC50 1.45 ㎎/ℓ  48 hr Daphnia magna(estimate) (ECHA Registered substances)</v>
          </cell>
          <cell r="V91" t="str">
            <v>EC50 0.266 ㎎/ℓ 96 hr (Estimate) EC50 6.468 ㎎/ℓ  72 hr Scenedesmus subspicatus(estimate) (ECHA Registered substances)</v>
          </cell>
          <cell r="W91" t="str">
            <v>log Kow 4.7 (ECHA Registered substances)</v>
          </cell>
          <cell r="X91" t="str">
            <v>자료없음</v>
          </cell>
          <cell r="Y91" t="str">
            <v>BCF 726.4   (ECHA Registered substances)</v>
          </cell>
          <cell r="Z91" t="str">
            <v>inherently biodegradable (ECHA Registered substances)</v>
          </cell>
          <cell r="AA91" t="str">
            <v>자료없음</v>
          </cell>
          <cell r="AB91" t="str">
            <v>해당없음</v>
          </cell>
          <cell r="AC91"/>
        </row>
        <row r="92">
          <cell r="A92" t="str">
            <v>127-91-3</v>
          </cell>
          <cell r="B92" t="str">
            <v>BETA-PINENE</v>
          </cell>
          <cell r="C92" t="str">
            <v>TWA 20 ppm</v>
          </cell>
          <cell r="D92" t="str">
            <v>해당없음</v>
          </cell>
          <cell r="E92" t="str">
            <v>해당없음</v>
          </cell>
          <cell r="F92" t="str">
            <v>LD50 4,700 ㎎/㎏ (NLM, THOMSON)</v>
          </cell>
          <cell r="G92" t="str">
            <v>자료없음</v>
          </cell>
          <cell r="H92" t="str">
            <v>Steam LC50 20 ㎎/L Mouse</v>
          </cell>
          <cell r="I92" t="str">
            <v>쥐 약한 자극(24hr)</v>
          </cell>
          <cell r="J92" t="str">
            <v>자료없음</v>
          </cell>
          <cell r="K92" t="str">
            <v>자료없음</v>
          </cell>
          <cell r="L92" t="str">
            <v>자료없음</v>
          </cell>
          <cell r="M92" t="str">
            <v>해당없음</v>
          </cell>
          <cell r="N92" t="str">
            <v>자료없음</v>
          </cell>
          <cell r="O92" t="str">
            <v>자료없음</v>
          </cell>
          <cell r="P92" t="str">
            <v>자료없음</v>
          </cell>
          <cell r="Q92" t="str">
            <v>자료없음</v>
          </cell>
          <cell r="R92" t="str">
            <v>자료없음</v>
          </cell>
          <cell r="S92" t="str">
            <v>해당없음</v>
          </cell>
          <cell r="T92" t="str">
            <v>LC50 0.624 ㎎/ℓ 96 hr (Estimate)</v>
          </cell>
          <cell r="U92" t="str">
            <v>LC50 0.787 ㎎/ℓ 48 hr (Estimate)</v>
          </cell>
          <cell r="V92" t="str">
            <v>자료없음</v>
          </cell>
          <cell r="W92" t="str">
            <v>log Kow 4.16</v>
          </cell>
          <cell r="X92" t="str">
            <v>자료없음</v>
          </cell>
          <cell r="Y92" t="str">
            <v>자료없음</v>
          </cell>
          <cell r="Z92" t="str">
            <v>자료없음</v>
          </cell>
          <cell r="AA92" t="str">
            <v>자료없음</v>
          </cell>
          <cell r="AB92" t="str">
            <v>해당없음</v>
          </cell>
        </row>
        <row r="93">
          <cell r="A93" t="str">
            <v>128-37-0</v>
          </cell>
          <cell r="B93" t="str">
            <v>DIBUTYL HYDROXY TOLUENE</v>
          </cell>
          <cell r="C93" t="str">
            <v>TWA : 2 mg/㎥</v>
          </cell>
          <cell r="D93" t="str">
            <v>TWA, 2 mg/m3, Inhalable particulate and vapor</v>
          </cell>
          <cell r="E93" t="str">
            <v>해당없음</v>
          </cell>
          <cell r="F93" t="str">
            <v>LD50 &gt;6000 ㎎/㎏ Rat (OECD TG 401, GLP)(ECHA)</v>
          </cell>
          <cell r="G93" t="str">
            <v>LD50 &gt;2000 ㎎/㎏ Rabbit (No death, OECD TG 402, GLP)(ECHA)</v>
          </cell>
          <cell r="H93" t="str">
            <v>Dust LC50 &gt;2 ㎎/ℓ 4 hr Rat (LC50 ≤ 0.05 ㎎/L 4hr mouse)(OSHRI)</v>
          </cell>
          <cell r="I93" t="str">
            <v>토끼를 이용한 피부부식성/자극성시험결과, 매우 약간 자극성을 나타냄 (전체자극지수 :
0.3~0.7/8) (ECHA)</v>
          </cell>
          <cell r="J93" t="str">
            <v>토끼를 이용한 심한눈손상/자극성시험결과, 매우 약한 결막자극을 보였으나 72시간 후 완전히 회복됨 (결막지수=0.5/3, 각막지수=0/2, 홍채지수=0/2, 결막부종지수=0.1/4) (ECHA)</v>
          </cell>
          <cell r="K93" t="str">
            <v>자료없음</v>
          </cell>
          <cell r="L93" t="str">
            <v>사람을 대상으로 패치 시험 결과, 양성 반응(11/11454) 및 자극성 및 과민성의심 반응
(51/11454)이 도출되었으나 대상물질인 BHT는 비과민성으로 판단됨 (ECHA)</v>
          </cell>
          <cell r="M93" t="str">
            <v>해당없음</v>
          </cell>
          <cell r="N93" t="str">
            <v>시험관 내 미생물을 이용한 복귀돌연변이시험결과(OECD TG 471) 대사활성계 없는 경우 양성, 포유류 배양세포를 이용한 염색체이상시험(OECD TG 473, GLP), 포유류 배양세포를 이용한 유전자돌연변이시험(OECD TG 476) 결과 대사활성계 유무에 관계 없이 음성 생체 내 포유류 간세포를 이용한 Unsheduled DNA Synthesis(UDS) 시험 결과(OECD TG 486, GLP) 마우스 골수세포를 이용한 소핵시험(OECD 474, GLP)결과 음성 (ECHA)</v>
          </cell>
          <cell r="O93" t="str">
            <v>랫드를 대상으로 2세대 발암성 시험 결과, 25, 100, 500mg/kg 용량에서 BHT를 급여 한 F0세대 의 생식 능력에 아무런 부작용이 없었음 (ECHA)</v>
          </cell>
          <cell r="P93" t="str">
            <v>4g을 섭취 한 여성은 위경련, 무가치 함, 구토, 피로감, 정신 장애 및 단기간의 무의식 상태를 보였습니다. 또한 홍화유 80g은 여성에게 신경 증상이 나타나게 하는 것과 관련있다는 서술에 따라 구분1(신경계)로 분류 (CERI 위험 데이터 (1997), ACGIH (2001), SIDS (2002)) (NITE)</v>
          </cell>
          <cell r="Q93" t="str">
            <v>랫드를 이용한 2세대 발암성 시험 결과, F1세대 간 효소 증가, 체중 증가, 간세포 병소, 갑상선 기능 항진증, 간 비대증 등이 관찰됨 (NOAEL F1,수=25 mg/kg bw/day (nominal)) (GLP) 마우스, 랫드, 햄스터를 대상으로 반복투여 경피독성 시험 결과, 간 손상이 관찰됨 (ECHA)</v>
          </cell>
          <cell r="R93" t="str">
            <v>자료없음</v>
          </cell>
          <cell r="S93" t="str">
            <v>해당없음</v>
          </cell>
          <cell r="T93" t="str">
            <v>LC50 &gt;0.57 ㎎/ℓ 96 hr Other(Danio rerio, Semi-static, EU Method C.1, GLP) (ECHA)</v>
          </cell>
          <cell r="U93" t="str">
            <v>EC50 0.48 ㎎/ℓ 48 hr Daphnia magna(Still water culture, OECD TG 202, GLP) (ECHA)</v>
          </cell>
          <cell r="V93" t="str">
            <v>EC50 &gt;0.4 ㎎/ℓ 72 hr Scenedesmus subspicatus(Static, EU Method C.3, GLP) (ECHA)</v>
          </cell>
          <cell r="W93" t="str">
            <v>5.03 log Kow (Estimate) (ECHA)</v>
          </cell>
          <cell r="X93" t="str">
            <v>자료없음</v>
          </cell>
          <cell r="Y93" t="str">
            <v>BCF 465 (L/kg) (ECHA)</v>
          </cell>
          <cell r="Z93" t="str">
            <v>4.5 %, 28 day (OECD Guideline 301 C) (ECHA)</v>
          </cell>
          <cell r="AA93" t="str">
            <v>자료없음</v>
          </cell>
          <cell r="AB93" t="str">
            <v>해당없음</v>
          </cell>
          <cell r="AC93"/>
        </row>
        <row r="94">
          <cell r="A94" t="str">
            <v>128-51-8</v>
          </cell>
          <cell r="B94" t="str">
            <v>NOPYL ACETATE</v>
          </cell>
          <cell r="C94" t="str">
            <v>해당없음</v>
          </cell>
          <cell r="D94" t="str">
            <v>해당없음</v>
          </cell>
          <cell r="E94" t="str">
            <v>해당없음</v>
          </cell>
          <cell r="F94" t="str">
            <v>LD50 3,000 ㎎/㎏ Rat</v>
          </cell>
          <cell r="G94" t="str">
            <v>자료없음</v>
          </cell>
          <cell r="H94" t="str">
            <v>자료없음</v>
          </cell>
          <cell r="I94" t="str">
            <v>Rabbit, ROUTE: Skin; DOSE: 500 mg/24H; REACTION: Mild(경미한 자극성)</v>
          </cell>
          <cell r="J94" t="str">
            <v>자료없음</v>
          </cell>
          <cell r="K94" t="str">
            <v>자료없음</v>
          </cell>
          <cell r="L94" t="str">
            <v>자료없음</v>
          </cell>
          <cell r="M94" t="str">
            <v>해당없음</v>
          </cell>
          <cell r="N94" t="str">
            <v>자료없음</v>
          </cell>
          <cell r="O94" t="str">
            <v>자료없음</v>
          </cell>
          <cell r="P94" t="str">
            <v>자료없음</v>
          </cell>
          <cell r="Q94" t="str">
            <v>자료없음</v>
          </cell>
          <cell r="R94" t="str">
            <v>자료없음</v>
          </cell>
          <cell r="S94" t="str">
            <v>해당없음</v>
          </cell>
          <cell r="T94" t="str">
            <v>LC50 1.371 ㎎/ℓ 96 hr (Estimate)</v>
          </cell>
          <cell r="U94" t="str">
            <v>LC50 1.383 ㎎/ℓ 48 hr (Estimate)</v>
          </cell>
          <cell r="V94" t="str">
            <v>EC50 1.532 ㎎/ℓ 96 hr (Estimate)</v>
          </cell>
          <cell r="W94" t="str">
            <v>log Kow 4.3 (Estimate)</v>
          </cell>
          <cell r="X94" t="str">
            <v>자료없음</v>
          </cell>
          <cell r="Y94" t="str">
            <v>BCF 319.4 (Estimate)</v>
          </cell>
          <cell r="Z94" t="str">
            <v>(Cut-off value 0.6265 ; Non-degradable(BIOWIN 6)) (Estimate)</v>
          </cell>
          <cell r="AA94" t="str">
            <v>Koc 1730 (Can be adsorbed in the soil) (Estimate)</v>
          </cell>
          <cell r="AB94" t="str">
            <v>해당없음</v>
          </cell>
          <cell r="AC94"/>
        </row>
        <row r="95">
          <cell r="A95" t="str">
            <v>13254-34-7</v>
          </cell>
          <cell r="B95" t="str">
            <v xml:space="preserve">2,6-DIMETHYLHEPTANOL </v>
          </cell>
          <cell r="C95" t="str">
            <v>해당없음</v>
          </cell>
          <cell r="D95" t="str">
            <v>해당없음</v>
          </cell>
          <cell r="E95" t="str">
            <v>해당없음</v>
          </cell>
          <cell r="F95" t="str">
            <v>자료없음</v>
          </cell>
          <cell r="G95" t="str">
            <v>자료없음</v>
          </cell>
          <cell r="H95" t="str">
            <v>자료없음</v>
          </cell>
          <cell r="I95" t="str">
            <v>자료없음</v>
          </cell>
          <cell r="J95" t="str">
            <v>자료없음</v>
          </cell>
          <cell r="K95" t="str">
            <v>자료없음</v>
          </cell>
          <cell r="L95" t="str">
            <v>자료없음</v>
          </cell>
          <cell r="M95" t="str">
            <v>해당없음</v>
          </cell>
          <cell r="N95" t="str">
            <v>자료없음</v>
          </cell>
          <cell r="O95" t="str">
            <v>자료없음</v>
          </cell>
          <cell r="P95" t="str">
            <v>자료없음</v>
          </cell>
          <cell r="Q95" t="str">
            <v>자료없음</v>
          </cell>
          <cell r="R95" t="str">
            <v>자료없음</v>
          </cell>
          <cell r="S95" t="str">
            <v>해당없음</v>
          </cell>
          <cell r="T95" t="str">
            <v>LC50 11.69 ㎎/ℓ 96 hr (ECOSAR)</v>
          </cell>
          <cell r="U95" t="str">
            <v>C50 7.767 ㎎/ℓ 48 hr (ECOSAR)</v>
          </cell>
          <cell r="V95" t="str">
            <v>EC50 5.975 ㎎/ℓ 96 hr (ECOSAR)</v>
          </cell>
          <cell r="W95" t="str">
            <v>자료없음</v>
          </cell>
          <cell r="X95" t="str">
            <v>자료없음</v>
          </cell>
          <cell r="Y95" t="str">
            <v>자료없음</v>
          </cell>
          <cell r="Z95" t="str">
            <v>자료없음</v>
          </cell>
          <cell r="AA95" t="str">
            <v>자료없음</v>
          </cell>
          <cell r="AB95" t="str">
            <v>해당없음</v>
          </cell>
          <cell r="AC95"/>
        </row>
        <row r="96">
          <cell r="A96" t="str">
            <v>1331-83-5</v>
          </cell>
          <cell r="B96" t="str">
            <v>ANISYL ACETATE</v>
          </cell>
          <cell r="C96" t="str">
            <v>해당없음</v>
          </cell>
          <cell r="D96" t="str">
            <v>해당없음</v>
          </cell>
          <cell r="E96" t="str">
            <v>해당없음</v>
          </cell>
          <cell r="F96" t="str">
            <v>LD50 &gt;2,000 ㎎/㎏ (Rat) (NCIS)</v>
          </cell>
          <cell r="G96" t="str">
            <v>LD50 &gt;2,000 ㎎/㎏ (Rat) (NCIS)</v>
          </cell>
          <cell r="H96" t="str">
            <v>자료없음</v>
          </cell>
          <cell r="I96" t="str">
            <v>자료없음</v>
          </cell>
          <cell r="J96" t="str">
            <v>자료없음</v>
          </cell>
          <cell r="K96" t="str">
            <v>자료없음</v>
          </cell>
          <cell r="L96" t="str">
            <v>자료없음</v>
          </cell>
          <cell r="M96" t="str">
            <v>해당없음</v>
          </cell>
          <cell r="N96" t="str">
            <v>해당없음</v>
          </cell>
          <cell r="O96" t="str">
            <v>자료없음</v>
          </cell>
          <cell r="P96" t="str">
            <v>자료없음</v>
          </cell>
          <cell r="Q96" t="str">
            <v>자료없음</v>
          </cell>
          <cell r="R96" t="str">
            <v>자료없음</v>
          </cell>
          <cell r="S96" t="str">
            <v>해당없음</v>
          </cell>
          <cell r="T96" t="str">
            <v>LC50 13.1 ㎎/ℓ 96 hr (OECD Guideline 203, GLP) (Brachydanio rerio) (ECHA)</v>
          </cell>
          <cell r="U96" t="str">
            <v>자료없음</v>
          </cell>
          <cell r="V96" t="str">
            <v>자료없음</v>
          </cell>
          <cell r="W96" t="str">
            <v>자료없음</v>
          </cell>
          <cell r="X96" t="str">
            <v>자료없음</v>
          </cell>
          <cell r="Y96" t="str">
            <v>자료없음</v>
          </cell>
          <cell r="Z96" t="str">
            <v>자료없음</v>
          </cell>
          <cell r="AA96" t="str">
            <v>자료없음</v>
          </cell>
          <cell r="AB96" t="str">
            <v>자료없음</v>
          </cell>
        </row>
        <row r="97">
          <cell r="A97" t="str">
            <v>1335-66-6</v>
          </cell>
          <cell r="B97" t="str">
            <v>ISOCYCLOCITRAL</v>
          </cell>
          <cell r="C97" t="str">
            <v>해당없음</v>
          </cell>
          <cell r="D97" t="str">
            <v>해당없음</v>
          </cell>
          <cell r="E97" t="str">
            <v>해당없음</v>
          </cell>
          <cell r="F97" t="str">
            <v>자료없음</v>
          </cell>
          <cell r="G97" t="str">
            <v>자료없음</v>
          </cell>
          <cell r="H97" t="str">
            <v>자료없음</v>
          </cell>
          <cell r="I97" t="str">
            <v>자료없음</v>
          </cell>
          <cell r="J97" t="str">
            <v>자료없음</v>
          </cell>
          <cell r="K97" t="str">
            <v>자료없음</v>
          </cell>
          <cell r="L97" t="str">
            <v>자료없음</v>
          </cell>
          <cell r="M97" t="str">
            <v>해당없음</v>
          </cell>
          <cell r="N97" t="str">
            <v>자료없음</v>
          </cell>
          <cell r="O97" t="str">
            <v>자료없음</v>
          </cell>
          <cell r="P97" t="str">
            <v>자료없음</v>
          </cell>
          <cell r="Q97" t="str">
            <v>자료없음</v>
          </cell>
          <cell r="R97" t="str">
            <v>자료없음</v>
          </cell>
          <cell r="S97" t="str">
            <v>해당없음</v>
          </cell>
          <cell r="T97" t="str">
            <v>LC50 2.031 ㎎/ℓ 96 hr (Estimate)</v>
          </cell>
          <cell r="U97" t="str">
            <v>LC50 1.774 ㎎/ℓ 48 hr (Estimate)</v>
          </cell>
          <cell r="V97" t="str">
            <v>EC50 4.142 ㎎/ℓ 96 hr (Estimate)</v>
          </cell>
          <cell r="W97" t="str">
            <v>log Kow 3.27 (Estimate)</v>
          </cell>
          <cell r="X97" t="str">
            <v>자료없음</v>
          </cell>
          <cell r="Y97" t="str">
            <v>BCF 66.89 (Estimate)</v>
          </cell>
          <cell r="Z97" t="str">
            <v>(Cut-off value  3.8247; Rapidly biodegradable(BIOWIN 4)) (Estimate)</v>
          </cell>
          <cell r="AA97" t="str">
            <v>Koc 319.6 (estimate)</v>
          </cell>
          <cell r="AB97" t="str">
            <v>해당없음</v>
          </cell>
          <cell r="AC97"/>
        </row>
        <row r="98">
          <cell r="A98" t="str">
            <v>134-20-3</v>
          </cell>
          <cell r="B98" t="str">
            <v>METHYL ANTHRANILATE</v>
          </cell>
          <cell r="C98" t="str">
            <v>해당없음</v>
          </cell>
          <cell r="D98" t="str">
            <v>해당없음</v>
          </cell>
          <cell r="E98" t="str">
            <v>해당없음</v>
          </cell>
          <cell r="F98" t="str">
            <v>LD50 2910 ㎎/㎏ Rat</v>
          </cell>
          <cell r="G98" t="str">
            <v>자료없음</v>
          </cell>
          <cell r="H98" t="str">
            <v>자료없음</v>
          </cell>
          <cell r="I98" t="str">
            <v>자료없음</v>
          </cell>
          <cell r="J98" t="str">
            <v>자료없음</v>
          </cell>
          <cell r="K98" t="str">
            <v>자료없음</v>
          </cell>
          <cell r="L98" t="str">
            <v>자료없음</v>
          </cell>
          <cell r="M98" t="str">
            <v>해당없음</v>
          </cell>
          <cell r="N98" t="str">
            <v>자료없음</v>
          </cell>
          <cell r="O98" t="str">
            <v>자료없음</v>
          </cell>
          <cell r="P98" t="str">
            <v>자료없음</v>
          </cell>
          <cell r="Q98" t="str">
            <v>자료없음</v>
          </cell>
          <cell r="R98" t="str">
            <v>자료없음</v>
          </cell>
          <cell r="S98" t="str">
            <v>해당없음</v>
          </cell>
          <cell r="T98" t="str">
            <v>LC50 9.12 ㎎/ℓ 96 hr Brachydanio rerio (ECOTOX)</v>
          </cell>
          <cell r="U98" t="str">
            <v>EC50 18.2 ㎎/ℓ 48 hr Daphnia magna (ECOTOX)</v>
          </cell>
          <cell r="V98" t="str">
            <v>자료없음</v>
          </cell>
          <cell r="W98" t="str">
            <v>log Kow 1.88</v>
          </cell>
          <cell r="X98" t="str">
            <v>자료없음</v>
          </cell>
          <cell r="Y98" t="str">
            <v>BCF 5.592 (Estimate)</v>
          </cell>
          <cell r="Z98" t="str">
            <v>자료없음</v>
          </cell>
          <cell r="AA98" t="str">
            <v>자료없음</v>
          </cell>
          <cell r="AB98" t="str">
            <v>해당없음</v>
          </cell>
          <cell r="AC98"/>
        </row>
        <row r="99">
          <cell r="A99" t="str">
            <v>1365-19-1</v>
          </cell>
          <cell r="B99" t="str">
            <v>LINALOOL OXIDE</v>
          </cell>
          <cell r="C99" t="str">
            <v>해당없음</v>
          </cell>
          <cell r="D99" t="str">
            <v>해당없음</v>
          </cell>
          <cell r="E99" t="str">
            <v>해당없음</v>
          </cell>
          <cell r="F99" t="str">
            <v>자료없음</v>
          </cell>
          <cell r="G99" t="str">
            <v>자료없음</v>
          </cell>
          <cell r="H99" t="str">
            <v>자료없음</v>
          </cell>
          <cell r="I99" t="str">
            <v>자료없음</v>
          </cell>
          <cell r="J99" t="str">
            <v>자료없음</v>
          </cell>
          <cell r="K99" t="str">
            <v>자료없음</v>
          </cell>
          <cell r="L99" t="str">
            <v>자료없음</v>
          </cell>
          <cell r="M99" t="str">
            <v>해당없음</v>
          </cell>
          <cell r="N99" t="str">
            <v>자료없음</v>
          </cell>
          <cell r="O99" t="str">
            <v>자료없음</v>
          </cell>
          <cell r="P99" t="str">
            <v>자료없음</v>
          </cell>
          <cell r="Q99" t="str">
            <v>자료없음</v>
          </cell>
          <cell r="R99" t="str">
            <v>자료없음</v>
          </cell>
          <cell r="S99" t="str">
            <v>해당없음</v>
          </cell>
          <cell r="T99" t="str">
            <v>LC50 15.947 ㎎/ℓ 96 hr (Epoxides, Mono Fish) (Ecological Structure Activity Relationships (ECOSAR))</v>
          </cell>
          <cell r="U99" t="str">
            <v>LC50 38.405 ㎎/ℓ 48 hr (Epoxides [mono]) (Daphnid) (Ecological Structure Activity Relationships (ECOSAR))</v>
          </cell>
          <cell r="V99" t="str">
            <v>EC50 36.589 ㎎/ℓ 96 hr (Epoxides [Mono]) (Green algae) (Ecological Structure Activity Relationships (ECOSAR))</v>
          </cell>
          <cell r="W99" t="str">
            <v>자료없음</v>
          </cell>
          <cell r="X99" t="str">
            <v>자료없음</v>
          </cell>
          <cell r="Y99" t="str">
            <v>자료없음</v>
          </cell>
          <cell r="Z99" t="str">
            <v>자료없음</v>
          </cell>
          <cell r="AA99" t="str">
            <v>자료없음</v>
          </cell>
          <cell r="AB99" t="str">
            <v>해당없음</v>
          </cell>
          <cell r="AC99"/>
        </row>
        <row r="100">
          <cell r="A100" t="str">
            <v>137-00-8</v>
          </cell>
          <cell r="B100" t="str">
            <v>METHYLTHIAZOLYL-ETHANOL</v>
          </cell>
          <cell r="C100" t="str">
            <v>해당없음</v>
          </cell>
          <cell r="D100" t="str">
            <v>해당없음</v>
          </cell>
          <cell r="E100" t="str">
            <v>해당없음</v>
          </cell>
          <cell r="F100" t="str">
            <v>자료없음</v>
          </cell>
          <cell r="G100" t="str">
            <v>자료없음</v>
          </cell>
          <cell r="H100" t="str">
            <v>자료없음</v>
          </cell>
          <cell r="I100" t="str">
            <v>자료없음</v>
          </cell>
          <cell r="J100" t="str">
            <v>자료없음</v>
          </cell>
          <cell r="K100" t="str">
            <v>자료없음</v>
          </cell>
          <cell r="L100" t="str">
            <v>자료없음</v>
          </cell>
          <cell r="M100" t="str">
            <v>해당없음</v>
          </cell>
          <cell r="N100" t="str">
            <v>자료없음</v>
          </cell>
          <cell r="O100" t="str">
            <v>자료없음</v>
          </cell>
          <cell r="P100" t="str">
            <v>자료없음</v>
          </cell>
          <cell r="Q100" t="str">
            <v>자료없음</v>
          </cell>
          <cell r="R100" t="str">
            <v>자료없음</v>
          </cell>
          <cell r="S100" t="str">
            <v>해당없음</v>
          </cell>
          <cell r="T100" t="str">
            <v>LC50 669.836 ㎎/ℓ 96 hr (Estimate)</v>
          </cell>
          <cell r="U100" t="str">
            <v>LC50 331.154 ㎎/ℓ 48 hr (Estimate)</v>
          </cell>
          <cell r="V100" t="str">
            <v>EC50 106.801 ㎎/ℓ 96 hr (Estimate)</v>
          </cell>
          <cell r="W100" t="str">
            <v>log Kow 1.110 (Estimate) (NLM/ChemIDPlus)</v>
          </cell>
          <cell r="X100" t="str">
            <v>자료없음</v>
          </cell>
          <cell r="Y100" t="str">
            <v>BCF 1.39 (Estimate)</v>
          </cell>
          <cell r="Z100" t="str">
            <v>Non-degradable; not degraded and has a high potential to accumulate in vivo (estimate)</v>
          </cell>
          <cell r="AA100" t="str">
            <v>Koc 35.13 (Estimates)</v>
          </cell>
          <cell r="AB100" t="str">
            <v>해당없음</v>
          </cell>
          <cell r="AC100"/>
        </row>
        <row r="101">
          <cell r="A101" t="str">
            <v>13851-11-1</v>
          </cell>
          <cell r="B101" t="str">
            <v>FENCHYL ACETAET</v>
          </cell>
          <cell r="C101" t="str">
            <v>해당없음</v>
          </cell>
          <cell r="D101" t="str">
            <v>해당없음</v>
          </cell>
          <cell r="E101" t="str">
            <v>해당없음</v>
          </cell>
          <cell r="F101" t="str">
            <v>자료없음</v>
          </cell>
          <cell r="G101" t="str">
            <v>자료없음</v>
          </cell>
          <cell r="H101" t="str">
            <v>자료없음</v>
          </cell>
          <cell r="I101" t="str">
            <v>자료없음</v>
          </cell>
          <cell r="J101" t="str">
            <v>자료없음</v>
          </cell>
          <cell r="K101" t="str">
            <v>자료없음</v>
          </cell>
          <cell r="L101" t="str">
            <v>자료없음</v>
          </cell>
          <cell r="M101" t="str">
            <v>해당없음</v>
          </cell>
          <cell r="N101" t="str">
            <v>자료없음</v>
          </cell>
          <cell r="O101" t="str">
            <v>자료없음</v>
          </cell>
          <cell r="P101" t="str">
            <v>자료없음</v>
          </cell>
          <cell r="Q101" t="str">
            <v>자료없음</v>
          </cell>
          <cell r="R101" t="str">
            <v>자료없음</v>
          </cell>
          <cell r="S101" t="str">
            <v>해당없음</v>
          </cell>
          <cell r="T101" t="str">
            <v>자료없음</v>
          </cell>
          <cell r="U101" t="str">
            <v>자료없음</v>
          </cell>
          <cell r="V101" t="str">
            <v>자료없음</v>
          </cell>
          <cell r="W101" t="str">
            <v>자료없음</v>
          </cell>
          <cell r="X101" t="str">
            <v>자료없음</v>
          </cell>
          <cell r="Y101" t="str">
            <v>자료없음</v>
          </cell>
          <cell r="Z101" t="str">
            <v>자료없음</v>
          </cell>
          <cell r="AA101" t="str">
            <v>자료없음</v>
          </cell>
          <cell r="AB101" t="str">
            <v>해당없음</v>
          </cell>
          <cell r="AC101"/>
        </row>
        <row r="102">
          <cell r="A102" t="str">
            <v>139504-68-0</v>
          </cell>
          <cell r="B102" t="str">
            <v>AMBER CORE</v>
          </cell>
          <cell r="C102" t="str">
            <v>해당없음</v>
          </cell>
          <cell r="D102" t="str">
            <v>해당없음</v>
          </cell>
          <cell r="E102" t="str">
            <v>해당없음</v>
          </cell>
          <cell r="F102" t="str">
            <v>자료없음</v>
          </cell>
          <cell r="G102" t="str">
            <v>자료없음</v>
          </cell>
          <cell r="H102" t="str">
            <v>자료없음</v>
          </cell>
          <cell r="I102" t="str">
            <v>자료없음</v>
          </cell>
          <cell r="J102" t="str">
            <v>자료없음</v>
          </cell>
          <cell r="K102" t="str">
            <v>자료없음</v>
          </cell>
          <cell r="L102" t="str">
            <v>자료없음</v>
          </cell>
          <cell r="M102" t="str">
            <v>해당없음</v>
          </cell>
          <cell r="N102" t="str">
            <v>자료없음</v>
          </cell>
          <cell r="O102" t="str">
            <v>자료없음</v>
          </cell>
          <cell r="P102" t="str">
            <v>자료없음</v>
          </cell>
          <cell r="Q102" t="str">
            <v>자료없음</v>
          </cell>
          <cell r="R102" t="str">
            <v>자료없음</v>
          </cell>
          <cell r="S102" t="str">
            <v>해당없음</v>
          </cell>
          <cell r="T102" t="str">
            <v>자료없음</v>
          </cell>
          <cell r="U102" t="str">
            <v>자료없음</v>
          </cell>
          <cell r="V102" t="str">
            <v>자료없음</v>
          </cell>
          <cell r="W102" t="str">
            <v>자료없음</v>
          </cell>
          <cell r="X102" t="str">
            <v>자료없음</v>
          </cell>
          <cell r="Y102" t="str">
            <v>자료없음</v>
          </cell>
          <cell r="Z102" t="str">
            <v>자료없음</v>
          </cell>
          <cell r="AA102" t="str">
            <v>자료없음</v>
          </cell>
          <cell r="AB102" t="str">
            <v>해당없음</v>
          </cell>
        </row>
        <row r="103">
          <cell r="A103" t="str">
            <v>140-11-4</v>
          </cell>
          <cell r="B103" t="str">
            <v>BENZYL ACEATE</v>
          </cell>
          <cell r="C103" t="str">
            <v>해당없음</v>
          </cell>
          <cell r="D103" t="str">
            <v>해당없음</v>
          </cell>
          <cell r="E103" t="str">
            <v>해당없음</v>
          </cell>
          <cell r="F103" t="str">
            <v>LD50 2,490 ㎎/㎏ (Rat)</v>
          </cell>
          <cell r="G103" t="str">
            <v>LD50 5,000 ㎎/㎏ (Rabbit)</v>
          </cell>
          <cell r="H103" t="str">
            <v>LC50 1 ㎎/ℓ (Rat) (RIFM Database)</v>
          </cell>
          <cell r="I103" t="str">
            <v>자료없음</v>
          </cell>
          <cell r="J103" t="str">
            <v>눈 자극이 보고됨.</v>
          </cell>
          <cell r="K103" t="str">
            <v>자료없음</v>
          </cell>
          <cell r="L103" t="str">
            <v>사람에서 음성, 기니피그 시험에서 음성이 보고됨.</v>
          </cell>
          <cell r="M103" t="str">
            <v>ACGIH : A4</v>
          </cell>
          <cell r="N103" t="str">
            <v>마우스의 골수세포를 사용한 염색체 이상 시험 - 음성 마우스의 골수 적혈구를 사용한 소핵 시험 - 음성 마우스의 말초혈을 사용한 소핵 시험 - 음성 마우스를 사용한 자매염색체 교환 시험 - 음성</v>
          </cell>
          <cell r="O103" t="str">
            <v>자료없음</v>
          </cell>
          <cell r="P103" t="str">
            <v>자료없음</v>
          </cell>
          <cell r="Q103" t="str">
            <v>자료없음</v>
          </cell>
          <cell r="R103" t="str">
            <v>자료없음</v>
          </cell>
          <cell r="S103" t="str">
            <v>해당없음</v>
          </cell>
          <cell r="T103" t="str">
            <v>LC50 4 ㎎/ℓ 96 hr (NITE)</v>
          </cell>
          <cell r="U103" t="str">
            <v>자료없음</v>
          </cell>
          <cell r="V103" t="str">
            <v>자료없음</v>
          </cell>
          <cell r="W103" t="str">
            <v>자료없음</v>
          </cell>
          <cell r="X103" t="str">
            <v>자료없음</v>
          </cell>
          <cell r="Y103" t="str">
            <v>자료없음</v>
          </cell>
          <cell r="Z103" t="str">
            <v>95 (%)</v>
          </cell>
          <cell r="AA103" t="str">
            <v>자료없음</v>
          </cell>
          <cell r="AB103" t="str">
            <v>해당없음</v>
          </cell>
        </row>
        <row r="104">
          <cell r="A104" t="str">
            <v>140-67-0</v>
          </cell>
          <cell r="B104" t="str">
            <v>ALLLYLANISONE</v>
          </cell>
          <cell r="C104" t="str">
            <v>해당없음</v>
          </cell>
          <cell r="D104" t="str">
            <v>해당없음</v>
          </cell>
          <cell r="E104" t="str">
            <v>해당없음</v>
          </cell>
          <cell r="F104" t="str">
            <v>LD50 1,230 ㎎/㎏ (Rat) (NLM, chemIDplus, TOMES;LOLI, USEPA HPVIS)</v>
          </cell>
          <cell r="G104" t="str">
            <v xml:space="preserve"> LD50 &gt;50,000 ㎎/㎏  (Rabbit) (NLM, ChemIDplus, TOMES;LOLI, USEPA HPVIS)</v>
          </cell>
          <cell r="H104" t="str">
            <v>자료없음</v>
          </cell>
          <cell r="I104" t="str">
            <v>자료없음</v>
          </cell>
          <cell r="J104" t="str">
            <v>자료없음</v>
          </cell>
          <cell r="K104" t="str">
            <v>자료없음</v>
          </cell>
          <cell r="L104" t="str">
            <v>자료없음</v>
          </cell>
          <cell r="M104" t="str">
            <v>해당없음</v>
          </cell>
          <cell r="N104" t="str">
            <v>In vitro-미생물 복귀돌연변이시험: 음성, -포유류 배양세포부정기DNA합성시험: 양성. In vivo-포유류 적혈구소핵시험: 음성. in vivo 32P post-labelling DNA adduct 시험: 양성. (NLM;CCRIS, NTP, USEPA HPVIS, HSDB;UDS;NLM;CCRIS, USEPA HPVIS;NTP;USEPA HPVIS;)</v>
          </cell>
          <cell r="O104" t="str">
            <v>자료없음</v>
          </cell>
          <cell r="P104" t="str">
            <v>자료없음</v>
          </cell>
          <cell r="Q104" t="str">
            <v>마우스 경구반복독성 NOAEL=75mg/kg bw/day. 랫트 경구반복독성 LOAEL=37.5mg/kg bw/day. 수컷에서 간과 신장의 무게 증가, 체중과 고환무게 감소 등. 암컷에서 간, 폐, 갑상선, 심장, 신장 무게 증가함. (USEPA HPVIS;NTP;)</v>
          </cell>
          <cell r="R104" t="str">
            <v>자료없음</v>
          </cell>
          <cell r="S104" t="str">
            <v>해당없음</v>
          </cell>
          <cell r="T104" t="str">
            <v>자료없음</v>
          </cell>
          <cell r="U104" t="str">
            <v>50 2.65 ㎎/ℓ 48 hr (USEPA HPVIS)</v>
          </cell>
          <cell r="V104" t="str">
            <v xml:space="preserve"> EC50 2.81 ㎎/ℓ 96 hr (USEPA HPVIS)</v>
          </cell>
          <cell r="W104" t="str">
            <v>자료없음</v>
          </cell>
          <cell r="X104" t="str">
            <v>자료없음</v>
          </cell>
          <cell r="Y104" t="str">
            <v>자료없음</v>
          </cell>
          <cell r="Z104" t="str">
            <v>자료없음</v>
          </cell>
          <cell r="AA104" t="str">
            <v>자료없음</v>
          </cell>
          <cell r="AB104" t="str">
            <v>해당없음</v>
          </cell>
        </row>
        <row r="105">
          <cell r="A105" t="str">
            <v>141-12-8</v>
          </cell>
          <cell r="B105" t="str">
            <v>NERYL ACETATE</v>
          </cell>
          <cell r="C105" t="str">
            <v>해당없음</v>
          </cell>
          <cell r="D105" t="str">
            <v>해당없음</v>
          </cell>
          <cell r="E105" t="str">
            <v>해당없음</v>
          </cell>
          <cell r="F105" t="str">
            <v>LD50 &gt; 5000 ㎎/㎏ Rat (NLM)</v>
          </cell>
          <cell r="G105" t="str">
            <v>LD50 &gt; 5000 ㎎/㎏ Rabbit (NLM)</v>
          </cell>
          <cell r="H105" t="str">
            <v>자료없음</v>
          </cell>
          <cell r="I105" t="str">
            <v>자료없음</v>
          </cell>
          <cell r="J105" t="str">
            <v>자료없음</v>
          </cell>
          <cell r="K105" t="str">
            <v>자료없음</v>
          </cell>
          <cell r="L105" t="str">
            <v>자료없음</v>
          </cell>
          <cell r="M105" t="str">
            <v>해당없음</v>
          </cell>
          <cell r="N105" t="str">
            <v>자료없음</v>
          </cell>
          <cell r="O105" t="str">
            <v>자료없음</v>
          </cell>
          <cell r="P105" t="str">
            <v>자료없음</v>
          </cell>
          <cell r="Q105" t="str">
            <v>자료없음</v>
          </cell>
          <cell r="R105" t="str">
            <v>자료없음</v>
          </cell>
          <cell r="S105" t="str">
            <v>해당없음</v>
          </cell>
          <cell r="T105" t="str">
            <v>LC50 0.552 ㎎/ℓ 96 hr (Estimate)</v>
          </cell>
          <cell r="U105" t="str">
            <v>LC50 0.946 ㎎/ℓ 48 hr (Estimate)</v>
          </cell>
          <cell r="V105" t="str">
            <v>EC50 0.405 ㎎/ℓ 96 hr (Estimate)</v>
          </cell>
          <cell r="W105" t="str">
            <v>log Kow 3.98 (NLM)</v>
          </cell>
          <cell r="X105" t="str">
            <v>자료없음</v>
          </cell>
          <cell r="Y105" t="str">
            <v>BCF 196.3 (Estimate)</v>
          </cell>
          <cell r="Z105" t="str">
            <v>(Cut-off value 0.6342; rapidly biodegradable(BIOWIN 5)) (Estimate)</v>
          </cell>
          <cell r="AA105" t="str">
            <v>Koc 3.061 (Estimate)</v>
          </cell>
          <cell r="AB105" t="str">
            <v>해당없음</v>
          </cell>
        </row>
        <row r="106">
          <cell r="A106" t="str">
            <v>141773-73-1</v>
          </cell>
          <cell r="B106" t="str">
            <v>DIMETHYLCYCLOHEXYLETHOXY ISOBUTYLPROPANOATE</v>
          </cell>
          <cell r="C106" t="str">
            <v>해당없음</v>
          </cell>
          <cell r="D106" t="str">
            <v>해당없음</v>
          </cell>
          <cell r="E106" t="str">
            <v>해당없음</v>
          </cell>
          <cell r="F106" t="str">
            <v>LD50 &gt;2,000 ㎎/㎏ (OECD Guideline 423, GLP) (Rat) (ECHA)</v>
          </cell>
          <cell r="G106" t="str">
            <v>LD50 &gt;2,000 ㎎/㎏ (OECD Guideline 402, GLP) (Rat) (ECHA)</v>
          </cell>
          <cell r="H106" t="str">
            <v>자료없음</v>
          </cell>
          <cell r="I106" t="str">
            <v>자료없음</v>
          </cell>
          <cell r="J106" t="str">
            <v>자료없음</v>
          </cell>
          <cell r="K106" t="str">
            <v>자료없음</v>
          </cell>
          <cell r="L106" t="str">
            <v>자료없음</v>
          </cell>
          <cell r="M106" t="str">
            <v>해당없음</v>
          </cell>
          <cell r="N106" t="str">
            <v>자료없음</v>
          </cell>
          <cell r="O106" t="str">
            <v>자료없음</v>
          </cell>
          <cell r="P106" t="str">
            <v>자료없음</v>
          </cell>
          <cell r="Q106" t="str">
            <v>자료없음</v>
          </cell>
          <cell r="R106" t="str">
            <v>자료없음</v>
          </cell>
          <cell r="S106" t="str">
            <v>해당없음</v>
          </cell>
          <cell r="T106" t="str">
            <v>LC50 1.9 ㎎/ℓ (Other: danio rerio) (RIFM Database)</v>
          </cell>
          <cell r="U106" t="str">
            <v>LC50 0.93 ㎎/ℓ (Daphnia sp.) (RIFM Database)</v>
          </cell>
          <cell r="V106" t="str">
            <v>EC50 &gt; 1.1 ㎎/ℓ 96 hr (OECD Guideline 201, GLP) (Selenastrum capricornutum) (ECHA)</v>
          </cell>
          <cell r="W106" t="str">
            <v>자료없음</v>
          </cell>
          <cell r="X106" t="str">
            <v>자료없음</v>
          </cell>
          <cell r="Y106" t="str">
            <v>자료없음</v>
          </cell>
          <cell r="Z106" t="str">
            <v>자료없음</v>
          </cell>
          <cell r="AA106" t="str">
            <v>자료없음</v>
          </cell>
          <cell r="AB106" t="str">
            <v>해당없음</v>
          </cell>
          <cell r="AC106"/>
        </row>
        <row r="107">
          <cell r="A107" t="str">
            <v>141773-73-1</v>
          </cell>
          <cell r="B107" t="str">
            <v>DIMETHYLCYCLOHEXYLETHOXY ISOBUTYLPROPANOATE</v>
          </cell>
          <cell r="C107" t="str">
            <v>해당없음</v>
          </cell>
          <cell r="D107" t="str">
            <v>해당없음</v>
          </cell>
          <cell r="E107" t="str">
            <v>해당없음</v>
          </cell>
          <cell r="F107" t="str">
            <v>LD50 &gt;2000 ㎎/㎏ Rat (OECD Guideline 423, GLP, ECHA)</v>
          </cell>
          <cell r="G107" t="str">
            <v>LD50 &gt;2000 ㎎/㎏ Rat (OECD Guideline 402, GLP, ECHA)</v>
          </cell>
          <cell r="H107" t="str">
            <v>자료없음</v>
          </cell>
          <cell r="I107" t="str">
            <v>토끼를 대상으로 피부자극성시험결과, 무자극 (OECD Guideline 404, GLP) (ECHA)</v>
          </cell>
          <cell r="J107" t="str">
            <v>토끼를 대상으로 눈 자극성시험결과, 무자극 (EU Method B.5, OECD Guideline 405와 동등 또는 유사, GLP) (ECHA)</v>
          </cell>
          <cell r="K107" t="str">
            <v>자료없음</v>
          </cell>
          <cell r="L107" t="str">
            <v>기니피그를 이용한 최대화시험 결과, 민감하지 않음 (EU Method B.6, OECD Guideline 406과 동등 또는 유사, GLP) (ECHA)</v>
          </cell>
          <cell r="M107" t="str">
            <v>해당없음</v>
          </cell>
          <cell r="N107" t="str">
            <v>시험관 내 변이원성 시험: 포유류 배양세포를 이용한 염색체이상시험 음성 (OECD Guideline 473, GLP) (ECHA)</v>
          </cell>
          <cell r="O107" t="str">
            <v>랫드(남/여)를 대상으로 경구노출을 통한 1세대 생식독성시험결과, 부모와 자식 동물 모두 영향없음, NOAEL(P, F1)=1,000 mg/kg bw (OECD Guideline 415, GLP) (ECHA)</v>
          </cell>
          <cell r="P107" t="str">
            <v>자료없음</v>
          </cell>
          <cell r="Q107" t="str">
            <v>랫드(암/수)를 이용한 28일간의 반복경구독성 시험 결과, 최고용량에서 독성학적으로 중대한 변화를 일으키지 않았음. NOAEL=1000 mg/kg bw/day (EU Method B.7, GLP) (ECHA)</v>
          </cell>
          <cell r="R107" t="str">
            <v>자료없음</v>
          </cell>
          <cell r="S107" t="str">
            <v>해당없음</v>
          </cell>
          <cell r="T107" t="str">
            <v>자료없음</v>
          </cell>
          <cell r="U107" t="str">
            <v>자료없음</v>
          </cell>
          <cell r="V107" t="str">
            <v>EC50 &gt;1.1 ㎎/ℓ 96 hr Selenastrum capricornutum (ECHA)</v>
          </cell>
          <cell r="W107" t="str">
            <v>자료없음</v>
          </cell>
          <cell r="X107" t="str">
            <v>자료없음</v>
          </cell>
          <cell r="Y107" t="str">
            <v>자료없음</v>
          </cell>
          <cell r="Z107" t="str">
            <v>17 (%), 28 day (ECHA)</v>
          </cell>
          <cell r="AA107" t="str">
            <v>자료없음</v>
          </cell>
          <cell r="AB107" t="str">
            <v>해당없음</v>
          </cell>
          <cell r="AC107"/>
        </row>
        <row r="108">
          <cell r="A108" t="str">
            <v>141-78-6</v>
          </cell>
          <cell r="B108" t="str">
            <v>ETHYL ACETATE</v>
          </cell>
          <cell r="C108" t="str">
            <v>TWA : 400 ppm</v>
          </cell>
          <cell r="D108" t="str">
            <v>해당없음</v>
          </cell>
          <cell r="E108" t="str">
            <v>해당없음</v>
          </cell>
          <cell r="F108" t="str">
            <v>LD50 5620 ㎎/㎏ Rat (IUCLID)</v>
          </cell>
          <cell r="G108" t="str">
            <v>LD50 &gt; 18000 ㎎/㎏ Rabbit (IUCLID)</v>
          </cell>
          <cell r="H108" t="str">
            <v>LC50 100 ㎎/ℓ 4 hr Rat (LC50 200 mg/L/1hr)(IUCLID)</v>
          </cell>
          <cell r="I108" t="str">
            <v>토끼에서 비자극성 (ECHA)</v>
          </cell>
          <cell r="J108" t="str">
            <v>자극성 있음. 환경부 화학물질 관리법 유독물질 고시에 따라 심한 눈 손상성/눈 자극성 구분2 로 분류됨 (NIER)</v>
          </cell>
          <cell r="K108" t="str">
            <v>자료없음</v>
          </cell>
          <cell r="L108" t="str">
            <v>기니피그 시험결과 약한 과민 가능성</v>
          </cell>
          <cell r="M108" t="str">
            <v>해당없음</v>
          </cell>
          <cell r="N108" t="str">
            <v>시험관 내 미생물을 이용한 복귀돌연변히시험결과OECD TG 471, 대사활성계 유무와 상관없이 음성 시험관 내 포유류 배양세포를 이용한 염색체이상시험결과OECD TG 473, 대사활성계 유무와 상관없이 음성 시험관 내 포유류 세포를이용한 자매염색분체교환시험결과, 대사활성계 없을 때 음성, 대사활성계 있을 때 양성 시험관 내 염색체 이수성Aneuploidy in Saccharomyces cerevisiae시험결과, 대사활성계 없을 때 양성 시험관 내 포유류 배양세포를 이용한 염색체이상시험결과OECD TG 473, 대사활성계 없을 때 애매함 생체 내 포유류 적혈구를 이용한 소핵시험결과OECD TG 474, 음성 생체 내 소핵시험결과, 음성 (ECHA)</v>
          </cell>
          <cell r="O108" t="str">
            <v>랫드(수)를 이용한 13주 흡입생식독성시험결과(other guideline: US EPA Health Effects Testing Guidelines 40 CFR Part 798.2450), 정자 수, 운동성에 영향없음(NOAEL(P,수컷)=1,500ppm) 랫드를 이용한 흡입태아발달시험결과(OECD TG 414), 모체독성으로 마취 및 음식소비량감소(NOAEL(모체독성)=16,000ppm, NOAEL(최기형성)≥20,000ppm, LOAEL(모체독성)=20,000ppm) (유사물질 CAS No. 64-17-5)(ECHA)</v>
          </cell>
          <cell r="P108" t="str">
            <v>졸음 또는 현기증을 일으킬 수 있음(NIER) (환경부 화학물질관리법 유독물질 고시에 따라 특정 표적장기 1 회노출 구분 3(마취작용)으로 분류됨)</v>
          </cell>
          <cell r="Q108" t="str">
            <v>자료없음</v>
          </cell>
          <cell r="R108" t="str">
            <v>자료없음</v>
          </cell>
          <cell r="S108" t="str">
            <v>해당없음</v>
          </cell>
          <cell r="T108" t="str">
            <v>LC50 220 mg/L/96hr Pimephales promelas (Fathead minnow)(NIER)</v>
          </cell>
          <cell r="U108" t="str">
            <v>자료없음</v>
          </cell>
          <cell r="V108" t="str">
            <v>자료없음</v>
          </cell>
          <cell r="W108" t="str">
            <v>자료없음</v>
          </cell>
          <cell r="X108" t="str">
            <v>자료없음</v>
          </cell>
          <cell r="Y108" t="str">
            <v>자료없음</v>
          </cell>
          <cell r="Z108" t="str">
            <v>자료없음</v>
          </cell>
          <cell r="AA108" t="str">
            <v>자료없음</v>
          </cell>
          <cell r="AB108" t="str">
            <v>해당없음</v>
          </cell>
        </row>
        <row r="109">
          <cell r="A109" t="str">
            <v>141-97-9</v>
          </cell>
          <cell r="B109" t="str">
            <v>ETHYL ACETOACETATE</v>
          </cell>
          <cell r="C109" t="str">
            <v>해당없음</v>
          </cell>
          <cell r="D109" t="str">
            <v>해당없음</v>
          </cell>
          <cell r="E109" t="str">
            <v>해당없음</v>
          </cell>
          <cell r="F109" t="str">
            <v>LD50 3980 ㎎/㎏ Rat(IUCLID)</v>
          </cell>
          <cell r="G109" t="str">
            <v>LD50 &gt; 5000 ㎎/㎏ Rabbit(IUCLID)</v>
          </cell>
          <cell r="H109" t="str">
            <v>자료없음</v>
          </cell>
          <cell r="I109" t="str">
            <v>피부에 적당한 자극(HSDB)</v>
          </cell>
          <cell r="J109" t="str">
            <v>자극 없음(IUCLID)</v>
          </cell>
          <cell r="K109" t="str">
            <v>자료없음</v>
          </cell>
          <cell r="L109" t="str">
            <v>기니피그 시험결과 과민성반응이 없음, 사람에 시험 결과 과민성반응이 없음(IUCLID)</v>
          </cell>
          <cell r="M109" t="str">
            <v>해당없음</v>
          </cell>
          <cell r="N109" t="str">
            <v>Ames 시험 : 음성 염색체 이수성 실험 : 음성 : 2.55~20.0mg/ml(EU IUCLID)</v>
          </cell>
          <cell r="O109" t="str">
            <v>자료없음</v>
          </cell>
          <cell r="P109" t="str">
            <v>자료없음</v>
          </cell>
          <cell r="Q109" t="str">
            <v>실험종 : Rat &gt;1000mg/kg 28일 경구반복독성시험 최고농도에서도 아무영향 없음(OECD TG 407)</v>
          </cell>
          <cell r="R109" t="str">
            <v>자료없음</v>
          </cell>
          <cell r="S109" t="str">
            <v>해당없음</v>
          </cell>
          <cell r="T109" t="str">
            <v>LC50 290 ㎎/ℓ 96 hr Oncorhynchus mykiss (Estimate)</v>
          </cell>
          <cell r="U109" t="str">
            <v>EC50 646 ㎎/ℓ 48 hr Daphnia magna (IUCLID)</v>
          </cell>
          <cell r="V109" t="str">
            <v>ErC50 &gt;500 ㎎/ℓ 72 hr Scenedesmus subspicatus (IUCLID)</v>
          </cell>
          <cell r="W109" t="str">
            <v>log Kow 0.25</v>
          </cell>
          <cell r="X109" t="str">
            <v>자료없음</v>
          </cell>
          <cell r="Y109" t="str">
            <v>BCF 3.162 (Estimate)</v>
          </cell>
          <cell r="Z109" t="str">
            <v>66 (%) 28 day (IUCLID)</v>
          </cell>
          <cell r="AA109" t="str">
            <v>자료없음</v>
          </cell>
          <cell r="AB109" t="str">
            <v>해당없음</v>
          </cell>
          <cell r="AC109"/>
        </row>
        <row r="110">
          <cell r="A110" t="str">
            <v>142-19-8</v>
          </cell>
          <cell r="B110" t="str">
            <v>ALLYL HEPTYLATE</v>
          </cell>
          <cell r="C110" t="str">
            <v>해당없음</v>
          </cell>
          <cell r="D110" t="str">
            <v>해당없음</v>
          </cell>
          <cell r="E110" t="str">
            <v>해당없음</v>
          </cell>
          <cell r="F110" t="str">
            <v>LD50 500 ㎎/㎏ Rat(NLM)</v>
          </cell>
          <cell r="G110" t="str">
            <v>LD50 810 ㎎/㎏ Rabbit(NLM)</v>
          </cell>
          <cell r="H110" t="str">
            <v>자료없음</v>
          </cell>
          <cell r="I110" t="str">
            <v>STANDARD DRAIZE TEST 결과 약한 자극 나타남(Registry of Toxic Effects of Chemical Substances)</v>
          </cell>
          <cell r="J110" t="str">
            <v>자료없음</v>
          </cell>
          <cell r="K110" t="str">
            <v>자료없음</v>
          </cell>
          <cell r="L110" t="str">
            <v>자료없음</v>
          </cell>
          <cell r="M110" t="str">
            <v>해당없음</v>
          </cell>
          <cell r="N110" t="str">
            <v>Computed Probability of Mutagenicy0.015</v>
          </cell>
          <cell r="O110" t="str">
            <v>자료없음</v>
          </cell>
          <cell r="P110" t="str">
            <v>자료없음</v>
          </cell>
          <cell r="Q110" t="str">
            <v>자료없음</v>
          </cell>
          <cell r="R110" t="str">
            <v>자료없음</v>
          </cell>
          <cell r="S110" t="str">
            <v>해당없음</v>
          </cell>
          <cell r="T110" t="str">
            <v>LC50 0.653 ㎎/ℓ 96 hr (Estimate)</v>
          </cell>
          <cell r="U110" t="str">
            <v>LC50 3.006 ㎎/ℓ 48 hr (Estimate)</v>
          </cell>
          <cell r="V110" t="str">
            <v>EC50 0.70 ㎎/ℓ 96 hr (Estimate)</v>
          </cell>
          <cell r="W110" t="str">
            <v>log Kow 3.67 (Estimate)</v>
          </cell>
          <cell r="X110" t="str">
            <v>자료없음</v>
          </cell>
          <cell r="Y110" t="str">
            <v>BCF 123.4 (Estimate)</v>
          </cell>
          <cell r="Z110" t="str">
            <v>(Cut-off value: 0.8648; rapidly biodegraddable(BIOWIN 5)) (Estimate)</v>
          </cell>
          <cell r="AA110" t="str">
            <v>Koc 2.889(Estimate)</v>
          </cell>
          <cell r="AB110" t="str">
            <v>해당없음</v>
          </cell>
        </row>
        <row r="111">
          <cell r="A111" t="str">
            <v>142-62-1</v>
          </cell>
          <cell r="B111" t="str">
            <v>CAPROIC ACID</v>
          </cell>
          <cell r="C111" t="str">
            <v>해당없음</v>
          </cell>
          <cell r="D111" t="str">
            <v>해당없음</v>
          </cell>
          <cell r="E111" t="str">
            <v>해당없음</v>
          </cell>
          <cell r="F111" t="str">
            <v>LD50 3000 ㎎/㎏ Rat(HSDB)</v>
          </cell>
          <cell r="G111" t="str">
            <v>자료없음</v>
          </cell>
          <cell r="H111" t="str">
            <v>자료없음</v>
          </cell>
          <cell r="I111" t="str">
            <v>피부에 약한 자극(HSDB)</v>
          </cell>
          <cell r="J111" t="str">
            <v>눈에 심한 자극(HSDB)</v>
          </cell>
          <cell r="K111" t="str">
            <v>자료없음</v>
          </cell>
          <cell r="L111" t="str">
            <v>자료없음</v>
          </cell>
          <cell r="M111" t="str">
            <v>해당없음</v>
          </cell>
          <cell r="N111" t="str">
            <v>자료없음</v>
          </cell>
          <cell r="O111" t="str">
            <v>자료없음</v>
          </cell>
          <cell r="P111" t="str">
            <v>자료없음</v>
          </cell>
          <cell r="Q111" t="str">
            <v>자료없음</v>
          </cell>
          <cell r="R111" t="str">
            <v>자료없음</v>
          </cell>
          <cell r="S111" t="str">
            <v>해당없음</v>
          </cell>
          <cell r="T111" t="str">
            <v>LC50 88 ㎎/ℓ 96 hr Pimephales promelas (ECOTOX)</v>
          </cell>
          <cell r="U111" t="str">
            <v>자료없음</v>
          </cell>
          <cell r="V111" t="str">
            <v>자료없음</v>
          </cell>
          <cell r="W111" t="str">
            <v>log Kow 1.92(Estimate)</v>
          </cell>
          <cell r="X111" t="str">
            <v>자료없음</v>
          </cell>
          <cell r="Y111" t="str">
            <v>BCF 3.162 (Estimate)</v>
          </cell>
          <cell r="Z111" t="str">
            <v>66 ~ 87 (%) 25 day (HSDB)</v>
          </cell>
          <cell r="AA111" t="str">
            <v>자료없음</v>
          </cell>
          <cell r="AB111" t="str">
            <v>해당없음</v>
          </cell>
          <cell r="AC111"/>
        </row>
        <row r="112">
          <cell r="A112" t="str">
            <v>142-92-7</v>
          </cell>
          <cell r="B112" t="str">
            <v>HEXYL ACETATE</v>
          </cell>
          <cell r="C112" t="str">
            <v>해당없음</v>
          </cell>
          <cell r="D112" t="str">
            <v>해당없음</v>
          </cell>
          <cell r="E112" t="str">
            <v>해당없음</v>
          </cell>
          <cell r="F112" t="str">
            <v>자료없음</v>
          </cell>
          <cell r="G112" t="str">
            <v>LD50 &gt; 5000 ㎎/㎏ Rabbit</v>
          </cell>
          <cell r="H112" t="str">
            <v>자료없음</v>
          </cell>
          <cell r="I112" t="str">
            <v>토끼에 중등도의 자극성 (moderately irritant) 및 어느 정도 피부에 흡수되는 듯하므로 구분 2 (nite). 보통의 자극(HSDB)</v>
          </cell>
          <cell r="J112" t="str">
            <v>토끼의 눈에 가벼운 자극성, 사람에 노출시 눈을 자극하지만 구분 외 (nite). 보통의 자극(HSDB)</v>
          </cell>
          <cell r="K112" t="str">
            <v>자료없음</v>
          </cell>
          <cell r="L112" t="str">
            <v>자료없음</v>
          </cell>
          <cell r="M112" t="str">
            <v>해당없음</v>
          </cell>
          <cell r="N112" t="str">
            <v>자료없음</v>
          </cell>
          <cell r="O112" t="str">
            <v>자료없음</v>
          </cell>
          <cell r="P112" t="str">
            <v>자료없음</v>
          </cell>
          <cell r="Q112" t="str">
            <v>자료없음</v>
          </cell>
          <cell r="R112" t="str">
            <v>자료없음</v>
          </cell>
          <cell r="S112" t="str">
            <v>해당없음</v>
          </cell>
          <cell r="T112" t="str">
            <v>LC50 4 ㎎/ℓ 96 hr Pimephales promelas (ECOTOX)</v>
          </cell>
          <cell r="U112" t="str">
            <v>자료없음</v>
          </cell>
          <cell r="V112" t="str">
            <v>자료없음</v>
          </cell>
          <cell r="W112" t="str">
            <v>log Kow 2.83 (Estimate) (ChemIDplus)</v>
          </cell>
          <cell r="X112" t="str">
            <v>자료없음</v>
          </cell>
          <cell r="Y112" t="str">
            <v>BCF 30.06 (Estimate)</v>
          </cell>
          <cell r="Z112" t="str">
            <v>자료없음</v>
          </cell>
          <cell r="AA112" t="str">
            <v>자료없음</v>
          </cell>
          <cell r="AB112" t="str">
            <v>해당없음</v>
          </cell>
          <cell r="AC112"/>
        </row>
        <row r="113">
          <cell r="A113" t="str">
            <v>14901-07-6</v>
          </cell>
          <cell r="B113" t="str">
            <v>Beta-IONONE</v>
          </cell>
          <cell r="C113" t="str">
            <v>해당없음</v>
          </cell>
          <cell r="D113" t="str">
            <v>해당없음</v>
          </cell>
          <cell r="E113" t="str">
            <v>해당없음</v>
          </cell>
          <cell r="F113" t="str">
            <v>LD50 4590 (Rat) (e-chemportal, RTECS)</v>
          </cell>
          <cell r="G113" t="str">
            <v>LD50 &gt;5,000 ㎎/㎏ (Rabbit) (RIFM Database)</v>
          </cell>
          <cell r="H113" t="str">
            <v>LC50 67 ㎎/ℓ (Rat) (RIFM Database)</v>
          </cell>
          <cell r="I113" t="str">
            <v>자료없음</v>
          </cell>
          <cell r="J113" t="str">
            <v>자료없음</v>
          </cell>
          <cell r="K113" t="str">
            <v>자료없음</v>
          </cell>
          <cell r="L113" t="str">
            <v>자료없음</v>
          </cell>
          <cell r="M113" t="str">
            <v>해당없음</v>
          </cell>
          <cell r="N113" t="str">
            <v>자료없음</v>
          </cell>
          <cell r="O113" t="str">
            <v>자료없음</v>
          </cell>
          <cell r="P113" t="str">
            <v>자료없음</v>
          </cell>
          <cell r="Q113" t="str">
            <v>자료없음</v>
          </cell>
          <cell r="R113" t="str">
            <v>자료없음</v>
          </cell>
          <cell r="S113" t="str">
            <v>해당없음</v>
          </cell>
          <cell r="T113" t="str">
            <v>LC50 3.02 96 hr (Neutral Organic SAR Baseline Toxicity) (ECOSAR)</v>
          </cell>
          <cell r="U113" t="str">
            <v>EC50 1.019 48 hr (Neutral Organic SAR Baseline Toxicity) (Daphnia) (ECOSAR)</v>
          </cell>
          <cell r="V113" t="str">
            <v>EC50 1.188 ㎎/ℓ 96 hr (Neutral Organic SAR Baseline Toxicity) (Green algae) (ECOSAR)</v>
          </cell>
          <cell r="W113" t="str">
            <v>자료없음</v>
          </cell>
          <cell r="X113" t="str">
            <v>자료없음</v>
          </cell>
          <cell r="Y113" t="str">
            <v>자료없음</v>
          </cell>
          <cell r="Z113" t="str">
            <v>자료없음</v>
          </cell>
          <cell r="AA113" t="str">
            <v>자료없음</v>
          </cell>
          <cell r="AB113" t="str">
            <v>해당없음</v>
          </cell>
          <cell r="AC113"/>
        </row>
        <row r="114">
          <cell r="A114" t="str">
            <v>1506-02-1</v>
          </cell>
          <cell r="B114" t="str">
            <v>HAT-31(TONALIDE, GANOLIDE)</v>
          </cell>
          <cell r="C114" t="str">
            <v>해당없음</v>
          </cell>
          <cell r="D114" t="str">
            <v>해당없음</v>
          </cell>
          <cell r="E114" t="str">
            <v>해당없음</v>
          </cell>
          <cell r="F114" t="str">
            <v>LD50 920 ㎎/㎏ Rat(RAR)</v>
          </cell>
          <cell r="G114" t="str">
            <v>LD50 &gt; 5000 ㎎/㎏ Rabbit(RAR)</v>
          </cell>
          <cell r="H114" t="str">
            <v>자료없음</v>
          </cell>
          <cell r="I114" t="str">
            <v>토끼-자극없음, 홍반이나 부종 증상 없음(0.5 g AHTN moistened with water) (GLP)(RAR)</v>
          </cell>
          <cell r="J114" t="str">
            <v>토끼-약한 자극(GLP, OECD Guideline 405)(IUCLID)</v>
          </cell>
          <cell r="K114" t="str">
            <v>자료없음</v>
          </cell>
          <cell r="L114" t="str">
            <v>자료없음</v>
          </cell>
          <cell r="M114" t="str">
            <v>해당없음</v>
          </cell>
          <cell r="N114" t="str">
            <v>in vitro 미생물을 이용한 복귀돌연변이 시험 (S.typhimurium and E. coli)-음성 (GLP, OECD 471) in vitro 포유류 배양세포를 이용한 유전자돌연변이시험 (Cytogenetic Assay, CHO)-음성 (GLP, OECD 473) in vivo 소핵시험 (Mouse Micronucleus Assay)-음성(GLP, OECD 47R)(RAR)</v>
          </cell>
          <cell r="O114" t="str">
            <v>임신 혹은 수유 기간 동안 임신한 암컷에 어떤 영향이 없었음. F1 세대에서 태어나기 전이나 출생 후 성장에 발달독성 나타나지 않음. F1 암, 수컷의 부검에서 postweaning behavioural tests 나 mating performance의 변화는일어나지 않았으며, F2의 거시적인 부검검사에서 reproductive capacity나 litter data가 관찰되지 않음. 모체독성 NOAEL=15mg/kg bw/day, 발달독성은 50 mg/kg bw/day의 가장 높은 용량에서 나타나지 않았으므로 NOAEL is ≥50 mg/kg bw/day으로 함</v>
          </cell>
          <cell r="P114" t="str">
            <v>자료없음</v>
          </cell>
          <cell r="Q114" t="str">
            <v>28일간 경구 실험에서 10mg/kg bw/day까지의 농도에서 영향이 없음 90일간 경구 실험에서 50 mg/kg bw/day의 가장 높은 농도에서 약간의 혈액학적 영향이 발견되었고, 간과 장간막(間膜)림프의 변색이 있었지만, 낮은 농도의 동물에게서는 발견되지 않음. 15 mg/kg bw/day에서 미미한 변화가 관찰되어 NOAEL=5 mg/kg bw/day(RAR)</v>
          </cell>
          <cell r="R114" t="str">
            <v>자료없음</v>
          </cell>
          <cell r="S114" t="str">
            <v>해당없음</v>
          </cell>
          <cell r="T114" t="str">
            <v>LC50 0.03 ㎎/ℓ 96 hr (Estimate)</v>
          </cell>
          <cell r="U114" t="str">
            <v>LC50 0.032 ㎎/ℓ 48 hr (Estimate)</v>
          </cell>
          <cell r="V114" t="str">
            <v>EC50 0.032 ㎎/ℓ 96 hr (Estimate)</v>
          </cell>
          <cell r="W114" t="str">
            <v>log Kow 5.7 (RAR)</v>
          </cell>
          <cell r="X114" t="str">
            <v>자료없음</v>
          </cell>
          <cell r="Y114" t="str">
            <v>BCF 696.2  (Estimate)</v>
          </cell>
          <cell r="Z114" t="str">
            <v>21 (%) 21 day (IUCLID)</v>
          </cell>
          <cell r="AA114" t="str">
            <v>Koc 18770 (Can be adsorbed in the soil)  (estimate)</v>
          </cell>
          <cell r="AB114" t="str">
            <v>해당없음</v>
          </cell>
        </row>
        <row r="115">
          <cell r="A115" t="str">
            <v>150-84-5</v>
          </cell>
          <cell r="B115" t="str">
            <v>CITRONELLYL ACETATE</v>
          </cell>
          <cell r="C115" t="str">
            <v>해당없음</v>
          </cell>
          <cell r="D115" t="str">
            <v>해당없음</v>
          </cell>
          <cell r="E115" t="str">
            <v>해당없음</v>
          </cell>
          <cell r="F115" t="str">
            <v>LD50 6,800 ㎎/㎏ (Rat) (NLM, ChemIDPlus, TOMES;Loli)</v>
          </cell>
          <cell r="G115" t="str">
            <v>자료없음</v>
          </cell>
          <cell r="H115" t="str">
            <v>자료없음</v>
          </cell>
          <cell r="I115" t="str">
            <v>자료없음</v>
          </cell>
          <cell r="J115" t="str">
            <v>자료없음</v>
          </cell>
          <cell r="K115" t="str">
            <v>자료없음</v>
          </cell>
          <cell r="L115" t="str">
            <v>자료없음</v>
          </cell>
          <cell r="M115" t="str">
            <v>해당없음</v>
          </cell>
          <cell r="N115" t="str">
            <v>자료없음</v>
          </cell>
          <cell r="O115" t="str">
            <v>자료없음</v>
          </cell>
          <cell r="P115" t="str">
            <v>자료없음</v>
          </cell>
          <cell r="Q115" t="str">
            <v>자료없음</v>
          </cell>
          <cell r="R115" t="str">
            <v>자료없음</v>
          </cell>
          <cell r="S115" t="str">
            <v>해당없음</v>
          </cell>
          <cell r="T115" t="str">
            <v>LC50 0.926 ㎎/ℓ 96 hr (Estimate)</v>
          </cell>
          <cell r="U115" t="str">
            <v>LC50 0.818 ㎎/ℓ 48 hr (Estimate)</v>
          </cell>
          <cell r="V115" t="str">
            <v>EC50 0.443 ㎎/ℓ 96 hr (Estimate)</v>
          </cell>
          <cell r="W115" t="str">
            <v>log Kow 4.56 (Estimate)</v>
          </cell>
          <cell r="X115" t="str">
            <v>자료없음</v>
          </cell>
          <cell r="Y115" t="str">
            <v>BCF 474.4 (Estimate)</v>
          </cell>
          <cell r="Z115" t="str">
            <v>Considered non-biodegradable since there is no degradable data</v>
          </cell>
          <cell r="AA115" t="str">
            <v>Koc 2409 (Estimates, Can be adsorbed in the soil)</v>
          </cell>
          <cell r="AB115" t="str">
            <v>해당없음</v>
          </cell>
          <cell r="AC115"/>
        </row>
        <row r="116">
          <cell r="A116" t="str">
            <v>151-05-3</v>
          </cell>
          <cell r="B116" t="str">
            <v>DIMETHYL BENZYL CARBINYL ACETATE</v>
          </cell>
          <cell r="C116" t="str">
            <v>해당없음</v>
          </cell>
          <cell r="D116" t="str">
            <v>해당없음</v>
          </cell>
          <cell r="E116" t="str">
            <v>해당없음</v>
          </cell>
          <cell r="F116" t="str">
            <v>LD50 3,300 ㎎/㎏  (Rat)  (NLM, ChemIDplus, TOMES;LOLI)</v>
          </cell>
          <cell r="G116" t="str">
            <v>자료없음</v>
          </cell>
          <cell r="H116" t="str">
            <v>gas (해당없음: Solid)</v>
          </cell>
          <cell r="I116" t="str">
            <v>토끼 : 중등도 자극 (500mg/24h) (RTECS)</v>
          </cell>
          <cell r="J116" t="str">
            <v>피부에 중등도 자극성 있으므로 눈 자극성 (RTECS)</v>
          </cell>
          <cell r="K116" t="str">
            <v>자료없음</v>
          </cell>
          <cell r="L116" t="str">
            <v>자료없음</v>
          </cell>
          <cell r="M116" t="str">
            <v>해당없음</v>
          </cell>
          <cell r="N116" t="str">
            <v>자료없음</v>
          </cell>
          <cell r="O116" t="str">
            <v>자료없음</v>
          </cell>
          <cell r="P116" t="str">
            <v>자료없음</v>
          </cell>
          <cell r="Q116" t="str">
            <v>자료없음</v>
          </cell>
          <cell r="R116" t="str">
            <v>자료없음</v>
          </cell>
          <cell r="S116" t="str">
            <v>해당없음</v>
          </cell>
          <cell r="T116" t="str">
            <v>LC50 3.911 ㎎/ℓ 96 hr (Estimate)</v>
          </cell>
          <cell r="U116" t="str">
            <v>EC50 6.115 ㎎/ℓ 48 hr (Estimate)</v>
          </cell>
          <cell r="V116" t="str">
            <v>EC50 2.435 ㎎/ℓ 96 hr (Estimate)</v>
          </cell>
          <cell r="W116" t="str">
            <v>log Kow 3.44 (NITE)</v>
          </cell>
          <cell r="X116" t="str">
            <v>자료없음</v>
          </cell>
          <cell r="Y116" t="str">
            <v>BCF 86.85 (Estimate)</v>
          </cell>
          <cell r="Z116" t="str">
            <v>Non-degradable; not degraded and has a high potential to accumulate in vivo</v>
          </cell>
          <cell r="AA116" t="str">
            <v>Koc 578.5</v>
          </cell>
          <cell r="AB116" t="str">
            <v>해당없음</v>
          </cell>
        </row>
        <row r="117">
          <cell r="A117" t="str">
            <v>15707-23-0</v>
          </cell>
          <cell r="B117" t="str">
            <v>2 Ethyl 3 Methyl Pyrazin</v>
          </cell>
          <cell r="C117" t="str">
            <v>해당없음</v>
          </cell>
          <cell r="D117" t="str">
            <v>해당없음</v>
          </cell>
          <cell r="E117" t="str">
            <v>해당없음</v>
          </cell>
          <cell r="F117" t="str">
            <v>자료없음</v>
          </cell>
          <cell r="G117" t="str">
            <v>자료없음</v>
          </cell>
          <cell r="H117" t="str">
            <v>자료없음</v>
          </cell>
          <cell r="I117" t="str">
            <v>자료없음</v>
          </cell>
          <cell r="J117" t="str">
            <v>자료없음</v>
          </cell>
          <cell r="K117" t="str">
            <v>자료없음</v>
          </cell>
          <cell r="L117" t="str">
            <v>자료없음</v>
          </cell>
          <cell r="M117" t="str">
            <v>해당없음</v>
          </cell>
          <cell r="N117" t="str">
            <v>자료없음</v>
          </cell>
          <cell r="O117" t="str">
            <v>자료없음</v>
          </cell>
          <cell r="P117" t="str">
            <v>자료없음</v>
          </cell>
          <cell r="Q117" t="str">
            <v>자료없음</v>
          </cell>
          <cell r="R117" t="str">
            <v>자료없음</v>
          </cell>
          <cell r="S117" t="str">
            <v>해당없음</v>
          </cell>
          <cell r="T117" t="str">
            <v>LC50 246.1 ㎎/ℓ 96 hr (Estimate)</v>
          </cell>
          <cell r="U117" t="str">
            <v>LC50 129.4 ㎎/ℓ 48 hr (Estimate)</v>
          </cell>
          <cell r="V117" t="str">
            <v>EC50 49.98 ㎎/ℓ 96 hr (Estimate)</v>
          </cell>
          <cell r="W117" t="str">
            <v>log Kow 1.07 (Akron)</v>
          </cell>
          <cell r="X117" t="str">
            <v>자료없음</v>
          </cell>
          <cell r="Y117" t="str">
            <v>자료없음</v>
          </cell>
          <cell r="Z117" t="str">
            <v>자료없음</v>
          </cell>
          <cell r="AA117" t="str">
            <v>자료없음</v>
          </cell>
          <cell r="AB117" t="str">
            <v>해당없음</v>
          </cell>
          <cell r="AC117"/>
        </row>
        <row r="118">
          <cell r="A118" t="str">
            <v>1599-49-1</v>
          </cell>
          <cell r="B118" t="str">
            <v>HECANAL PGA</v>
          </cell>
          <cell r="C118" t="str">
            <v>해당없음</v>
          </cell>
          <cell r="D118" t="str">
            <v>해당없음</v>
          </cell>
          <cell r="E118" t="str">
            <v>해당없음</v>
          </cell>
          <cell r="F118" t="str">
            <v>자료없음</v>
          </cell>
          <cell r="G118" t="str">
            <v>자료없음</v>
          </cell>
          <cell r="H118" t="str">
            <v>자료없음</v>
          </cell>
          <cell r="I118" t="str">
            <v>자료없음</v>
          </cell>
          <cell r="J118" t="str">
            <v>자료없음</v>
          </cell>
          <cell r="K118" t="str">
            <v>자료없음</v>
          </cell>
          <cell r="L118" t="str">
            <v>자료없음</v>
          </cell>
          <cell r="M118" t="str">
            <v>해당없음</v>
          </cell>
          <cell r="N118" t="str">
            <v>자료없음</v>
          </cell>
          <cell r="O118" t="str">
            <v>자료없음</v>
          </cell>
          <cell r="P118" t="str">
            <v>자료없음</v>
          </cell>
          <cell r="Q118" t="str">
            <v>자료없음</v>
          </cell>
          <cell r="R118" t="str">
            <v>자료없음</v>
          </cell>
          <cell r="S118" t="str">
            <v>해당없음</v>
          </cell>
          <cell r="T118" t="str">
            <v>자료없음</v>
          </cell>
          <cell r="U118" t="str">
            <v>자료없음</v>
          </cell>
          <cell r="V118" t="str">
            <v>자료없음</v>
          </cell>
          <cell r="W118" t="str">
            <v>자료없음</v>
          </cell>
          <cell r="X118" t="str">
            <v>자료없음</v>
          </cell>
          <cell r="Y118" t="str">
            <v>자료없음</v>
          </cell>
          <cell r="Z118" t="str">
            <v>자료없음</v>
          </cell>
          <cell r="AA118" t="str">
            <v>자료없음</v>
          </cell>
          <cell r="AB118" t="str">
            <v>해당없음</v>
          </cell>
        </row>
        <row r="119">
          <cell r="A119" t="str">
            <v>16409-43-1</v>
          </cell>
          <cell r="B119" t="str">
            <v>ROSE OXIDE INACTIVE 131364</v>
          </cell>
          <cell r="C119" t="str">
            <v>해당없음</v>
          </cell>
          <cell r="D119" t="str">
            <v>해당없음</v>
          </cell>
          <cell r="E119" t="str">
            <v>해당없음</v>
          </cell>
          <cell r="F119" t="str">
            <v>LD50 &gt;2000 ㎎/㎏ Rat ((OECD TG 401, GLP), ECHA)</v>
          </cell>
          <cell r="G119" t="str">
            <v>자료없음</v>
          </cell>
          <cell r="H119" t="str">
            <v>자료없음</v>
          </cell>
          <cell r="I119" t="str">
            <v>토끼를 대상으로 피부자극성시험결과, 약간 자극을 나타냄(OECD Guideline 404, GLP) (ECHA)</v>
          </cell>
          <cell r="J119" t="str">
            <v>토끼를 대상으로 눈자극성시험결과, 자극성을 나타내지 않음 (OECD Guideline 405, GLP) (ECHA)</v>
          </cell>
          <cell r="K119" t="str">
            <v>자료없음</v>
          </cell>
          <cell r="L119" t="str">
            <v>기니피그(수)를 대상으로 최대화 시험결과 과민성을 나타내지 않음 (OECD Guideline 406,GLP) (ECHA)</v>
          </cell>
          <cell r="M119" t="str">
            <v>해당없음</v>
          </cell>
          <cell r="N119" t="str">
            <v>시험관내 포유류세포유전돌연변이시험결과, 대사활성계 유무에 상관없이 음성(OECD 476, GLP). 시험관내 박테리아 복귀돌연변이시험결과, 대사활성계 유무에 상관없이 음성(OECD Guideline 471, GLP), 생체내 포유류 적혈구 소핵시험결과, 음성(OECD Guideline 475) (ECHA)</v>
          </cell>
          <cell r="O119" t="str">
            <v>랫드를 대상으로 설치류 28일 반복경구독성시험 결과, 정자독성과 부고환에서 병리학적 증 상이 관찰됨 (NOAEL=100 mg/kg bw/day(수), NOAEL=1000 mg/kg bw/day(암)) (OECD Guideline 407, GLP) (ECHA)</v>
          </cell>
          <cell r="P119" t="str">
            <v>자료없음</v>
          </cell>
          <cell r="Q119" t="str">
            <v>랫드를 대상으로 0, 100, 300, 1000 mg/kg bw/day 투여한 4주 반복경구투여독성시험결과, 유해한 영향이 관찰되지 않음 (NOAEL=100 mg/kg bw/day(수), NOAEL=300 mg/kg bw/day(암))(OECD Guideline 407, GLP) (ECHA)</v>
          </cell>
          <cell r="R119" t="str">
            <v>자료없음</v>
          </cell>
          <cell r="S119" t="str">
            <v>해당없음</v>
          </cell>
          <cell r="T119" t="str">
            <v>LC50 &gt;100 ㎎/ℓ 96 hr Cyprinus carpio (ECHA)</v>
          </cell>
          <cell r="U119" t="str">
            <v>EC50 &gt;100 ㎎/ℓ 48 hr Daphnia magna (ECHA)</v>
          </cell>
          <cell r="V119" t="str">
            <v>EC50 &gt; 100 ㎎/ℓ 72 hr Other(water solubility &lt; 0.2 mg/L at 19.5°C at pH 7.5) (ECHA)</v>
          </cell>
          <cell r="W119" t="str">
            <v>자료없음</v>
          </cell>
          <cell r="X119" t="str">
            <v>자료없음</v>
          </cell>
          <cell r="Y119" t="str">
            <v>자료없음</v>
          </cell>
          <cell r="Z119" t="str">
            <v>자료없음</v>
          </cell>
          <cell r="AA119" t="str">
            <v>자료없음</v>
          </cell>
          <cell r="AB119" t="str">
            <v>해당없음</v>
          </cell>
        </row>
        <row r="120">
          <cell r="A120" t="str">
            <v>16587-71-6</v>
          </cell>
          <cell r="B120" t="str">
            <v>ORIVONE</v>
          </cell>
          <cell r="C120" t="str">
            <v>해당없음</v>
          </cell>
          <cell r="D120" t="str">
            <v>해당없음</v>
          </cell>
          <cell r="E120" t="str">
            <v>해당없음</v>
          </cell>
          <cell r="F120" t="str">
            <v>자료없음</v>
          </cell>
          <cell r="G120" t="str">
            <v>자료없음</v>
          </cell>
          <cell r="H120" t="str">
            <v>LC50 &gt;5.3 ㎎/ℓ (실험종 : Rat)</v>
          </cell>
          <cell r="I120" t="str">
            <v>자료없음</v>
          </cell>
          <cell r="J120" t="str">
            <v>자료없음</v>
          </cell>
          <cell r="K120" t="str">
            <v>자료없음</v>
          </cell>
          <cell r="L120" t="str">
            <v>자료없음</v>
          </cell>
          <cell r="M120" t="str">
            <v>해당없음</v>
          </cell>
          <cell r="N120" t="str">
            <v>자료없음</v>
          </cell>
          <cell r="O120" t="str">
            <v>자료없음</v>
          </cell>
          <cell r="P120" t="str">
            <v>자료없음</v>
          </cell>
          <cell r="Q120" t="str">
            <v>자료없음</v>
          </cell>
          <cell r="R120" t="str">
            <v>자료없음</v>
          </cell>
          <cell r="S120" t="str">
            <v>해당없음</v>
          </cell>
          <cell r="T120" t="str">
            <v>자료없음</v>
          </cell>
          <cell r="U120" t="str">
            <v>EC50 18.7 ㎎/ℓ</v>
          </cell>
          <cell r="V120" t="str">
            <v>자료없음</v>
          </cell>
          <cell r="W120" t="str">
            <v>자료없음</v>
          </cell>
          <cell r="X120" t="str">
            <v>자료없음</v>
          </cell>
          <cell r="Y120" t="str">
            <v>자료없음</v>
          </cell>
          <cell r="Z120" t="str">
            <v>자료없음</v>
          </cell>
          <cell r="AA120" t="str">
            <v>자료없음</v>
          </cell>
          <cell r="AB120" t="str">
            <v>해당없음</v>
          </cell>
          <cell r="AC120"/>
        </row>
        <row r="121">
          <cell r="A121" t="str">
            <v>17283-81-7</v>
          </cell>
          <cell r="B121" t="str">
            <v>DIHYDRO BETA IONONE</v>
          </cell>
          <cell r="C121" t="str">
            <v>해당없음</v>
          </cell>
          <cell r="D121" t="str">
            <v>해당없음</v>
          </cell>
          <cell r="E121" t="str">
            <v>해당없음</v>
          </cell>
          <cell r="F121" t="str">
            <v>자료없음</v>
          </cell>
          <cell r="G121" t="str">
            <v>자료없음</v>
          </cell>
          <cell r="H121" t="str">
            <v>LC50 &gt;5 ㎎/ℓ (Rat)  (NCIS)</v>
          </cell>
          <cell r="I121" t="str">
            <v>자료없음</v>
          </cell>
          <cell r="J121" t="str">
            <v>자료없음</v>
          </cell>
          <cell r="K121" t="str">
            <v>자료없음</v>
          </cell>
          <cell r="L121" t="str">
            <v>자료없음</v>
          </cell>
          <cell r="M121" t="str">
            <v>자료없음</v>
          </cell>
          <cell r="N121" t="str">
            <v>자료없음</v>
          </cell>
          <cell r="O121" t="str">
            <v>자료없음</v>
          </cell>
          <cell r="P121" t="str">
            <v>자료없음</v>
          </cell>
          <cell r="Q121" t="str">
            <v>자료없음</v>
          </cell>
          <cell r="R121" t="str">
            <v>자료없음</v>
          </cell>
          <cell r="S121" t="str">
            <v>해당없음</v>
          </cell>
          <cell r="T121" t="str">
            <v>자료없음</v>
          </cell>
          <cell r="U121" t="str">
            <v>EC50 5.72 ㎎/ℓ (NCIS)</v>
          </cell>
          <cell r="V121" t="str">
            <v>자료없음</v>
          </cell>
          <cell r="W121" t="str">
            <v>자료없음</v>
          </cell>
          <cell r="X121" t="str">
            <v>자료없음</v>
          </cell>
          <cell r="Y121" t="str">
            <v>자료없음</v>
          </cell>
          <cell r="Z121" t="str">
            <v>자료없음</v>
          </cell>
          <cell r="AA121" t="str">
            <v>자료없음</v>
          </cell>
          <cell r="AB121" t="str">
            <v>해당없음</v>
          </cell>
          <cell r="AC121"/>
        </row>
        <row r="122">
          <cell r="A122" t="str">
            <v>17369-59-4</v>
          </cell>
          <cell r="B122" t="str">
            <v>PROPYLIDENE PHTHALIDE</v>
          </cell>
          <cell r="C122" t="str">
            <v>해당없음</v>
          </cell>
          <cell r="D122" t="str">
            <v>해당없음</v>
          </cell>
          <cell r="E122" t="str">
            <v>해당없음</v>
          </cell>
          <cell r="F122" t="str">
            <v>자료없음</v>
          </cell>
          <cell r="G122" t="str">
            <v>자료없음</v>
          </cell>
          <cell r="H122" t="str">
            <v>자료없음</v>
          </cell>
          <cell r="I122" t="str">
            <v>자료없음</v>
          </cell>
          <cell r="J122" t="str">
            <v>자료없음</v>
          </cell>
          <cell r="K122" t="str">
            <v>자료없음</v>
          </cell>
          <cell r="L122" t="str">
            <v>자료없음</v>
          </cell>
          <cell r="M122" t="str">
            <v>해당없음</v>
          </cell>
          <cell r="N122" t="str">
            <v>자료없음</v>
          </cell>
          <cell r="O122" t="str">
            <v>자료없음</v>
          </cell>
          <cell r="P122" t="str">
            <v>자료없음</v>
          </cell>
          <cell r="Q122" t="str">
            <v>자료없음</v>
          </cell>
          <cell r="R122" t="str">
            <v>자료없음</v>
          </cell>
          <cell r="S122" t="str">
            <v>해당없음</v>
          </cell>
          <cell r="T122" t="str">
            <v>자료없음</v>
          </cell>
          <cell r="U122" t="str">
            <v>자료없음</v>
          </cell>
          <cell r="V122" t="str">
            <v>자료없음</v>
          </cell>
          <cell r="W122" t="str">
            <v>자료없음</v>
          </cell>
          <cell r="X122" t="str">
            <v>자료없음</v>
          </cell>
          <cell r="Y122" t="str">
            <v>자료없음</v>
          </cell>
          <cell r="Z122" t="str">
            <v>자료없음</v>
          </cell>
          <cell r="AA122" t="str">
            <v>자료없음</v>
          </cell>
          <cell r="AB122" t="str">
            <v>해당없음</v>
          </cell>
          <cell r="AC122"/>
        </row>
        <row r="123">
          <cell r="A123" t="str">
            <v>17511-60-3</v>
          </cell>
          <cell r="B123" t="str">
            <v>TRICYCLODECENYL PROPUONATE</v>
          </cell>
          <cell r="C123" t="str">
            <v>해당없음</v>
          </cell>
          <cell r="D123" t="str">
            <v>해당없음</v>
          </cell>
          <cell r="E123" t="str">
            <v>해당없음</v>
          </cell>
          <cell r="F123" t="str">
            <v>LD50 &gt;5,000 ㎎/㎏ (Rat) (NLM, ChemIDplus)</v>
          </cell>
          <cell r="G123" t="str">
            <v>LD50 ≥5,000 ㎎/㎏  (Rabbit) (NLM, ChemIDplus)</v>
          </cell>
          <cell r="H123" t="str">
            <v>자료없음</v>
          </cell>
          <cell r="I123" t="str">
            <v>토끼, 피부 Standard Draize 시험 경로: 피부; 용량: 500 mg/24시간 ; 반응: 보통 (TOMES-RTECS)</v>
          </cell>
          <cell r="J123" t="str">
            <v>피부에 자극</v>
          </cell>
          <cell r="K123" t="str">
            <v>자료없음</v>
          </cell>
          <cell r="L123" t="str">
            <v>자료없음</v>
          </cell>
          <cell r="M123" t="str">
            <v>해당없음</v>
          </cell>
          <cell r="N123" t="str">
            <v>자료없음</v>
          </cell>
          <cell r="O123" t="str">
            <v>자료없음</v>
          </cell>
          <cell r="P123" t="str">
            <v>자료없음</v>
          </cell>
          <cell r="Q123" t="str">
            <v>자료없음</v>
          </cell>
          <cell r="R123" t="str">
            <v>자료없음</v>
          </cell>
          <cell r="S123" t="str">
            <v>해당없음</v>
          </cell>
          <cell r="T123" t="str">
            <v>LC50 4.56 ㎎/ℓ 96 hr (Estimate)</v>
          </cell>
          <cell r="U123" t="str">
            <v>LC50 6.84 ㎎/ℓ 48 hr (Estimate)</v>
          </cell>
          <cell r="V123" t="str">
            <v>EC50 2.82 ㎎/ℓ 96 hr (Estimate)</v>
          </cell>
          <cell r="W123" t="str">
            <v>log Kow 3.34 (Estimate)</v>
          </cell>
          <cell r="X123" t="str">
            <v>자료없음</v>
          </cell>
          <cell r="Y123" t="str">
            <v>BCF 74.04 (Estimate)</v>
          </cell>
          <cell r="Z123" t="str">
            <v>자료없음</v>
          </cell>
          <cell r="AA123" t="str">
            <v>Koc 509.3 (Estimate)</v>
          </cell>
          <cell r="AB123" t="str">
            <v>해당없음</v>
          </cell>
          <cell r="AC123"/>
        </row>
        <row r="124">
          <cell r="A124" t="str">
            <v>18096-62-3</v>
          </cell>
          <cell r="B124" t="str">
            <v>INDOLAL</v>
          </cell>
          <cell r="C124" t="str">
            <v>해당없음</v>
          </cell>
          <cell r="D124" t="str">
            <v>해당없음</v>
          </cell>
          <cell r="E124" t="str">
            <v>해당없음</v>
          </cell>
          <cell r="F124" t="str">
            <v>자료없음</v>
          </cell>
          <cell r="G124" t="str">
            <v>LD50 790 ㎎/㎏ Rabbit (4days)</v>
          </cell>
          <cell r="H124" t="str">
            <v>자료없음</v>
          </cell>
          <cell r="I124" t="str">
            <v>자료없음</v>
          </cell>
          <cell r="J124" t="str">
            <v>자료없음</v>
          </cell>
          <cell r="K124" t="str">
            <v>자료없음</v>
          </cell>
          <cell r="L124" t="str">
            <v>자료없음</v>
          </cell>
          <cell r="M124" t="str">
            <v>해당없음</v>
          </cell>
          <cell r="N124" t="str">
            <v>자료없음</v>
          </cell>
          <cell r="O124" t="str">
            <v>자료없음</v>
          </cell>
          <cell r="P124" t="str">
            <v>자료없음</v>
          </cell>
          <cell r="Q124" t="str">
            <v>자료없음</v>
          </cell>
          <cell r="R124" t="str">
            <v>자료없음</v>
          </cell>
          <cell r="S124" t="str">
            <v>해당없음</v>
          </cell>
          <cell r="T124" t="str">
            <v>LC50 ≥77.938 ㎎/ℓ 96 hr (Estimate)</v>
          </cell>
          <cell r="U124" t="str">
            <v>자료없음</v>
          </cell>
          <cell r="V124" t="str">
            <v>EC50 52.541 ㎎/ℓ 96 hr (Estimate)</v>
          </cell>
          <cell r="W124" t="str">
            <v>log Kow 2.14</v>
          </cell>
          <cell r="X124" t="str">
            <v>49.5%, 5 days (theoretical BOD) (HSDB)</v>
          </cell>
          <cell r="Y124" t="str">
            <v>BCF 25 (estimate)  (HSDB)</v>
          </cell>
          <cell r="Z124" t="str">
            <v>자료없음</v>
          </cell>
          <cell r="AA124" t="str">
            <v>자료없음</v>
          </cell>
          <cell r="AB124" t="str">
            <v>해당없음</v>
          </cell>
        </row>
        <row r="125">
          <cell r="A125" t="str">
            <v>18127-01-0</v>
          </cell>
          <cell r="B125" t="str">
            <v>BOURGEONAL</v>
          </cell>
          <cell r="C125" t="str">
            <v>해당없음</v>
          </cell>
          <cell r="D125" t="str">
            <v>해당없음</v>
          </cell>
          <cell r="E125" t="str">
            <v>해당없음</v>
          </cell>
          <cell r="F125" t="str">
            <v>LD50 2.66 ㎎/㎏ Rat (ECHA)</v>
          </cell>
          <cell r="G125" t="str">
            <v>LD50 &gt;5,000 ㎎/㎏  (Rabbit)</v>
          </cell>
          <cell r="H125" t="str">
            <v>자료없음</v>
          </cell>
          <cell r="I125" t="str">
            <v>STANDARD DRAIZE TEST 결과 약한 자극 나타남 (14303화학상품(일본))</v>
          </cell>
          <cell r="J125" t="str">
            <v>소 각막을 대상으로 눈 자극성시험결과, 비 부식성 (OECD guideline 437, GLP) (ECHA)</v>
          </cell>
          <cell r="K125" t="str">
            <v>자료없음</v>
          </cell>
          <cell r="L125" t="str">
            <v>마우스(암)을 이용한 국소림프절 시험 결과, 과민성 (OECD guildline 429, GLP) (ECHA)</v>
          </cell>
          <cell r="M125" t="str">
            <v>해당없음</v>
          </cell>
          <cell r="N125" t="str">
            <v>in vitro 미생물을 이용한 복귀돌연변이시험-음성 (OECD Guideline 471, GLP) (ECHA)</v>
          </cell>
          <cell r="O125" t="str">
            <v>랫드(수컷)을 이용한 생식/발생 독성 시험 결과, 정자수 감소, 정액 운반하는 관 변성 또는 위축 등 고환에 미치는 이차적인 영향으로 간주됨. (GLP) (ECHA)</v>
          </cell>
          <cell r="P125" t="str">
            <v>랫드(수컷)를 이용한 급성경구독성시험 결과, 치료후 몇시간 내에 운동실조, 떨림이 나타났다. 그후에 눈과 코주위에 여윔이 나타나고 혼수상태도 자주 발생했다 (ECHA)</v>
          </cell>
          <cell r="Q125" t="str">
            <v>랫드(수컷)를 이용한 5일 반복경구투여독성 결과, 6마리 중 3마리가 투여후 복지를 이유로 사망했다. 사망하기전 저활동성, 신장 질환, 구부린 자세, 체온 감소, 불규칙한 호흡, 경직등을 보였다. (NOAEL=100 mg/kg bw/day)(GLP) (ECHA)</v>
          </cell>
          <cell r="R125" t="str">
            <v>동적점도: 4.7 mm²/s, at 40°C, static(OECD Test Guideline 114) (ECHA)</v>
          </cell>
          <cell r="S125" t="str">
            <v>해당없음</v>
          </cell>
          <cell r="T125" t="str">
            <v>자료없음</v>
          </cell>
          <cell r="U125" t="str">
            <v>LC50 1.8 ㎎/ℓ 48 hr Daphnia magna (OECD Guideline 202, GLP, ECHA)</v>
          </cell>
          <cell r="V125" t="str">
            <v>자료없음</v>
          </cell>
          <cell r="W125" t="str">
            <v>log Kow 3.94 (25℃) (Estimate)</v>
          </cell>
          <cell r="X125" t="str">
            <v>자료없음</v>
          </cell>
          <cell r="Y125" t="str">
            <v>BCF 185.5 (Estimate)</v>
          </cell>
          <cell r="Z125" t="str">
            <v>65 %, 28 day (Non-degradable) (ECHA)</v>
          </cell>
          <cell r="AA125" t="str">
            <v>Koc 750.2 (Estimate)</v>
          </cell>
          <cell r="AB125" t="str">
            <v>해당없음</v>
          </cell>
          <cell r="AC125"/>
        </row>
        <row r="126">
          <cell r="A126" t="str">
            <v>18479-58-8</v>
          </cell>
          <cell r="B126" t="str">
            <v>DIHYDROMYRCENOL</v>
          </cell>
          <cell r="C126" t="str">
            <v>해당없음</v>
          </cell>
          <cell r="D126" t="str">
            <v>해당없음</v>
          </cell>
          <cell r="E126" t="str">
            <v>해당없음</v>
          </cell>
          <cell r="F126" t="str">
            <v>LD50 3600 ㎎/㎏ Rat</v>
          </cell>
          <cell r="G126" t="str">
            <v>LD50 &gt; 5,000 ㎎/㎏ Rabbit</v>
          </cell>
          <cell r="H126" t="str">
            <v>자료없음</v>
          </cell>
          <cell r="I126" t="str">
            <v>토끼, 약한 자극성 있음(Directive 84/449/EEC)</v>
          </cell>
          <cell r="J126" t="str">
            <v>토끼, 보통 자극성 있음(GLP)</v>
          </cell>
          <cell r="K126" t="str">
            <v>자료없음</v>
          </cell>
          <cell r="L126" t="str">
            <v>인간,과민성 없음</v>
          </cell>
          <cell r="M126" t="str">
            <v>해당없음</v>
          </cell>
          <cell r="N126" t="str">
            <v>In vitro-미생물을 이용한 복귀돌연변이 시험(S. typhimurium TA92, TA1535, TA 100, TA 1537 &amp; TA 98)-음성(Read across;CAS NO.78-70-6) In vivo-소핵시험(mouse,strain;CD-1)-음성(GLP)(Read across;CAS NO.8002-09-3)</v>
          </cell>
          <cell r="O126" t="str">
            <v>랫드,NOAEL F암컷(모체)&gt;50mg/kg bw,LOAEL 암컷(모체)&lt;600mg/kg bw,투여량에 따른 태아 형성 지연의 증가 발생, 뇌발달 지연, 배아에서의 증가된 태아 치사율, 모체의 죽음과 배아에서 태아 죽음이 낮게 발생(흡수). (GLP) (Readacross;CAS NO.8002-09-3)</v>
          </cell>
          <cell r="P126" t="str">
            <v>자료없음</v>
          </cell>
          <cell r="Q126" t="str">
            <v>랫드,경구(20주),NOAEL=10000mg/kg bw/day,혈액학적인 시험에서 대조군과의 차이점이 없었다. 주요 장기 무게도 시험군과 대조군 차이 없다. 모든 동물의 조직의 육안검사는 특이사항이 없었다.</v>
          </cell>
          <cell r="R126" t="str">
            <v>자료없음</v>
          </cell>
          <cell r="S126" t="str">
            <v>해당없음</v>
          </cell>
          <cell r="T126" t="str">
            <v>LC50 3.7 ㎎/ℓ 96 hr (Read-across : CAS No. 543-39-5) (HPVIS)</v>
          </cell>
          <cell r="U126" t="str">
            <v>EC50 7 ㎎/ℓ 48 hr Daphnia magna ((GLP, OECD TG 202), (Read across;CAS NO.125252-49-5) ) (USEPA HPVIS)</v>
          </cell>
          <cell r="V126" t="str">
            <v>EC50 &gt; 15 ㎎/ℓ 72 hr Scenedesmus subspicatus (GLP, OECD TG 201) (USEPA HPVIS)</v>
          </cell>
          <cell r="W126" t="str">
            <v>log Kow 3.47 (USEPA HPVIS)</v>
          </cell>
          <cell r="X126" t="str">
            <v>자료없음</v>
          </cell>
          <cell r="Y126" t="str">
            <v>BCF 90 (Estimate)</v>
          </cell>
          <cell r="Z126" t="str">
            <v>72.1 %, 28 day (Degraded well and has a low potential to accumulate in vivo) (GLP) (USEPA HPVIS)</v>
          </cell>
          <cell r="AA126" t="str">
            <v>자료없음</v>
          </cell>
          <cell r="AB126" t="str">
            <v>해당없음</v>
          </cell>
          <cell r="AC126"/>
        </row>
        <row r="127">
          <cell r="A127" t="str">
            <v>19870-74-7</v>
          </cell>
          <cell r="B127" t="str">
            <v>CEDRAMBER</v>
          </cell>
          <cell r="C127" t="str">
            <v>해당없음</v>
          </cell>
          <cell r="D127" t="str">
            <v>해당없음</v>
          </cell>
          <cell r="E127" t="str">
            <v>해당없음</v>
          </cell>
          <cell r="F127" t="str">
            <v>자료없음</v>
          </cell>
          <cell r="G127" t="str">
            <v>자료없음</v>
          </cell>
          <cell r="H127" t="str">
            <v>자료없음</v>
          </cell>
          <cell r="I127" t="str">
            <v>자료없음</v>
          </cell>
          <cell r="J127" t="str">
            <v>자료없음</v>
          </cell>
          <cell r="K127" t="str">
            <v>자료없음</v>
          </cell>
          <cell r="L127" t="str">
            <v>자료없음</v>
          </cell>
          <cell r="M127" t="str">
            <v>해당없음</v>
          </cell>
          <cell r="N127" t="str">
            <v>자료없음</v>
          </cell>
          <cell r="O127" t="str">
            <v>자료없음</v>
          </cell>
          <cell r="P127" t="str">
            <v>자료없음</v>
          </cell>
          <cell r="Q127" t="str">
            <v>자료없음</v>
          </cell>
          <cell r="R127" t="str">
            <v>자료없음</v>
          </cell>
          <cell r="S127" t="str">
            <v>해당없음</v>
          </cell>
          <cell r="T127" t="str">
            <v>LC50 0.373 ㎎/ℓ 96 hr (Estimate)</v>
          </cell>
          <cell r="U127" t="str">
            <v>LC50 0.28 ㎎/ℓ 48 hr (Estimate)</v>
          </cell>
          <cell r="V127" t="str">
            <v>EC50 0.662 ㎎/ℓ 96 hr (Estimate)</v>
          </cell>
          <cell r="W127" t="str">
            <v>log Kow 5.03 (Estimate)</v>
          </cell>
          <cell r="X127" t="str">
            <v>자료없음</v>
          </cell>
          <cell r="Y127" t="str">
            <v>BCF 960.6 (Estimate)</v>
          </cell>
          <cell r="Z127" t="str">
            <v>자료없음</v>
          </cell>
          <cell r="AA127" t="str">
            <v>자료없음</v>
          </cell>
          <cell r="AB127" t="str">
            <v>해당없음</v>
          </cell>
          <cell r="AC127"/>
        </row>
        <row r="128">
          <cell r="A128" t="str">
            <v>20407-84-5</v>
          </cell>
          <cell r="B128" t="str">
            <v>TRANS-2-DODECENAL</v>
          </cell>
          <cell r="C128" t="str">
            <v>해당없음</v>
          </cell>
          <cell r="D128" t="str">
            <v>해당없음</v>
          </cell>
          <cell r="E128" t="str">
            <v>해당없음</v>
          </cell>
          <cell r="F128" t="str">
            <v>LD50 &gt;2000 ㎎/㎏ Rat (OECD Guideline 423, ECHA)</v>
          </cell>
          <cell r="G128" t="str">
            <v>자료없음</v>
          </cell>
          <cell r="H128" t="str">
            <v>자료없음</v>
          </cell>
          <cell r="I128" t="str">
            <v>피부부식성/자극성 시험결과 자극없음 (ECHA)</v>
          </cell>
          <cell r="J128" t="str">
            <v>심한눈손상성/자극성 시험결과, 자극없음 (ECHA)</v>
          </cell>
          <cell r="K128" t="str">
            <v>자료없음</v>
          </cell>
          <cell r="L128" t="str">
            <v>자료없음</v>
          </cell>
          <cell r="M128" t="str">
            <v>해당없음</v>
          </cell>
          <cell r="N128" t="str">
            <v>in vitro 미생물을 이용한 복귀돌연변이시험 음성 (OECD Guideline 471 (Bacterial Reverse Mutation Assay), GLP) (ECHA)</v>
          </cell>
          <cell r="O128" t="str">
            <v>자료없음</v>
          </cell>
          <cell r="P128" t="str">
            <v>특정표적장기전신독성 1회 노출 시험결과 유해한 영향없음 (ECHA)</v>
          </cell>
          <cell r="Q128" t="str">
            <v>자료없음</v>
          </cell>
          <cell r="R128" t="str">
            <v>자료없음</v>
          </cell>
          <cell r="S128" t="str">
            <v>해당없음</v>
          </cell>
          <cell r="T128" t="str">
            <v>LC50 0.718 ㎎/ℓ 96 hr Oryzias latipes (NICNAS)</v>
          </cell>
          <cell r="U128" t="str">
            <v>자료없음</v>
          </cell>
          <cell r="V128" t="str">
            <v>자료없음</v>
          </cell>
          <cell r="W128" t="str">
            <v>log Kow 4.53 (CCR)</v>
          </cell>
          <cell r="X128" t="str">
            <v>자료없음</v>
          </cell>
          <cell r="Y128" t="str">
            <v>자료없음</v>
          </cell>
          <cell r="Z128" t="str">
            <v>자료없음</v>
          </cell>
          <cell r="AA128" t="str">
            <v>자료없음</v>
          </cell>
          <cell r="AB128" t="str">
            <v>자료없음</v>
          </cell>
          <cell r="AC128"/>
        </row>
        <row r="129">
          <cell r="A129" t="str">
            <v>2050-08-0</v>
          </cell>
          <cell r="B129" t="str">
            <v>AMYL SALICYLATE</v>
          </cell>
          <cell r="C129" t="str">
            <v>해당없음</v>
          </cell>
          <cell r="D129" t="str">
            <v>해당없음</v>
          </cell>
          <cell r="E129" t="str">
            <v>해당없음</v>
          </cell>
          <cell r="F129" t="str">
            <v>자료없음</v>
          </cell>
          <cell r="G129" t="str">
            <v>자료없음</v>
          </cell>
          <cell r="H129" t="str">
            <v>자료없음</v>
          </cell>
          <cell r="I129" t="str">
            <v>자료없음</v>
          </cell>
          <cell r="J129" t="str">
            <v>자료없음</v>
          </cell>
          <cell r="K129" t="str">
            <v>자료없음</v>
          </cell>
          <cell r="L129" t="str">
            <v>자료없음</v>
          </cell>
          <cell r="M129" t="str">
            <v>해당없음</v>
          </cell>
          <cell r="N129" t="str">
            <v>자료없음</v>
          </cell>
          <cell r="O129" t="str">
            <v>자료없음</v>
          </cell>
          <cell r="P129" t="str">
            <v>자료없음</v>
          </cell>
          <cell r="Q129" t="str">
            <v>자료없음</v>
          </cell>
          <cell r="R129" t="str">
            <v>자료없음</v>
          </cell>
          <cell r="S129" t="str">
            <v>해당없음</v>
          </cell>
          <cell r="T129" t="str">
            <v>LC50 0.799 ㎎/ℓ 96 hr (Estimate)</v>
          </cell>
          <cell r="U129" t="str">
            <v>LC50 0.996 ㎎/ℓ 48 hr (Estimate)</v>
          </cell>
          <cell r="V129" t="str">
            <v>EC50 0.550 ㎎/ℓ 96 hr (Estimate)</v>
          </cell>
          <cell r="W129" t="str">
            <v>log Kow 4.57 (Estimate) (ChemIDplus)</v>
          </cell>
          <cell r="X129" t="str">
            <v>자료없음</v>
          </cell>
          <cell r="Y129" t="str">
            <v>BCF 656.7 (Estimate)</v>
          </cell>
          <cell r="Z129" t="str">
            <v>자료없음</v>
          </cell>
          <cell r="AA129" t="str">
            <v>자료없음</v>
          </cell>
          <cell r="AB129" t="str">
            <v>해당없음</v>
          </cell>
          <cell r="AC129"/>
        </row>
        <row r="130">
          <cell r="A130" t="str">
            <v>20665-85-4</v>
          </cell>
          <cell r="B130" t="str">
            <v>4-FORMYL-2-METHOXYPHENYL ISOBUTYRATE</v>
          </cell>
          <cell r="C130" t="str">
            <v>해당없음</v>
          </cell>
          <cell r="D130" t="str">
            <v>해당없음</v>
          </cell>
          <cell r="E130" t="str">
            <v>해당없음</v>
          </cell>
          <cell r="F130" t="str">
            <v>자료없음</v>
          </cell>
          <cell r="G130" t="str">
            <v>자료없음</v>
          </cell>
          <cell r="H130" t="str">
            <v>자료없음</v>
          </cell>
          <cell r="I130" t="str">
            <v>자료없음</v>
          </cell>
          <cell r="J130" t="str">
            <v>자료없음</v>
          </cell>
          <cell r="K130" t="str">
            <v>자료없음</v>
          </cell>
          <cell r="L130" t="str">
            <v>자료없음</v>
          </cell>
          <cell r="M130" t="str">
            <v>해당없음</v>
          </cell>
          <cell r="N130" t="str">
            <v>해당없음</v>
          </cell>
          <cell r="O130" t="str">
            <v>자료없음</v>
          </cell>
          <cell r="P130" t="str">
            <v>자료없음</v>
          </cell>
          <cell r="Q130" t="str">
            <v>자료없음</v>
          </cell>
          <cell r="R130" t="str">
            <v>자료없음</v>
          </cell>
          <cell r="S130" t="str">
            <v>해당없음</v>
          </cell>
          <cell r="T130" t="str">
            <v>자료없음</v>
          </cell>
          <cell r="U130" t="str">
            <v>자료없음</v>
          </cell>
          <cell r="V130" t="str">
            <v>자료없음</v>
          </cell>
          <cell r="W130" t="str">
            <v>자료없음</v>
          </cell>
          <cell r="X130" t="str">
            <v>자료없음</v>
          </cell>
          <cell r="Y130" t="str">
            <v>자료없음</v>
          </cell>
          <cell r="Z130" t="str">
            <v>자료없음</v>
          </cell>
          <cell r="AA130" t="str">
            <v>자료없음</v>
          </cell>
          <cell r="AB130" t="str">
            <v>해당없음</v>
          </cell>
        </row>
        <row r="131">
          <cell r="A131" t="str">
            <v>2111-75-3</v>
          </cell>
          <cell r="B131" t="str">
            <v>PERILLALDEHYDE</v>
          </cell>
          <cell r="C131" t="str">
            <v>해당없음</v>
          </cell>
          <cell r="D131" t="str">
            <v>해당없음</v>
          </cell>
          <cell r="E131" t="str">
            <v>해당없음</v>
          </cell>
          <cell r="F131" t="str">
            <v>자료없음</v>
          </cell>
          <cell r="G131" t="str">
            <v>자료없음</v>
          </cell>
          <cell r="H131" t="str">
            <v>자료없음</v>
          </cell>
          <cell r="I131" t="str">
            <v>자료없음</v>
          </cell>
          <cell r="J131" t="str">
            <v>자료없음</v>
          </cell>
          <cell r="K131" t="str">
            <v>자료없음</v>
          </cell>
          <cell r="L131" t="str">
            <v>자료없음</v>
          </cell>
          <cell r="M131" t="str">
            <v>자료없음</v>
          </cell>
          <cell r="N131" t="str">
            <v>자료없음</v>
          </cell>
          <cell r="O131" t="str">
            <v>자료없음</v>
          </cell>
          <cell r="P131" t="str">
            <v>자료없음</v>
          </cell>
          <cell r="Q131" t="str">
            <v>자료없음</v>
          </cell>
          <cell r="R131" t="str">
            <v>자료없음</v>
          </cell>
          <cell r="S131" t="str">
            <v>해당없음</v>
          </cell>
          <cell r="T131" t="str">
            <v>자료없음</v>
          </cell>
          <cell r="U131" t="str">
            <v>자료없음</v>
          </cell>
          <cell r="V131" t="str">
            <v>자료없음</v>
          </cell>
          <cell r="W131" t="str">
            <v>자료없음</v>
          </cell>
          <cell r="X131" t="str">
            <v>자료없음</v>
          </cell>
          <cell r="Y131" t="str">
            <v>자료없음</v>
          </cell>
          <cell r="Z131" t="str">
            <v>자료없음</v>
          </cell>
          <cell r="AA131" t="str">
            <v>자료없음</v>
          </cell>
          <cell r="AB131" t="str">
            <v>해당없음</v>
          </cell>
          <cell r="AC131"/>
        </row>
        <row r="132">
          <cell r="A132" t="str">
            <v>2216-51-5</v>
          </cell>
          <cell r="B132" t="str">
            <v>MENTHOL</v>
          </cell>
          <cell r="C132" t="str">
            <v>해당없음</v>
          </cell>
          <cell r="D132" t="str">
            <v>해당없음</v>
          </cell>
          <cell r="E132" t="str">
            <v>해당없음</v>
          </cell>
          <cell r="F132" t="str">
            <v>LD50 2615 ㎎/㎏ Rat(SIDS)</v>
          </cell>
          <cell r="G132" t="str">
            <v>자료없음</v>
          </cell>
          <cell r="H132" t="str">
            <v>자료없음</v>
          </cell>
          <cell r="I132" t="str">
            <v>irritating : 4시간 노출 100%/50%/ 25%/5%/1%/Vehicle, 3.0/1.6/1.0/0.3/0.0/0.0 (erythema),
2.9/2.2/0.2/0.1/0.0/0.0 (oedema). 피부자극성 시험결과(토끼) 자극성(홍반3/부종2.9)(SIDS)</v>
          </cell>
          <cell r="J132" t="str">
            <v>눈자극성 시험결과(토끼) 자극성(L-Menthol 64%-각막혼탁1/결막충혈2,Menthol liquid 100%-각막혼탁1/결막충혈2.2)(SIDS)</v>
          </cell>
          <cell r="K132" t="str">
            <v>자료없음</v>
          </cell>
          <cell r="L132" t="str">
            <v>토끼의Buehler시험과 마우스의LLNA시험에서는 과민성반응이나타나지 않았으나 기니픽과 사람에서의 피부과민성시험 반응이나타나는 결과와 나타나지 않는결과를 보임. 동물 피부과민성 시험결과 음성, 일부 사람에게서 과민반응 보고 (SIDS)</v>
          </cell>
          <cell r="M132" t="str">
            <v>해당없음</v>
          </cell>
          <cell r="N132" t="str">
            <v>자료없음</v>
          </cell>
          <cell r="O132" t="str">
            <v>자료없음</v>
          </cell>
          <cell r="P132" t="str">
            <v>자료없음</v>
          </cell>
          <cell r="Q132" t="str">
            <v>Rat : NOAEL 200mg/kg/day (5W), 폐, 기관지</v>
          </cell>
          <cell r="R132" t="str">
            <v>자료없음</v>
          </cell>
          <cell r="S132" t="str">
            <v>해당없음</v>
          </cell>
          <cell r="T132" t="str">
            <v>LC50 18.9 ㎎/ℓ 96 hr Pimephales promelas (ECOTOX)</v>
          </cell>
          <cell r="U132" t="str">
            <v>EC50 26.6 ㎎/ℓ 48 hr Daphnia magna (SIDS)</v>
          </cell>
          <cell r="V132" t="str">
            <v>ErC50 21.4 ㎎/ℓ 72 hr Scenedesmus subspicatus (SIDS)</v>
          </cell>
          <cell r="W132" t="str">
            <v>log Kow 3.3</v>
          </cell>
          <cell r="X132" t="str">
            <v>자료없음</v>
          </cell>
          <cell r="Y132" t="str">
            <v>BCF 0.5 ~ 15 (SIDS)</v>
          </cell>
          <cell r="Z132" t="str">
            <v>79 ~ 92 (%) 28 day (SIDS)</v>
          </cell>
          <cell r="AA132" t="str">
            <v>자료없음</v>
          </cell>
          <cell r="AB132" t="str">
            <v>해당없음</v>
          </cell>
          <cell r="AC132"/>
        </row>
        <row r="133">
          <cell r="A133" t="str">
            <v>23696-85-7</v>
          </cell>
          <cell r="B133" t="str">
            <v>ROSE KETONE-4</v>
          </cell>
          <cell r="C133" t="str">
            <v>해당없음</v>
          </cell>
          <cell r="D133" t="str">
            <v>해당없음</v>
          </cell>
          <cell r="E133" t="str">
            <v>해당없음</v>
          </cell>
          <cell r="F133" t="str">
            <v>LD50 &gt;2,000 ㎎/㎏ Rat(Sigma-Aldirch)</v>
          </cell>
          <cell r="G133" t="str">
            <v>LD50 &gt;4,000 ㎎/㎏ Rabbit(Sigma-Aldirch)</v>
          </cell>
          <cell r="H133" t="str">
            <v>자료없음</v>
          </cell>
          <cell r="I133" t="str">
            <v>자료없음</v>
          </cell>
          <cell r="J133" t="str">
            <v>자료없음</v>
          </cell>
          <cell r="K133" t="str">
            <v>자료없음</v>
          </cell>
          <cell r="L133" t="str">
            <v>자료없음</v>
          </cell>
          <cell r="M133" t="str">
            <v>Not applicable</v>
          </cell>
          <cell r="N133" t="str">
            <v>자료없음</v>
          </cell>
          <cell r="O133" t="str">
            <v>자료없음</v>
          </cell>
          <cell r="P133" t="str">
            <v>자료없음</v>
          </cell>
          <cell r="Q133" t="str">
            <v>자료없음</v>
          </cell>
          <cell r="R133" t="str">
            <v>자료없음</v>
          </cell>
          <cell r="S133" t="str">
            <v>해당없음</v>
          </cell>
          <cell r="T133" t="str">
            <v>LC50 1.09 ㎎/ℓ (NCIS)</v>
          </cell>
          <cell r="U133" t="str">
            <v>LC50 1.338 ㎎/ℓ 48 hr (EPISUITE)</v>
          </cell>
          <cell r="V133" t="str">
            <v>EC50 1.225 ㎎/ℓ 96 hr (EPISUITE)</v>
          </cell>
          <cell r="W133" t="str">
            <v>자료없음</v>
          </cell>
          <cell r="X133" t="str">
            <v>자료없음</v>
          </cell>
          <cell r="Y133" t="str">
            <v>자료없음</v>
          </cell>
          <cell r="Z133" t="str">
            <v>자료없음</v>
          </cell>
          <cell r="AA133" t="str">
            <v>자료없음</v>
          </cell>
          <cell r="AB133" t="str">
            <v>해당없음</v>
          </cell>
          <cell r="AC133"/>
        </row>
        <row r="134">
          <cell r="A134" t="str">
            <v>23726-91-2</v>
          </cell>
          <cell r="B134" t="str">
            <v>TRANS-ROSE KETONE-2</v>
          </cell>
          <cell r="C134" t="str">
            <v>해당없음</v>
          </cell>
          <cell r="D134" t="str">
            <v>해당없음</v>
          </cell>
          <cell r="E134" t="str">
            <v>해당없음</v>
          </cell>
          <cell r="F134" t="str">
            <v>자료없음</v>
          </cell>
          <cell r="G134" t="str">
            <v>자료없음</v>
          </cell>
          <cell r="H134" t="str">
            <v>자료없음</v>
          </cell>
          <cell r="I134" t="str">
            <v>자료없음</v>
          </cell>
          <cell r="J134" t="str">
            <v>자료없음</v>
          </cell>
          <cell r="K134" t="str">
            <v>자료없음</v>
          </cell>
          <cell r="L134" t="str">
            <v>자료없음</v>
          </cell>
          <cell r="M134" t="str">
            <v>해당없음</v>
          </cell>
          <cell r="N134" t="str">
            <v>자료없음</v>
          </cell>
          <cell r="O134" t="str">
            <v>자료없음</v>
          </cell>
          <cell r="P134" t="str">
            <v>자료없음</v>
          </cell>
          <cell r="Q134" t="str">
            <v>자료없음</v>
          </cell>
          <cell r="R134" t="str">
            <v>자료없음</v>
          </cell>
          <cell r="S134" t="str">
            <v>해당없음</v>
          </cell>
          <cell r="T134" t="str">
            <v>자료없음</v>
          </cell>
          <cell r="U134" t="str">
            <v>자료없음</v>
          </cell>
          <cell r="V134" t="str">
            <v>자료없음</v>
          </cell>
          <cell r="W134" t="str">
            <v>자료없음</v>
          </cell>
          <cell r="X134" t="str">
            <v>자료없음</v>
          </cell>
          <cell r="Y134" t="str">
            <v>자료없음</v>
          </cell>
          <cell r="Z134" t="str">
            <v>자료없음</v>
          </cell>
          <cell r="AA134" t="str">
            <v>자료없음</v>
          </cell>
          <cell r="AB134" t="str">
            <v>해당없음</v>
          </cell>
        </row>
        <row r="135">
          <cell r="A135" t="str">
            <v>23726-93-4</v>
          </cell>
          <cell r="B135" t="str">
            <v>DAMASCENONE</v>
          </cell>
          <cell r="C135" t="str">
            <v>해당없음</v>
          </cell>
          <cell r="D135" t="str">
            <v>해당없음</v>
          </cell>
          <cell r="E135" t="str">
            <v>해당없음</v>
          </cell>
          <cell r="F135" t="str">
            <v>자료없음</v>
          </cell>
          <cell r="G135" t="str">
            <v>자료없음</v>
          </cell>
          <cell r="H135" t="str">
            <v>자료없음</v>
          </cell>
          <cell r="I135" t="str">
            <v>자료없음</v>
          </cell>
          <cell r="J135" t="str">
            <v>자료없음</v>
          </cell>
          <cell r="K135" t="str">
            <v>자료없음</v>
          </cell>
          <cell r="L135" t="str">
            <v>자료없음</v>
          </cell>
          <cell r="M135" t="str">
            <v>해당없음</v>
          </cell>
          <cell r="N135" t="str">
            <v>자료없음</v>
          </cell>
          <cell r="O135" t="str">
            <v>자료없음</v>
          </cell>
          <cell r="P135" t="str">
            <v>자료없음</v>
          </cell>
          <cell r="Q135" t="str">
            <v>자료없음</v>
          </cell>
          <cell r="R135" t="str">
            <v>자료없음</v>
          </cell>
          <cell r="S135" t="str">
            <v>해당없음</v>
          </cell>
          <cell r="T135" t="str">
            <v>LC50 1.983 ㎎/ℓ 96 hr (Estimate)</v>
          </cell>
          <cell r="U135" t="str">
            <v>LC50 1.494 ㎎/ℓ 48 hr (Estimate)</v>
          </cell>
          <cell r="V135" t="str">
            <v>EC50 1.594 ㎎/ℓ 96 hr (Estimate)</v>
          </cell>
          <cell r="W135" t="str">
            <v>log Kow 4.21 (Estimate)</v>
          </cell>
          <cell r="X135" t="str">
            <v>자료없음</v>
          </cell>
          <cell r="Y135" t="str">
            <v>BCF 277.8 (Estimate)</v>
          </cell>
          <cell r="Z135" t="str">
            <v>자료없음</v>
          </cell>
          <cell r="AA135" t="str">
            <v>자료없음</v>
          </cell>
          <cell r="AB135" t="str">
            <v>해당없음</v>
          </cell>
          <cell r="AC135"/>
        </row>
        <row r="136">
          <cell r="A136" t="str">
            <v>23787-90-8</v>
          </cell>
          <cell r="B136" t="str">
            <v>ISOLONGIFOLANONE</v>
          </cell>
          <cell r="C136" t="str">
            <v>해당없음</v>
          </cell>
          <cell r="D136" t="str">
            <v>해당없음</v>
          </cell>
          <cell r="E136" t="str">
            <v>해당없음</v>
          </cell>
          <cell r="F136" t="str">
            <v>LD50 &gt;2,000 ㎎/㎏ (Rat) (ECHA)</v>
          </cell>
          <cell r="G136" t="str">
            <v>자료없음</v>
          </cell>
          <cell r="H136" t="str">
            <v>자료없음</v>
          </cell>
          <cell r="I136" t="str">
            <v>자료없음</v>
          </cell>
          <cell r="J136" t="str">
            <v>자료없음</v>
          </cell>
          <cell r="K136" t="str">
            <v>자료없음</v>
          </cell>
          <cell r="L136" t="str">
            <v>자료없음</v>
          </cell>
          <cell r="M136" t="str">
            <v>해당없음</v>
          </cell>
          <cell r="N136" t="str">
            <v>자료없음</v>
          </cell>
          <cell r="O136" t="str">
            <v>자료없음</v>
          </cell>
          <cell r="P136" t="str">
            <v>자료없음</v>
          </cell>
          <cell r="Q136" t="str">
            <v>자료없음</v>
          </cell>
          <cell r="R136" t="str">
            <v>자료없음</v>
          </cell>
          <cell r="S136" t="str">
            <v>해당없음</v>
          </cell>
          <cell r="T136" t="str">
            <v>자료없음</v>
          </cell>
          <cell r="U136" t="str">
            <v>LC50 5.3 ㎎/ℓ 48 hr (OECD Guideline 202, GLP) (Daphnia magna) (ECHA)</v>
          </cell>
          <cell r="V136" t="str">
            <v>EC50 15 ㎎/ℓ 72 hr (OECD Guideline 201, GLP) (ECHA)</v>
          </cell>
          <cell r="W136" t="str">
            <v>자료없음</v>
          </cell>
          <cell r="X136" t="str">
            <v>자료없음</v>
          </cell>
          <cell r="Y136" t="str">
            <v>자료없음</v>
          </cell>
          <cell r="Z136" t="str">
            <v>자료없음</v>
          </cell>
          <cell r="AA136" t="str">
            <v>자료없음</v>
          </cell>
          <cell r="AB136" t="str">
            <v>해당없음</v>
          </cell>
        </row>
        <row r="137">
          <cell r="A137" t="str">
            <v>240-457-5</v>
          </cell>
          <cell r="B137" t="str">
            <v>ISOBUTENYL METHYLTETRAHYDROPYRAN</v>
          </cell>
          <cell r="C137" t="str">
            <v>해당없음</v>
          </cell>
          <cell r="D137" t="str">
            <v>해당없음</v>
          </cell>
          <cell r="E137" t="str">
            <v>해당없음</v>
          </cell>
          <cell r="F137" t="str">
            <v>LD50 &gt;2,000 ㎎/㎏ (OECD TG 401, GLP) (Rat)  (ECHA)</v>
          </cell>
          <cell r="G137" t="str">
            <v>LD50 &gt;5,000 ㎎/㎏ (Rat ) (National Library of Medicine)</v>
          </cell>
          <cell r="H137" t="str">
            <v>자료없음</v>
          </cell>
          <cell r="I137" t="str">
            <v>자료없음</v>
          </cell>
          <cell r="J137" t="str">
            <v>자료없음</v>
          </cell>
          <cell r="K137" t="str">
            <v>자료없음</v>
          </cell>
          <cell r="L137" t="str">
            <v>자료없음</v>
          </cell>
          <cell r="M137" t="str">
            <v>해당없음</v>
          </cell>
          <cell r="N137" t="str">
            <v>자료없음</v>
          </cell>
          <cell r="O137" t="str">
            <v>랫트로 28일 반복경구독성시험 결과, 정자독성과 부고환에서 병리학적 증상이 관찰됨. NOAEL=100 mg/kg bw/day(수), NOAEL=1000 mg/kg bw/day(암). (ECHA)</v>
          </cell>
          <cell r="P137" t="str">
            <v>자료없음</v>
          </cell>
          <cell r="Q137" t="str">
            <v>자료없음</v>
          </cell>
          <cell r="R137" t="str">
            <v>자료없음</v>
          </cell>
          <cell r="S137" t="str">
            <v>해당없음</v>
          </cell>
          <cell r="T137" t="str">
            <v>LC50 &gt; 100 ㎎/ℓ 96 hr  (Cyprinus carpio) (ECHA)</v>
          </cell>
          <cell r="U137" t="str">
            <v>EC50 &gt; 100 ㎎/ℓ 48 ㎎/ℓ  (Daphnia magna) (ECHA)</v>
          </cell>
          <cell r="V137" t="str">
            <v>EC50 &gt; 100 ㎎/ℓ 72 hr (Water Solubility &lt;0.2 ㎎/ℓ at 19.5°C at pH 7.5) (ECHA)</v>
          </cell>
          <cell r="W137" t="str">
            <v>자료없음</v>
          </cell>
          <cell r="X137" t="str">
            <v>자료없음</v>
          </cell>
          <cell r="Y137" t="str">
            <v>자료없음</v>
          </cell>
          <cell r="Z137" t="str">
            <v>자료없음</v>
          </cell>
          <cell r="AA137" t="str">
            <v>자료없음</v>
          </cell>
          <cell r="AB137" t="str">
            <v>해당없음</v>
          </cell>
          <cell r="AC137"/>
        </row>
        <row r="138">
          <cell r="A138" t="str">
            <v>245-833-2</v>
          </cell>
          <cell r="B138" t="str">
            <v>DAMASCENONE</v>
          </cell>
          <cell r="C138" t="str">
            <v>해당없음</v>
          </cell>
          <cell r="D138" t="str">
            <v>해당없음</v>
          </cell>
          <cell r="E138" t="str">
            <v>해당없음</v>
          </cell>
          <cell r="F138" t="str">
            <v>LD50 &gt;2,000 ㎎/㎏ (Rat) (NCIS)</v>
          </cell>
          <cell r="G138" t="str">
            <v>자료없음</v>
          </cell>
          <cell r="H138" t="str">
            <v>LC50 2.66~2.93 ㎎/ℓ (Rat) (NCIS)</v>
          </cell>
          <cell r="I138" t="str">
            <v>자료없음</v>
          </cell>
          <cell r="J138" t="str">
            <v>자료없음</v>
          </cell>
          <cell r="K138" t="str">
            <v>자료없음</v>
          </cell>
          <cell r="L138" t="str">
            <v>자료없음</v>
          </cell>
          <cell r="M138" t="str">
            <v>해당없음</v>
          </cell>
          <cell r="N138" t="str">
            <v>자료없음</v>
          </cell>
          <cell r="O138" t="str">
            <v>자료없음</v>
          </cell>
          <cell r="P138" t="str">
            <v>자료없음</v>
          </cell>
          <cell r="Q138" t="str">
            <v>자료없음</v>
          </cell>
          <cell r="R138" t="str">
            <v>자료없음</v>
          </cell>
          <cell r="S138" t="str">
            <v>해당없음</v>
          </cell>
          <cell r="T138" t="str">
            <v>LC50 1.09 ㎎/ℓ (NCIS)</v>
          </cell>
          <cell r="U138" t="str">
            <v>LC50 1.494 ㎎/ℓ 48 hr (ECOSAR)</v>
          </cell>
          <cell r="V138" t="str">
            <v>EC50 1.594 ㎎/ℓ 96 hr (ECOSAR)</v>
          </cell>
          <cell r="W138" t="str">
            <v>자료없음</v>
          </cell>
          <cell r="X138" t="str">
            <v>자료없음</v>
          </cell>
          <cell r="Y138" t="str">
            <v>자료없음</v>
          </cell>
          <cell r="Z138" t="str">
            <v>자료없음</v>
          </cell>
          <cell r="AA138" t="str">
            <v>자료없음</v>
          </cell>
          <cell r="AB138" t="str">
            <v>해당없음</v>
          </cell>
          <cell r="AC138"/>
        </row>
        <row r="139">
          <cell r="A139" t="str">
            <v>24720-09-0</v>
          </cell>
          <cell r="B139" t="str">
            <v>ALPHA-DAMASCONE</v>
          </cell>
          <cell r="C139" t="str">
            <v>해당없음</v>
          </cell>
          <cell r="D139" t="str">
            <v>해당없음</v>
          </cell>
          <cell r="E139" t="str">
            <v>해당없음</v>
          </cell>
          <cell r="F139" t="str">
            <v>자료없음</v>
          </cell>
          <cell r="G139" t="str">
            <v>자료없음</v>
          </cell>
          <cell r="H139" t="str">
            <v>자료없음</v>
          </cell>
          <cell r="I139" t="str">
            <v>자료없음</v>
          </cell>
          <cell r="J139" t="str">
            <v>자료없음</v>
          </cell>
          <cell r="K139" t="str">
            <v>자료없음</v>
          </cell>
          <cell r="L139" t="str">
            <v>자료없음</v>
          </cell>
          <cell r="M139" t="str">
            <v>해당없음</v>
          </cell>
          <cell r="N139" t="str">
            <v>자료없음</v>
          </cell>
          <cell r="O139" t="str">
            <v>자료없음</v>
          </cell>
          <cell r="P139" t="str">
            <v>자료없음</v>
          </cell>
          <cell r="Q139" t="str">
            <v>자료없음</v>
          </cell>
          <cell r="R139" t="str">
            <v>자료없음</v>
          </cell>
          <cell r="S139" t="str">
            <v>해당없음</v>
          </cell>
          <cell r="T139" t="str">
            <v>LC50 3.481 ㎎/ℓ 96 hr (Estimate)</v>
          </cell>
          <cell r="U139" t="str">
            <v>LC50 1.134 ㎎/ℓ 48 hr (Estimate)</v>
          </cell>
          <cell r="V139" t="str">
            <v>EC50 1.055 ㎎/ℓ 96 hr (Estimate)</v>
          </cell>
          <cell r="W139" t="str">
            <v>log Kow 4.29 (Estimate)</v>
          </cell>
          <cell r="X139" t="str">
            <v>자료없음</v>
          </cell>
          <cell r="Y139" t="str">
            <v>BCF 316.3 (Estimate)</v>
          </cell>
          <cell r="Z139" t="str">
            <v>자료없음</v>
          </cell>
          <cell r="AA139" t="str">
            <v>자료없음</v>
          </cell>
          <cell r="AB139" t="str">
            <v>해당없음</v>
          </cell>
        </row>
        <row r="140">
          <cell r="A140" t="str">
            <v>24851-98-7</v>
          </cell>
          <cell r="B140" t="str">
            <v>HEDIONE</v>
          </cell>
          <cell r="C140" t="str">
            <v>해당없음</v>
          </cell>
          <cell r="D140" t="str">
            <v>해당없음</v>
          </cell>
          <cell r="E140" t="str">
            <v>해당없음</v>
          </cell>
          <cell r="F140" t="str">
            <v>LD50 &gt;5,000 ㎎/㎏ (Rat) (Corporate Solution From Thomson Micromedex)</v>
          </cell>
          <cell r="G140" t="str">
            <v>LD50 &gt;5,000 ㎎/㎏ (Rabbit) (RIFM Database)</v>
          </cell>
          <cell r="H140" t="str">
            <v>자료없음</v>
          </cell>
          <cell r="I140" t="str">
            <v>자료없음</v>
          </cell>
          <cell r="J140" t="str">
            <v>자료없음</v>
          </cell>
          <cell r="K140" t="str">
            <v>자료없음</v>
          </cell>
          <cell r="L140" t="str">
            <v>자료없음</v>
          </cell>
          <cell r="M140" t="str">
            <v>해당없음</v>
          </cell>
          <cell r="N140" t="str">
            <v>자료없음</v>
          </cell>
          <cell r="O140" t="str">
            <v>자료없음</v>
          </cell>
          <cell r="P140" t="str">
            <v>자료없음</v>
          </cell>
          <cell r="Q140" t="str">
            <v>자료없음</v>
          </cell>
          <cell r="R140" t="str">
            <v>자료없음</v>
          </cell>
          <cell r="S140" t="str">
            <v>해당없음</v>
          </cell>
          <cell r="T140" t="str">
            <v>LC50 10.243 ㎎/ℓ 96 hr (Estimate)</v>
          </cell>
          <cell r="U140" t="str">
            <v>LC50 23.063 ㎎/ℓ 48 hr (Estimate)</v>
          </cell>
          <cell r="V140" t="str">
            <v>EC50 0.845 ㎎/ℓ 96 hr (Estimate)</v>
          </cell>
          <cell r="W140" t="str">
            <v>log Kow 2.98 (Estimate</v>
          </cell>
          <cell r="X140" t="str">
            <v>자료없음</v>
          </cell>
          <cell r="Y140" t="str">
            <v>BCF 38.97 (Estimate)</v>
          </cell>
          <cell r="Z140" t="str">
            <v>98 (%) 28 day (NITE)</v>
          </cell>
          <cell r="AA140" t="str">
            <v>Koc 142.3 (Estimate)</v>
          </cell>
          <cell r="AB140" t="str">
            <v>해당없음</v>
          </cell>
        </row>
        <row r="141">
          <cell r="A141" t="str">
            <v>2497-18-9</v>
          </cell>
          <cell r="B141" t="str">
            <v>HEXENYL ACETATE</v>
          </cell>
          <cell r="C141" t="str">
            <v>해당없음</v>
          </cell>
          <cell r="D141" t="str">
            <v>해당없음</v>
          </cell>
          <cell r="E141" t="str">
            <v>해당없음</v>
          </cell>
          <cell r="F141" t="str">
            <v>LD50 &gt; 5000 ㎎/㎏ Rat (NLM)</v>
          </cell>
          <cell r="G141" t="str">
            <v>LD50 &gt; 5000 ㎎/㎏ Rabbit (NLM)</v>
          </cell>
          <cell r="H141" t="str">
            <v>자료없음</v>
          </cell>
          <cell r="I141" t="str">
            <v>자료없음</v>
          </cell>
          <cell r="J141" t="str">
            <v>자료없음</v>
          </cell>
          <cell r="K141" t="str">
            <v>자료없음</v>
          </cell>
          <cell r="L141" t="str">
            <v>자료없음</v>
          </cell>
          <cell r="M141" t="str">
            <v>해당없음</v>
          </cell>
          <cell r="N141" t="str">
            <v>Computed Probability of Mutagenicy0.439</v>
          </cell>
          <cell r="O141" t="str">
            <v>자료없음</v>
          </cell>
          <cell r="P141" t="str">
            <v>자료없음</v>
          </cell>
          <cell r="Q141" t="str">
            <v>자료없음</v>
          </cell>
          <cell r="R141" t="str">
            <v>자료없음</v>
          </cell>
          <cell r="S141" t="str">
            <v>해당없음</v>
          </cell>
          <cell r="T141" t="str">
            <v>LC50 0.824 ㎎/ℓ 96 hr (Estimate)</v>
          </cell>
          <cell r="U141" t="str">
            <v>LC50 5.705 ㎎/ℓ 48 hr (Estimate)</v>
          </cell>
          <cell r="V141" t="str">
            <v>EC50 1.457 ㎎/ℓ 96 hr (Estimate)</v>
          </cell>
          <cell r="W141" t="str">
            <v>log Kow 2.61 (Estimate)</v>
          </cell>
          <cell r="X141" t="str">
            <v>자료없음</v>
          </cell>
          <cell r="Y141" t="str">
            <v>BCF 24.63 (Estimate)</v>
          </cell>
          <cell r="Z141" t="str">
            <v>(Cut-off value 0.7943; Rapidly biodegradable(BIOWIN 5)) (Estimate)</v>
          </cell>
          <cell r="AA141" t="str">
            <v>Koc 2.303 (Estimate)</v>
          </cell>
          <cell r="AB141" t="str">
            <v>해당없음</v>
          </cell>
          <cell r="AC141"/>
        </row>
        <row r="142">
          <cell r="A142" t="str">
            <v>25152-85-6</v>
          </cell>
          <cell r="B142" t="str">
            <v>CIS-3-HEXENYL BENZOATE</v>
          </cell>
          <cell r="C142" t="str">
            <v>해당없음</v>
          </cell>
          <cell r="D142" t="str">
            <v>해당없음</v>
          </cell>
          <cell r="E142" t="str">
            <v>해당없음</v>
          </cell>
          <cell r="F142" t="str">
            <v>자료없음</v>
          </cell>
          <cell r="G142" t="str">
            <v>자료없음</v>
          </cell>
          <cell r="H142" t="str">
            <v>자료없음</v>
          </cell>
          <cell r="I142" t="str">
            <v>자료없음</v>
          </cell>
          <cell r="J142" t="str">
            <v>자료없음</v>
          </cell>
          <cell r="K142" t="str">
            <v>자료없음</v>
          </cell>
          <cell r="L142" t="str">
            <v>자료없음</v>
          </cell>
          <cell r="M142" t="str">
            <v>해당없음</v>
          </cell>
          <cell r="N142" t="str">
            <v>자료없음</v>
          </cell>
          <cell r="O142" t="str">
            <v>자료없음</v>
          </cell>
          <cell r="P142" t="str">
            <v>자료없음</v>
          </cell>
          <cell r="Q142" t="str">
            <v>자료없음</v>
          </cell>
          <cell r="R142" t="str">
            <v>자료없음</v>
          </cell>
          <cell r="S142" t="str">
            <v>해당없음</v>
          </cell>
          <cell r="T142" t="str">
            <v>자료없음</v>
          </cell>
          <cell r="U142" t="str">
            <v>자료없음</v>
          </cell>
          <cell r="V142" t="str">
            <v>자료없음</v>
          </cell>
          <cell r="W142" t="str">
            <v>자료없음</v>
          </cell>
          <cell r="X142" t="str">
            <v>자료없음</v>
          </cell>
          <cell r="Y142" t="str">
            <v>자료없음</v>
          </cell>
          <cell r="Z142" t="str">
            <v>자료없음</v>
          </cell>
          <cell r="AA142" t="str">
            <v>자료없음</v>
          </cell>
          <cell r="AB142" t="str">
            <v>해당없음</v>
          </cell>
        </row>
        <row r="143">
          <cell r="A143" t="str">
            <v>25225-08-5</v>
          </cell>
          <cell r="B143" t="str">
            <v>APHERMATE</v>
          </cell>
          <cell r="C143" t="str">
            <v>해당없음</v>
          </cell>
          <cell r="D143" t="str">
            <v>해당없음</v>
          </cell>
          <cell r="E143" t="str">
            <v>해당없음</v>
          </cell>
          <cell r="F143" t="str">
            <v>자료없음</v>
          </cell>
          <cell r="G143" t="str">
            <v>자료없음</v>
          </cell>
          <cell r="H143" t="str">
            <v>자료없음</v>
          </cell>
          <cell r="I143" t="str">
            <v>자료없음</v>
          </cell>
          <cell r="J143" t="str">
            <v>자료없음</v>
          </cell>
          <cell r="K143" t="str">
            <v>자료없음</v>
          </cell>
          <cell r="L143" t="str">
            <v>자료없음</v>
          </cell>
          <cell r="M143" t="str">
            <v>해당없음</v>
          </cell>
          <cell r="N143" t="str">
            <v>자료없음</v>
          </cell>
          <cell r="O143" t="str">
            <v>자료없음</v>
          </cell>
          <cell r="P143" t="str">
            <v>자료없음</v>
          </cell>
          <cell r="Q143" t="str">
            <v>자료없음</v>
          </cell>
          <cell r="R143" t="str">
            <v>자료없음</v>
          </cell>
          <cell r="S143" t="str">
            <v>해당없음</v>
          </cell>
          <cell r="T143" t="str">
            <v>자료없음</v>
          </cell>
          <cell r="U143" t="str">
            <v>자료없음</v>
          </cell>
          <cell r="V143" t="str">
            <v>자료없음</v>
          </cell>
          <cell r="W143" t="str">
            <v>자료없음</v>
          </cell>
          <cell r="X143" t="str">
            <v>자료없음</v>
          </cell>
          <cell r="Y143" t="str">
            <v>자료없음</v>
          </cell>
          <cell r="Z143" t="str">
            <v>자료없음</v>
          </cell>
          <cell r="AA143" t="str">
            <v>자료없음</v>
          </cell>
          <cell r="AB143" t="str">
            <v>해당없음</v>
          </cell>
          <cell r="AC143"/>
        </row>
        <row r="144">
          <cell r="A144" t="str">
            <v>25265-71-8</v>
          </cell>
          <cell r="B144" t="str">
            <v>DIPROPYLENE GLYCOL</v>
          </cell>
          <cell r="C144" t="str">
            <v>해당없음</v>
          </cell>
          <cell r="D144" t="str">
            <v>해당없음</v>
          </cell>
          <cell r="E144" t="str">
            <v>해당없음</v>
          </cell>
          <cell r="F144" t="str">
            <v>LD50 14,850 ㎎/㎏ (Rat) (Ministry of Environment)</v>
          </cell>
          <cell r="G144" t="str">
            <v>LD50 &gt;5,000 ㎎/㎏  (Rabbit) (HSDB)</v>
          </cell>
          <cell r="H144" t="str">
            <v>LC50 2 ㎎/ℓ (Rat) (RIFM Database)</v>
          </cell>
          <cell r="I144" t="str">
            <v>약간의 자극성이 보인다고 설명 (IUCLID)</v>
          </cell>
          <cell r="J144" t="str">
            <v>자극 없음 (IUCLID)</v>
          </cell>
          <cell r="K144" t="str">
            <v>자료없음</v>
          </cell>
          <cell r="L144" t="str">
            <v>사람에 피부과민성 시험을 해 503명 중 1명에게 과민성반응이 나타나 과민성물질이 아닌 것으로 적용 (SIDS)</v>
          </cell>
          <cell r="M144" t="str">
            <v>해당없음</v>
          </cell>
          <cell r="N144" t="str">
            <v>복귀돌연변이시험: 음성(CCRIS), 염색체이상시험: 음성,1250-5000㎍/ml농도에서 대사활성계적용여부 에 상관없이 음성 (MOE Safety test)</v>
          </cell>
          <cell r="O144" t="str">
            <v>Fertility : Rabbit: NOAEL Parental &gt;1200mg/kg bw Developmental toxicity/Teratogenicity SD Rat , NOAEL Maternalt. 800mg/kg bw NOAEL Teratogen &gt;5000mg/kg bw Rabbit : NOAEL Maternalt.: &gt;1200mg/kg bw NOAEL Teratogen: &gt;1200mg/kg bw (KOSHA)</v>
          </cell>
          <cell r="P144" t="str">
            <v>자료없음</v>
          </cell>
          <cell r="Q144" t="str">
            <v>Rat 1%~10% 음수섭취 9-77일 10%노출군에서 일부동물이 사망. 신장상피세뇨관에서 수포변성 Rat 12% 사료섭취 15주 15주 후 뛰는 행동감소 Dog 총용량 9,12,20cc/Kg NOAEL 9,400 mg/Kg 12cc(12,500mg/Kg)에서 구토가 있었으나 곧 회복. (SIDS)</v>
          </cell>
          <cell r="R144" t="str">
            <v>자료없음</v>
          </cell>
          <cell r="S144" t="str">
            <v>해당없음</v>
          </cell>
          <cell r="T144" t="str">
            <v>LC50 1,888.3 ㎎/ℓ 96 hr (ECOTOX)</v>
          </cell>
          <cell r="U144" t="str">
            <v>LC50 1,841.9 ㎎/ℓ 48 hr  (Daphnia magna) (ECOTOX)</v>
          </cell>
          <cell r="V144" t="str">
            <v>EC50 1,064.8 ㎎/ℓ 96 hr (ECOTOX)</v>
          </cell>
          <cell r="W144" t="str">
            <v>log Kow -1.07  (Estimate)</v>
          </cell>
          <cell r="X144" t="str">
            <v>자료없음</v>
          </cell>
          <cell r="Y144" t="str">
            <v>BCF 0.3 ~ 1.4 (IUCLID)</v>
          </cell>
          <cell r="Z144" t="str">
            <v>16 (%) 28 day (IUCLID)</v>
          </cell>
          <cell r="AA144" t="str">
            <v>자료없음</v>
          </cell>
          <cell r="AB144" t="str">
            <v>해당없음</v>
          </cell>
          <cell r="AC144"/>
        </row>
        <row r="145">
          <cell r="A145" t="str">
            <v>2556-10-7</v>
          </cell>
          <cell r="B145" t="str">
            <v>ETHYL PHENETHYL ACETAL</v>
          </cell>
          <cell r="C145" t="str">
            <v>해당없음</v>
          </cell>
          <cell r="D145" t="str">
            <v>해당없음</v>
          </cell>
          <cell r="E145" t="str">
            <v>해당없음</v>
          </cell>
          <cell r="F145" t="str">
            <v>자료없음</v>
          </cell>
          <cell r="G145" t="str">
            <v>자료없음</v>
          </cell>
          <cell r="H145" t="str">
            <v>자료없음</v>
          </cell>
          <cell r="I145" t="str">
            <v>자료없음</v>
          </cell>
          <cell r="J145" t="str">
            <v>자료없음</v>
          </cell>
          <cell r="K145" t="str">
            <v>자료없음</v>
          </cell>
          <cell r="L145" t="str">
            <v>자료없음</v>
          </cell>
          <cell r="M145" t="str">
            <v>해당없음</v>
          </cell>
          <cell r="N145" t="str">
            <v>자료없음</v>
          </cell>
          <cell r="O145" t="str">
            <v>자료없음</v>
          </cell>
          <cell r="P145" t="str">
            <v>자료없음</v>
          </cell>
          <cell r="Q145" t="str">
            <v>자료없음</v>
          </cell>
          <cell r="R145" t="str">
            <v>자료없음</v>
          </cell>
          <cell r="S145" t="str">
            <v>해당없음</v>
          </cell>
          <cell r="T145" t="str">
            <v>자료없음</v>
          </cell>
          <cell r="U145" t="str">
            <v>자료없음</v>
          </cell>
          <cell r="V145" t="str">
            <v>자료없음</v>
          </cell>
          <cell r="W145" t="str">
            <v>자료없음</v>
          </cell>
          <cell r="X145" t="str">
            <v>자료없음</v>
          </cell>
          <cell r="Y145" t="str">
            <v>자료없음</v>
          </cell>
          <cell r="Z145" t="str">
            <v>자료없음</v>
          </cell>
          <cell r="AA145" t="str">
            <v>자료없음</v>
          </cell>
          <cell r="AB145" t="str">
            <v>해당없음</v>
          </cell>
        </row>
        <row r="146">
          <cell r="A146" t="str">
            <v>2568-25-4</v>
          </cell>
          <cell r="B146" t="str">
            <v>BENZALDEHYDE PROPYLENEGLYCOL ACETAL</v>
          </cell>
          <cell r="C146" t="str">
            <v>해당없음</v>
          </cell>
          <cell r="D146" t="str">
            <v>해당없음</v>
          </cell>
          <cell r="E146" t="str">
            <v>해당없음</v>
          </cell>
          <cell r="F146" t="str">
            <v>LD50 3000 ㎎/㎏ Rat (NLM)</v>
          </cell>
          <cell r="G146" t="str">
            <v>LD50 &gt; 5000 ㎎/㎏ Rabbit(NLM)</v>
          </cell>
          <cell r="H146" t="str">
            <v>자료없음</v>
          </cell>
          <cell r="I146" t="str">
            <v>자료없음</v>
          </cell>
          <cell r="J146" t="str">
            <v>자료없음</v>
          </cell>
          <cell r="K146" t="str">
            <v>자료없음</v>
          </cell>
          <cell r="L146" t="str">
            <v>자료없음</v>
          </cell>
          <cell r="M146" t="str">
            <v>해당없음</v>
          </cell>
          <cell r="N146" t="str">
            <v>자료없음</v>
          </cell>
          <cell r="O146" t="str">
            <v>자료없음</v>
          </cell>
          <cell r="P146" t="str">
            <v>자료없음</v>
          </cell>
          <cell r="Q146" t="str">
            <v>자료없음</v>
          </cell>
          <cell r="R146" t="str">
            <v>자료없음</v>
          </cell>
          <cell r="S146" t="str">
            <v>해당없음</v>
          </cell>
          <cell r="T146" t="str">
            <v>LC50 212.332 ㎎/ℓ 96 hr (Estimate)</v>
          </cell>
          <cell r="U146" t="str">
            <v>LC50 115.297 ㎎/ℓ 48 hr (Estimate)</v>
          </cell>
          <cell r="V146" t="str">
            <v>EC50 48.984 ㎎/ℓ 96 hr (Estimate)</v>
          </cell>
          <cell r="W146" t="str">
            <v>자료없음</v>
          </cell>
          <cell r="X146" t="str">
            <v>자료없음</v>
          </cell>
          <cell r="Y146" t="str">
            <v>BCF 6.578 (Estimate)</v>
          </cell>
          <cell r="Z146" t="str">
            <v>(Cut-off value=0.1916; Non-degradable(BIOWIN 6)) (Estimate)</v>
          </cell>
          <cell r="AA146" t="str">
            <v>Koc 50.86(Estimate)</v>
          </cell>
          <cell r="AB146" t="str">
            <v>해당없음</v>
          </cell>
          <cell r="AC146"/>
        </row>
        <row r="147">
          <cell r="A147" t="str">
            <v>2705-87-5</v>
          </cell>
          <cell r="B147" t="str">
            <v>ALLYL CYCLOHEXYL PROPIONATE</v>
          </cell>
          <cell r="C147" t="str">
            <v>해당없음</v>
          </cell>
          <cell r="D147" t="str">
            <v>해당없음</v>
          </cell>
          <cell r="E147" t="str">
            <v>해당없음</v>
          </cell>
          <cell r="F147" t="str">
            <v>LD50 585 ㎎/㎏ Rat(RTECS,NLM)</v>
          </cell>
          <cell r="G147" t="str">
            <v>자료없음</v>
          </cell>
          <cell r="H147" t="str">
            <v>자료없음</v>
          </cell>
          <cell r="I147" t="str">
            <v>자료없음</v>
          </cell>
          <cell r="J147" t="str">
            <v>자료없음</v>
          </cell>
          <cell r="K147" t="str">
            <v>자료없음</v>
          </cell>
          <cell r="L147" t="str">
            <v>자료없음</v>
          </cell>
          <cell r="M147" t="str">
            <v>해당없음</v>
          </cell>
          <cell r="N147" t="str">
            <v>Computed Probability of Mutagenicy0.990</v>
          </cell>
          <cell r="O147" t="str">
            <v>자료없음</v>
          </cell>
          <cell r="P147" t="str">
            <v>자료없음</v>
          </cell>
          <cell r="Q147" t="str">
            <v>자료없음</v>
          </cell>
          <cell r="R147" t="str">
            <v>자료없음</v>
          </cell>
          <cell r="S147" t="str">
            <v>해당없음</v>
          </cell>
          <cell r="T147" t="str">
            <v>LC50 0.553 ㎎/ℓ 96 hr (Estimate)</v>
          </cell>
          <cell r="U147" t="str">
            <v>EC50 0.955 ㎎/ℓ 48 hr (Estimate)</v>
          </cell>
          <cell r="V147" t="str">
            <v>EC50 0.407 ㎎/ℓ 96 hr (Estimate)</v>
          </cell>
          <cell r="W147" t="str">
            <v>자료없음</v>
          </cell>
          <cell r="X147" t="str">
            <v>자료없음</v>
          </cell>
          <cell r="Y147" t="str">
            <v>BCF 413.8 (Estimate)</v>
          </cell>
          <cell r="Z147" t="str">
            <v>자료없음</v>
          </cell>
          <cell r="AA147" t="str">
            <v>Koc 3.332  (estimate)</v>
          </cell>
          <cell r="AB147" t="str">
            <v>해당없음</v>
          </cell>
          <cell r="AC147"/>
        </row>
        <row r="148">
          <cell r="A148" t="str">
            <v>27606-09-3</v>
          </cell>
          <cell r="B148" t="str">
            <v>MAGNOLAN 690304</v>
          </cell>
          <cell r="C148" t="str">
            <v>해당없음</v>
          </cell>
          <cell r="D148" t="str">
            <v>해당없음</v>
          </cell>
          <cell r="E148" t="str">
            <v>해당없음</v>
          </cell>
          <cell r="F148" t="str">
            <v>자료없음</v>
          </cell>
          <cell r="G148" t="str">
            <v>자료없음</v>
          </cell>
          <cell r="H148" t="str">
            <v>자료없음</v>
          </cell>
          <cell r="I148" t="str">
            <v>자료없음</v>
          </cell>
          <cell r="J148" t="str">
            <v>자료없음</v>
          </cell>
          <cell r="K148" t="str">
            <v>자료없음</v>
          </cell>
          <cell r="L148" t="str">
            <v>자료없음</v>
          </cell>
          <cell r="M148" t="str">
            <v>해당없음</v>
          </cell>
          <cell r="N148" t="str">
            <v>자료없음</v>
          </cell>
          <cell r="O148" t="str">
            <v>자료없음</v>
          </cell>
          <cell r="P148" t="str">
            <v>자료없음</v>
          </cell>
          <cell r="Q148" t="str">
            <v>자료없음</v>
          </cell>
          <cell r="R148" t="str">
            <v>자료없음</v>
          </cell>
          <cell r="S148" t="str">
            <v>해당없음</v>
          </cell>
          <cell r="T148" t="str">
            <v>자료없음</v>
          </cell>
          <cell r="U148" t="str">
            <v>자료없음</v>
          </cell>
          <cell r="V148" t="str">
            <v>자료없음</v>
          </cell>
          <cell r="W148" t="str">
            <v>자료없음</v>
          </cell>
          <cell r="X148" t="str">
            <v>자료없음</v>
          </cell>
          <cell r="Y148" t="str">
            <v>자료없음</v>
          </cell>
          <cell r="Z148" t="str">
            <v>자료없음</v>
          </cell>
          <cell r="AA148" t="str">
            <v>자료없음</v>
          </cell>
          <cell r="AB148" t="str">
            <v>해당없음</v>
          </cell>
          <cell r="AC148"/>
        </row>
        <row r="149">
          <cell r="A149" t="str">
            <v>28219-61-6</v>
          </cell>
          <cell r="B149" t="str">
            <v>BACDANOL</v>
          </cell>
          <cell r="C149" t="str">
            <v>해당없음</v>
          </cell>
          <cell r="D149" t="str">
            <v>해당없음</v>
          </cell>
          <cell r="E149" t="str">
            <v>해당없음</v>
          </cell>
          <cell r="F149" t="str">
            <v>LD50 &gt;2,000 ㎎/㎏ (OECD Guideline 401) (Rat) (ECHA Chem)</v>
          </cell>
          <cell r="G149" t="str">
            <v>Rat LD50&gt;5 mL/kg bw (&gt;5000mg/kg) OECD Guideline 402 GLP (ECHA)</v>
          </cell>
          <cell r="H149" t="str">
            <v>자료없음</v>
          </cell>
          <cell r="I149" t="str">
            <v>토끼 피부에 비자극 홍반/부종 1.3  OECD Guideline 404 GLP (ECHA)</v>
          </cell>
          <cell r="J149" t="str">
            <v>송아지 시험관내 눈부식성/심한자극성 시험에서 음성. OECD guideline 437 (read-across; 2-ethyl-4-(2,2,3-trimethyl-3-cyclopenten-1-yl)-2-buten-1-ol) (ECHA)</v>
          </cell>
          <cell r="K149" t="str">
            <v>자료없음</v>
          </cell>
          <cell r="L149" t="str">
            <v>기니피그 maximisation test 비과민성 OECD Guideline 406  (ECHA)</v>
          </cell>
          <cell r="M149" t="str">
            <v>해당없음</v>
          </cell>
          <cell r="N149" t="str">
            <v>in vitro 미생물 복귀돌연변이시험 Ames test 음성 GLP OECD Guideline 471 GLP, in vitro 포유류 염색체 이상시험 음성 OECD Guideline 473, in vitro CHO 세포유전자 돌연변이시험 음성 OECD Guideline 476 GLP (ECHA)</v>
          </cell>
          <cell r="O149" t="str">
            <v>랫드 경구 영향 없음 NOAEL=300 mg/kg bw/day OECD Guideline 422 GLP (ECHA)</v>
          </cell>
          <cell r="P149" t="str">
            <v>자료없음</v>
          </cell>
          <cell r="Q149" t="str">
            <v>자료없음</v>
          </cell>
          <cell r="R149" t="str">
            <v>동적점도 : 22.49 mm²/s (static) :점도 : 20.6 mPa s (dynamic)  밀도: 0.916 g/cm³ (ECHA)</v>
          </cell>
          <cell r="S149" t="str">
            <v>해당없음</v>
          </cell>
          <cell r="T149" t="str">
            <v>LC50 1.1 ㎎/ℓ 96 hr (EPA OPPTS 850.1075 GLP) (Lepomis macrochirus) (ECHA Chem)</v>
          </cell>
          <cell r="U149" t="str">
            <v xml:space="preserve">EC50 0.63 ㎎/ℓ 48 hr  (Daphnia magna) (ECHA Chem) </v>
          </cell>
          <cell r="V149" t="str">
            <v>EC50 2.5 ㎎/ℓ 96 hr (EPA OPPTS 850.5400) (Selenastrum capricornutum) (ECHA Chem)</v>
          </cell>
          <cell r="W149" t="str">
            <v>4.4 (ECHA)</v>
          </cell>
          <cell r="X149" t="str">
            <v>자료없음</v>
          </cell>
          <cell r="Y149" t="str">
            <v>자료없음</v>
          </cell>
          <cell r="Z149" t="str">
            <v>0%/28 days, OECD guideline 301 F GLP (ECHA)</v>
          </cell>
          <cell r="AA149" t="str">
            <v>자료없음</v>
          </cell>
          <cell r="AB149" t="str">
            <v>해당없음</v>
          </cell>
          <cell r="AC149"/>
        </row>
        <row r="150">
          <cell r="A150" t="str">
            <v>28645-51-4</v>
          </cell>
          <cell r="B150" t="str">
            <v>AMBRETTOLIDE</v>
          </cell>
          <cell r="C150" t="str">
            <v>해당없음</v>
          </cell>
          <cell r="D150" t="str">
            <v>해당없음</v>
          </cell>
          <cell r="E150" t="str">
            <v>해당없음</v>
          </cell>
          <cell r="F150" t="str">
            <v>자료없음</v>
          </cell>
          <cell r="G150" t="str">
            <v>자료없음</v>
          </cell>
          <cell r="H150" t="str">
            <v>자료없음</v>
          </cell>
          <cell r="I150" t="str">
            <v>자료없음</v>
          </cell>
          <cell r="J150" t="str">
            <v>자료없음</v>
          </cell>
          <cell r="K150" t="str">
            <v>자료없음</v>
          </cell>
          <cell r="L150" t="str">
            <v>자료없음</v>
          </cell>
          <cell r="M150" t="str">
            <v>해당없음</v>
          </cell>
          <cell r="N150" t="str">
            <v>자료없음</v>
          </cell>
          <cell r="O150" t="str">
            <v>자료없음</v>
          </cell>
          <cell r="P150" t="str">
            <v>자료없음</v>
          </cell>
          <cell r="Q150" t="str">
            <v>자료없음</v>
          </cell>
          <cell r="R150" t="str">
            <v>자료없음</v>
          </cell>
          <cell r="S150" t="str">
            <v>해당없음</v>
          </cell>
          <cell r="T150" t="str">
            <v>자료없음</v>
          </cell>
          <cell r="U150" t="str">
            <v>자료없음</v>
          </cell>
          <cell r="V150" t="str">
            <v>자료없음</v>
          </cell>
          <cell r="W150" t="str">
            <v>log Kow 5.37 (Estimate)</v>
          </cell>
          <cell r="X150" t="str">
            <v>자료없음</v>
          </cell>
          <cell r="Y150" t="str">
            <v>BCF 1628 (Estimate)</v>
          </cell>
          <cell r="Z150" t="str">
            <v>자료없음</v>
          </cell>
          <cell r="AA150" t="str">
            <v>6758 (Estimate)</v>
          </cell>
          <cell r="AB150" t="str">
            <v>해당없음</v>
          </cell>
        </row>
        <row r="151">
          <cell r="A151" t="str">
            <v>32210-23-4</v>
          </cell>
          <cell r="B151" t="str">
            <v>4-TERT-BUTYLCYCLOHEXYL ACETATE</v>
          </cell>
          <cell r="C151" t="str">
            <v>해당없음</v>
          </cell>
          <cell r="D151" t="str">
            <v>해당없음</v>
          </cell>
          <cell r="E151" t="str">
            <v>해당없음</v>
          </cell>
          <cell r="F151" t="str">
            <v>LD50 5,000 ㎎/㎏ Rat</v>
          </cell>
          <cell r="G151" t="str">
            <v>자료없음</v>
          </cell>
          <cell r="H151" t="str">
            <v>자료없음</v>
          </cell>
          <cell r="I151" t="str">
            <v>토끼, 자극성 없음(Draize Test)</v>
          </cell>
          <cell r="J151" t="str">
            <v>토끼,자극성 없음(Draize Test)</v>
          </cell>
          <cell r="K151" t="str">
            <v>자료없음</v>
          </cell>
          <cell r="L151" t="str">
            <v>자료없음</v>
          </cell>
          <cell r="M151" t="str">
            <v>해당없음</v>
          </cell>
          <cell r="N151" t="str">
            <v>In vitro-미생물을 이용한 복귀돌연변이 시험(S. typhimurium TA98.TA100,TA1535,TA1537,TA1538)-음성</v>
          </cell>
          <cell r="O151" t="str">
            <v>자료없음</v>
          </cell>
          <cell r="P151" t="str">
            <v>자료없음</v>
          </cell>
          <cell r="Q151" t="str">
            <v>자료없음</v>
          </cell>
          <cell r="R151" t="str">
            <v>자료없음</v>
          </cell>
          <cell r="S151" t="str">
            <v>해당없음</v>
          </cell>
          <cell r="T151" t="str">
            <v>LC50 1.111 ㎎/ℓ 96 hr (Estimate)</v>
          </cell>
          <cell r="U151" t="str">
            <v>LC50 1.053 ㎎/ℓ 48 hr (Estimate)</v>
          </cell>
          <cell r="V151" t="str">
            <v>EC50 0.549 ㎎/ℓ 96 hr (Estimate)</v>
          </cell>
          <cell r="W151" t="str">
            <v>log Kow 4.8</v>
          </cell>
          <cell r="X151" t="str">
            <v>자료없음</v>
          </cell>
          <cell r="Y151" t="str">
            <v>BCF 682.4  (Has the potential bioaccumulation) (Estimate)</v>
          </cell>
          <cell r="Z151" t="str">
            <v>88% biodegradation after 14 and 29 days. (ECHA)</v>
          </cell>
          <cell r="AA151" t="str">
            <v>자료없음</v>
          </cell>
          <cell r="AB151" t="str">
            <v>해당없음</v>
          </cell>
          <cell r="AC151"/>
        </row>
        <row r="152">
          <cell r="A152" t="str">
            <v>32388-55-9</v>
          </cell>
          <cell r="B152" t="str">
            <v>VERTOFIX COEUR</v>
          </cell>
          <cell r="C152" t="str">
            <v>해당없음</v>
          </cell>
          <cell r="D152" t="str">
            <v>해당없음</v>
          </cell>
          <cell r="E152" t="str">
            <v>해당없음</v>
          </cell>
          <cell r="F152" t="str">
            <v>자료없음</v>
          </cell>
          <cell r="G152" t="str">
            <v>자료없음</v>
          </cell>
          <cell r="H152" t="str">
            <v>자료없음</v>
          </cell>
          <cell r="I152" t="str">
            <v>자료없음</v>
          </cell>
          <cell r="J152" t="str">
            <v>자료없음</v>
          </cell>
          <cell r="K152" t="str">
            <v>자료없음</v>
          </cell>
          <cell r="L152" t="str">
            <v>자료없음</v>
          </cell>
          <cell r="M152" t="str">
            <v>해당없음</v>
          </cell>
          <cell r="N152" t="str">
            <v>자료없음</v>
          </cell>
          <cell r="O152" t="str">
            <v>자료없음</v>
          </cell>
          <cell r="P152" t="str">
            <v>자료없음</v>
          </cell>
          <cell r="Q152" t="str">
            <v>자료없음</v>
          </cell>
          <cell r="R152" t="str">
            <v>자료없음</v>
          </cell>
          <cell r="S152" t="str">
            <v>해당없음</v>
          </cell>
          <cell r="T152" t="str">
            <v>LC50 2.3 ㎎/ℓ 96 hr (ECHA)</v>
          </cell>
          <cell r="U152" t="str">
            <v>LC50 0.86 ㎎/ℓ 48 hr (ECHA)</v>
          </cell>
          <cell r="V152" t="str">
            <v>EC50 2.8 ㎎/ℓ 96 hr (ECHA)</v>
          </cell>
          <cell r="W152" t="str">
            <v>log Kow 5.02 (Estimate)</v>
          </cell>
          <cell r="X152" t="str">
            <v>자료없음</v>
          </cell>
          <cell r="Y152" t="str">
            <v>BCF 953.5 (Estimate)</v>
          </cell>
          <cell r="Z152" t="str">
            <v>36% degradation (28d)(ECHA)</v>
          </cell>
          <cell r="AA152" t="str">
            <v>Koc 3.8 (Estimate)</v>
          </cell>
          <cell r="AB152" t="str">
            <v>해당없음</v>
          </cell>
          <cell r="AC152"/>
        </row>
        <row r="153">
          <cell r="A153" t="str">
            <v>33704-61-9</v>
          </cell>
          <cell r="B153" t="str">
            <v>DIHYDRO PENTAMETHYLINDANONE</v>
          </cell>
          <cell r="C153" t="str">
            <v>해당없음</v>
          </cell>
          <cell r="D153" t="str">
            <v>해당없음</v>
          </cell>
          <cell r="E153" t="str">
            <v>해당없음</v>
          </cell>
          <cell r="F153" t="str">
            <v>LD50 2,901 ㎎/㎏ (OECD Guideline 401, GLP) (Rat) (ECHA)</v>
          </cell>
          <cell r="G153" t="str">
            <v>자료없음</v>
          </cell>
          <cell r="H153" t="str">
            <v>자료없음</v>
          </cell>
          <cell r="I153" t="str">
            <v>자료없음</v>
          </cell>
          <cell r="J153" t="str">
            <v>자료없음</v>
          </cell>
          <cell r="K153" t="str">
            <v>자료없음</v>
          </cell>
          <cell r="L153" t="str">
            <v>자료없음</v>
          </cell>
          <cell r="M153" t="str">
            <v>해당없음</v>
          </cell>
          <cell r="N153" t="str">
            <v>자료없음</v>
          </cell>
          <cell r="O153" t="str">
            <v>자료없음</v>
          </cell>
          <cell r="P153" t="str">
            <v>랫트로 경구투여시험결과, 설사, 비정상적 무릎자세 및 걸음걸이, 호흡곤란, 경련, 탈진등이 관찰됨. 부검시 출혈성 폐, 부풀어진 배 등 총체적인 병리학적 소견결과를 보임. (ECHA)</v>
          </cell>
          <cell r="Q153" t="str">
            <v>자료없음</v>
          </cell>
          <cell r="R153" t="str">
            <v>자료없음</v>
          </cell>
          <cell r="S153" t="str">
            <v>해당없음</v>
          </cell>
          <cell r="T153" t="str">
            <v>LC50 2.12 ㎎/ℓ 96 hr (OECD Guideline 203, GLP) (Oryzias latipes) (ECHA)</v>
          </cell>
          <cell r="U153" t="str">
            <v>EC50 1.5 ㎎/ℓ 48 hr (OECD Guideline 202, GLP) (Daphnia magna) (ECHA)</v>
          </cell>
          <cell r="V153" t="str">
            <v>EC50 0.122 ㎎/ℓ 96 hr (ECOSAR)</v>
          </cell>
          <cell r="W153" t="str">
            <v>자료없음</v>
          </cell>
          <cell r="X153" t="str">
            <v>자료없음</v>
          </cell>
          <cell r="Y153" t="str">
            <v>자료없음</v>
          </cell>
          <cell r="Z153" t="str">
            <v>자료없음</v>
          </cell>
          <cell r="AA153" t="str">
            <v>자료없음</v>
          </cell>
          <cell r="AB153" t="str">
            <v>해당없음</v>
          </cell>
          <cell r="AC153"/>
        </row>
        <row r="154">
          <cell r="A154" t="str">
            <v>34590-94-8</v>
          </cell>
          <cell r="B154" t="str">
            <v>DIPROPYLENE GLYCOL METHYL ETHE</v>
          </cell>
          <cell r="C154" t="str">
            <v>TWA : 100 ppm, STEL : 150 ppm</v>
          </cell>
          <cell r="D154" t="str">
            <v>TWA, 100 ppm (606 mg/m3) STEL, 150 ppm (909 mg/m3)</v>
          </cell>
          <cell r="E154" t="str">
            <v>해당없음</v>
          </cell>
          <cell r="F154" t="str">
            <v>LD50 5,660 ㎎/㎏ (OECD Guideline 401) (Rat) (ECHA)</v>
          </cell>
          <cell r="G154" t="str">
            <v>LD50 9510 mg/kg Rat (OECD Guideline 402, ECHA)</v>
          </cell>
          <cell r="H154" t="str">
            <v>Vapor LC0 &gt;500 ppm(3.1 mg/L) 7hr(661 ppm(4.1 mg/L) 4hr) Rat (OECD Guideline 403)GHS Not classified (ECHA)</v>
          </cell>
          <cell r="I154" t="str">
            <v>토끼를 이용한 피부부식성/자극성 실험결과 자극 없음(OECD Guideline 404, ECHA)</v>
          </cell>
          <cell r="J154" t="str">
            <v>토끼를 이용한 심한눈손상/자극성 실험결과 자극성이 발견되지 않음(other guideline: human volunteer study) (ECHA)</v>
          </cell>
          <cell r="K154" t="str">
            <v>자료없음</v>
          </cell>
          <cell r="L154" t="str">
            <v>사람을 이용한 피부과민성 시험결과 피부자극없음(ECHA)</v>
          </cell>
          <cell r="M154" t="str">
            <v>해당없음</v>
          </cell>
          <cell r="N154" t="str">
            <v>시험관 내 미생물을 이용한 복귀돌연변이시험결과 대사활동유무에 상관없이 음성 (OECD Guideline 471, GLP)시험관 내 포유류 염색체이상시험결과 대사활동유무에 상관없이 음성(OECD Guideline 473, GLP) 시험관 내 포유류 유전자돌연변이시험결과 대사활동유무에 상관없이 음성(OECD Guideline 476, GLP 유사물질 25498-49-1)(ECHA)</v>
          </cell>
          <cell r="O154" t="str">
            <v>생식독성시험결과 체중감소, 진정작용 증가, 부모독성 NOAEL=300ppm, 자식독성 NOAEL=100ppm(OECD Guideline 416, GLP)(유사물질 CAS No.107-98-2) 발달독성 최기형성 시험결과 별다른 이상 없음, 모체독성 NOAEL&gt;300ppm (nominal), 최기형성 NOAEL&gt;300ppm (nominal)(EPA OTS 798.4350, GLP)(유사물질 CAS No.34590-94- 8) (ECHA)</v>
          </cell>
          <cell r="P154" t="str">
            <v>급성 경구독성시험결과 무거운 호흡 및 보행의 불안정, 죽음(OECD TG 401) 경피독성시험결과 몸무게 증가 및 과도한 마취 증상(OECD TG 402) 흡입독성시험결과 경미한 마취증상 및 점막의 자극, 분비, 호흡 곤란, 잘자라지 못한 털(OECD TG 403)(ECHA), 토끼를 이용한 경피 투여 시험과 쥐를 이용한 경구 및 흡입 투여 시험에서 마취성이관찰되었고, 사람 노출 사례에서 기도 자극이 관찰되었다는 보고(ACGIH (7th, 2001), DFGOT(vol.6, 1994), PATTY(4th, 1994) 및 SIDS(2001))</v>
          </cell>
          <cell r="Q154" t="str">
            <v>반복경구노출시험결과 중심 소엽 비대증 동반 상대 간 무게 증가 NOAEL=1000mg/kg bw/day (nominal) 반복흡입노출시험결과 수컷 랫드의 평균 절대 및 상대 흉선 무게에 통계적으로 증가, NOAEC=330 ppm(OECD TG 412, GLP,유사물질 CAS No.34590-94-8) 반복경피노출시험결과 NOEL&gt; 1000mg/kg bw/day(OECD TG 410) (ECHA)</v>
          </cell>
          <cell r="R154" t="str">
            <v>자료없음</v>
          </cell>
          <cell r="S154" t="str">
            <v>해당없음</v>
          </cell>
          <cell r="T154" t="str">
            <v>LC50 &gt; 1,000 ㎎/ℓ 96 hr (OECD Guideline 203, GLP) (Poecilia reticulata,) (ECHA)</v>
          </cell>
          <cell r="U154" t="str">
            <v>LC50 1919 ㎎/ℓ 48 hr Daphnia magna(OECD Guideline 202) (ECHA)</v>
          </cell>
          <cell r="V154" t="str">
            <v>EC50 &gt;969 ㎎/ℓ 96 hr (OECD Guideline 201, GLP) (Selenastrum capricornutum) (ECHA)</v>
          </cell>
          <cell r="W154" t="str">
            <v>0.004 log Kow</v>
          </cell>
          <cell r="X154" t="str">
            <v>자료없음</v>
          </cell>
          <cell r="Y154" t="str">
            <v>자료없음</v>
          </cell>
          <cell r="Z154" t="str">
            <v>34 % 24 day (non-biodegradable, OECD Guideline 301 B, GLP) (ECHA)</v>
          </cell>
          <cell r="AA154" t="str">
            <v>자료없음</v>
          </cell>
          <cell r="AB154" t="str">
            <v>해당없음</v>
          </cell>
          <cell r="AC154"/>
        </row>
        <row r="155">
          <cell r="A155" t="str">
            <v>34902-57-3</v>
          </cell>
          <cell r="B155" t="str">
            <v>HABANOLIDE</v>
          </cell>
          <cell r="C155" t="str">
            <v>해당없음</v>
          </cell>
          <cell r="D155" t="str">
            <v>해당없음</v>
          </cell>
          <cell r="E155" t="str">
            <v>해당없음</v>
          </cell>
          <cell r="F155" t="str">
            <v>자료없음</v>
          </cell>
          <cell r="G155" t="str">
            <v>자료없음</v>
          </cell>
          <cell r="H155" t="str">
            <v>자료없음</v>
          </cell>
          <cell r="I155" t="str">
            <v>자료없음</v>
          </cell>
          <cell r="J155" t="str">
            <v>자료없음</v>
          </cell>
          <cell r="K155" t="str">
            <v>자료없음</v>
          </cell>
          <cell r="L155" t="str">
            <v>자료없음</v>
          </cell>
          <cell r="M155" t="str">
            <v>해당없음</v>
          </cell>
          <cell r="N155" t="str">
            <v>자료없음</v>
          </cell>
          <cell r="O155" t="str">
            <v>자료없음</v>
          </cell>
          <cell r="P155" t="str">
            <v>자료없음</v>
          </cell>
          <cell r="Q155" t="str">
            <v>자료없음</v>
          </cell>
          <cell r="R155" t="str">
            <v>자료없음</v>
          </cell>
          <cell r="S155" t="str">
            <v>해당없음</v>
          </cell>
          <cell r="T155" t="str">
            <v>자료없음</v>
          </cell>
          <cell r="U155" t="str">
            <v>자료없음</v>
          </cell>
          <cell r="V155" t="str">
            <v>자료없음</v>
          </cell>
          <cell r="W155" t="str">
            <v>자료없음</v>
          </cell>
          <cell r="X155" t="str">
            <v>자료없음</v>
          </cell>
          <cell r="Y155" t="str">
            <v>자료없음</v>
          </cell>
          <cell r="Z155" t="str">
            <v>자료없음</v>
          </cell>
          <cell r="AA155" t="str">
            <v>자료없음</v>
          </cell>
          <cell r="AB155" t="str">
            <v>해당없음</v>
          </cell>
          <cell r="AC155"/>
        </row>
        <row r="156">
          <cell r="A156" t="str">
            <v>36306-87-3</v>
          </cell>
          <cell r="B156" t="str">
            <v>KEPHALIS</v>
          </cell>
          <cell r="C156" t="str">
            <v>해당없음</v>
          </cell>
          <cell r="D156" t="str">
            <v>해당없음</v>
          </cell>
          <cell r="E156" t="str">
            <v>해당없음</v>
          </cell>
          <cell r="F156" t="str">
            <v>자료없음</v>
          </cell>
          <cell r="G156" t="str">
            <v>자료없음</v>
          </cell>
          <cell r="H156" t="str">
            <v>자료없음</v>
          </cell>
          <cell r="I156" t="str">
            <v>자료없음</v>
          </cell>
          <cell r="J156" t="str">
            <v>자료없음</v>
          </cell>
          <cell r="K156" t="str">
            <v>자료없음</v>
          </cell>
          <cell r="L156" t="str">
            <v>자료없음</v>
          </cell>
          <cell r="M156" t="str">
            <v>해당없음</v>
          </cell>
          <cell r="N156" t="str">
            <v>자료없음</v>
          </cell>
          <cell r="O156" t="str">
            <v>자료없음</v>
          </cell>
          <cell r="P156" t="str">
            <v>자료없음</v>
          </cell>
          <cell r="Q156" t="str">
            <v>자료없음</v>
          </cell>
          <cell r="R156" t="str">
            <v>자료없음</v>
          </cell>
          <cell r="S156" t="str">
            <v>해당없음</v>
          </cell>
          <cell r="T156" t="str">
            <v>자료없음</v>
          </cell>
          <cell r="U156" t="str">
            <v>자료없음</v>
          </cell>
          <cell r="V156" t="str">
            <v>자료없음</v>
          </cell>
          <cell r="W156" t="str">
            <v>자료없음</v>
          </cell>
          <cell r="X156" t="str">
            <v>자료없음</v>
          </cell>
          <cell r="Y156" t="str">
            <v>자료없음</v>
          </cell>
          <cell r="Z156" t="str">
            <v>자료없음</v>
          </cell>
          <cell r="AA156" t="str">
            <v>자료없음</v>
          </cell>
          <cell r="AB156" t="str">
            <v>해당없음</v>
          </cell>
          <cell r="AC156"/>
        </row>
        <row r="157">
          <cell r="A157" t="str">
            <v>3658-77-3</v>
          </cell>
          <cell r="B157" t="str">
            <v>DIMETHYLHYDROXY FURANONE</v>
          </cell>
          <cell r="C157" t="str">
            <v>해당없음</v>
          </cell>
          <cell r="D157" t="str">
            <v>해당없음</v>
          </cell>
          <cell r="E157" t="str">
            <v>해당없음</v>
          </cell>
          <cell r="F157" t="str">
            <v>LD50 1,608 ㎎/㎏ (Mouse) (Registry of Toxic Effects of Chemical Substances, National Library of Medicine)</v>
          </cell>
          <cell r="G157" t="str">
            <v>자료없음</v>
          </cell>
          <cell r="H157" t="str">
            <v>자료없음</v>
          </cell>
          <cell r="I157" t="str">
            <v>자료없음</v>
          </cell>
          <cell r="J157" t="str">
            <v>자료없음</v>
          </cell>
          <cell r="K157" t="str">
            <v>자료없음</v>
          </cell>
          <cell r="L157" t="str">
            <v>자료없음</v>
          </cell>
          <cell r="M157" t="str">
            <v>해당없음</v>
          </cell>
          <cell r="N157" t="str">
            <v>자료없음</v>
          </cell>
          <cell r="O157" t="str">
            <v>자료없음</v>
          </cell>
          <cell r="P157" t="str">
            <v>자료없음</v>
          </cell>
          <cell r="Q157" t="str">
            <v>자료없음</v>
          </cell>
          <cell r="R157" t="str">
            <v>자료없음</v>
          </cell>
          <cell r="S157" t="str">
            <v>해당없음</v>
          </cell>
          <cell r="T157" t="str">
            <v>LC50 1.887 ㎎/ℓ 96 hr (Ecological Structure Activity Relationships (ECOSAR))</v>
          </cell>
          <cell r="U157" t="str">
            <v>EC50 275.243 ㎎/ℓ 48 hr (Ecological Structure Activity Relationships (ECOSAR))</v>
          </cell>
          <cell r="V157" t="str">
            <v>EC50 96.963 ㎎/ℓ 96 hr (Ecological Structure Activity Relationships (ECOSAR))</v>
          </cell>
          <cell r="W157" t="str">
            <v>자료없음</v>
          </cell>
          <cell r="X157" t="str">
            <v>자료없음</v>
          </cell>
          <cell r="Y157" t="str">
            <v>자료없음</v>
          </cell>
          <cell r="Z157" t="str">
            <v>자료없음</v>
          </cell>
          <cell r="AA157" t="str">
            <v>자료없음</v>
          </cell>
          <cell r="AB157" t="str">
            <v>해당없음</v>
          </cell>
          <cell r="AC157"/>
        </row>
        <row r="158">
          <cell r="A158" t="str">
            <v>3681-71-8</v>
          </cell>
          <cell r="B158" t="str">
            <v>CIS 3 HEXENYL ACETATE</v>
          </cell>
          <cell r="C158" t="str">
            <v>해당없음</v>
          </cell>
          <cell r="D158" t="str">
            <v>해당없음</v>
          </cell>
          <cell r="E158" t="str">
            <v>해당없음</v>
          </cell>
          <cell r="F158" t="str">
            <v>LD50 &gt; 5000 ㎎/㎏ Rat(NLM, RTECS)</v>
          </cell>
          <cell r="G158" t="str">
            <v>LD50 &gt; 5000 ㎎/㎏ Rat(NLM, RTECS)</v>
          </cell>
          <cell r="H158" t="str">
            <v>자료없음</v>
          </cell>
          <cell r="I158" t="str">
            <v>자료없음</v>
          </cell>
          <cell r="J158" t="str">
            <v>자료없음</v>
          </cell>
          <cell r="K158" t="str">
            <v>자료없음</v>
          </cell>
          <cell r="L158" t="str">
            <v>자료없음</v>
          </cell>
          <cell r="M158" t="str">
            <v>해당없음</v>
          </cell>
          <cell r="N158" t="str">
            <v>Computed Probability of Mutagenicy0.345</v>
          </cell>
          <cell r="O158" t="str">
            <v>자료없음</v>
          </cell>
          <cell r="P158" t="str">
            <v>자료없음</v>
          </cell>
          <cell r="Q158" t="str">
            <v>자료없음</v>
          </cell>
          <cell r="R158" t="str">
            <v>자료없음</v>
          </cell>
          <cell r="S158" t="str">
            <v>해당없음</v>
          </cell>
          <cell r="T158" t="str">
            <v>LC50 8.620 ㎎/ℓ 96 hr (Estimate)</v>
          </cell>
          <cell r="U158" t="str">
            <v>EC50 20.596 ㎎/ℓ 48 hr (Estimate)</v>
          </cell>
          <cell r="V158" t="str">
            <v>EC50 11.422 ㎎/ℓ 96 hr (Estimate)</v>
          </cell>
          <cell r="W158" t="str">
            <v>자료없음</v>
          </cell>
          <cell r="X158" t="str">
            <v>자료없음</v>
          </cell>
          <cell r="Y158" t="str">
            <v>BCF 24.63 (Estimate)</v>
          </cell>
          <cell r="Z158" t="str">
            <v>자료없음</v>
          </cell>
          <cell r="AA158" t="str">
            <v>Koc 2.303(Estimate)</v>
          </cell>
          <cell r="AB158" t="str">
            <v>해당없음</v>
          </cell>
        </row>
        <row r="159">
          <cell r="A159" t="str">
            <v>3720-16-9</v>
          </cell>
          <cell r="B159" t="str">
            <v>3-METHYL-5-PROPYL-2-CYCLOHEXENONE</v>
          </cell>
          <cell r="C159" t="str">
            <v>해당없음</v>
          </cell>
          <cell r="D159" t="str">
            <v>해당없음</v>
          </cell>
          <cell r="E159" t="str">
            <v>해당없음</v>
          </cell>
          <cell r="F159" t="str">
            <v>자료없음</v>
          </cell>
          <cell r="G159" t="str">
            <v>자료없음</v>
          </cell>
          <cell r="H159" t="str">
            <v>자료없음</v>
          </cell>
          <cell r="I159" t="str">
            <v>자료없음</v>
          </cell>
          <cell r="J159" t="str">
            <v>자료없음</v>
          </cell>
          <cell r="K159" t="str">
            <v>자료없음</v>
          </cell>
          <cell r="L159" t="str">
            <v>자료없음</v>
          </cell>
          <cell r="M159" t="str">
            <v>해당없음</v>
          </cell>
          <cell r="N159" t="str">
            <v>자료없음</v>
          </cell>
          <cell r="O159" t="str">
            <v>자료없음</v>
          </cell>
          <cell r="P159" t="str">
            <v>자료없음</v>
          </cell>
          <cell r="Q159" t="str">
            <v>자료없음</v>
          </cell>
          <cell r="R159" t="str">
            <v>자료없음</v>
          </cell>
          <cell r="S159" t="str">
            <v>해당없음</v>
          </cell>
          <cell r="T159" t="str">
            <v>LC50 12.559 ㎎/ℓ 96 hr (Estimate)</v>
          </cell>
          <cell r="U159" t="str">
            <v>LC50 8.325 ㎎/ℓ 48 hr (Estimate)</v>
          </cell>
          <cell r="V159" t="str">
            <v>EC50 5.745 ㎎/ℓ 96 hr (Estimate)</v>
          </cell>
          <cell r="W159" t="str">
            <v>log Kow 3.15 (Estimate)</v>
          </cell>
          <cell r="X159" t="str">
            <v>자료없음</v>
          </cell>
          <cell r="Y159" t="str">
            <v>BCF 55.6 (Estimate)</v>
          </cell>
          <cell r="Z159" t="str">
            <v>Non-degradable; not degraded and has a high potential to accumulate in vivo</v>
          </cell>
          <cell r="AA159" t="str">
            <v>Koc 155.50</v>
          </cell>
          <cell r="AB159" t="str">
            <v>해당없음</v>
          </cell>
          <cell r="AC159"/>
        </row>
        <row r="160">
          <cell r="A160" t="str">
            <v>3738-00-9</v>
          </cell>
          <cell r="B160" t="str">
            <v>CETALOX</v>
          </cell>
          <cell r="C160" t="str">
            <v>해당없음</v>
          </cell>
          <cell r="D160" t="str">
            <v>해당없음</v>
          </cell>
          <cell r="E160" t="str">
            <v>해당없음</v>
          </cell>
          <cell r="F160" t="str">
            <v>자료없음</v>
          </cell>
          <cell r="G160" t="str">
            <v>자료없음</v>
          </cell>
          <cell r="H160" t="str">
            <v>자료없음</v>
          </cell>
          <cell r="I160" t="str">
            <v>자료없음</v>
          </cell>
          <cell r="J160" t="str">
            <v>자료없음</v>
          </cell>
          <cell r="K160" t="str">
            <v>자료없음</v>
          </cell>
          <cell r="L160" t="str">
            <v>자료없음</v>
          </cell>
          <cell r="M160" t="str">
            <v>해당없음</v>
          </cell>
          <cell r="N160" t="str">
            <v>Computed Probability of Mutagenicy0.002</v>
          </cell>
          <cell r="O160" t="str">
            <v>자료없음</v>
          </cell>
          <cell r="P160" t="str">
            <v>자료없음</v>
          </cell>
          <cell r="Q160" t="str">
            <v>자료없음</v>
          </cell>
          <cell r="R160" t="str">
            <v>자료없음</v>
          </cell>
          <cell r="S160" t="str">
            <v>해당없음</v>
          </cell>
          <cell r="T160" t="str">
            <v>LC50 0.684 ㎎/ℓ 96 hr (Estimate)</v>
          </cell>
          <cell r="U160" t="str">
            <v>EC50 0.580 ㎎/ℓ 48 hr (Estimate)</v>
          </cell>
          <cell r="V160" t="str">
            <v>EC50 0.911 ㎎/ℓ 96 hr (Estimate)</v>
          </cell>
          <cell r="W160" t="str">
            <v>자료없음</v>
          </cell>
          <cell r="X160" t="str">
            <v>자료없음</v>
          </cell>
          <cell r="Y160" t="str">
            <v>BCF 638.8 (Possibility of bioaccumulation) (Estimate)</v>
          </cell>
          <cell r="Z160" t="str">
            <v>자료없음</v>
          </cell>
          <cell r="AA160" t="str">
            <v>Koc 3.467 (estimate)</v>
          </cell>
          <cell r="AB160" t="str">
            <v>해당없음</v>
          </cell>
          <cell r="AC160"/>
        </row>
        <row r="161">
          <cell r="A161" t="str">
            <v>37677-14-8</v>
          </cell>
          <cell r="B161" t="str">
            <v>ISOHEXENYL CYCLOPENTENYL CARBALDEHYDE</v>
          </cell>
          <cell r="C161" t="str">
            <v>해당없음</v>
          </cell>
          <cell r="D161" t="str">
            <v>해당없음</v>
          </cell>
          <cell r="E161" t="str">
            <v>해당없음</v>
          </cell>
          <cell r="F161" t="str">
            <v>자료없음</v>
          </cell>
          <cell r="G161" t="str">
            <v>자료없음</v>
          </cell>
          <cell r="H161" t="str">
            <v>자료없음</v>
          </cell>
          <cell r="I161" t="str">
            <v>자료없음</v>
          </cell>
          <cell r="J161" t="str">
            <v>자료없음</v>
          </cell>
          <cell r="K161" t="str">
            <v>자료없음</v>
          </cell>
          <cell r="L161" t="str">
            <v>자료없음</v>
          </cell>
          <cell r="M161" t="str">
            <v>해당없음</v>
          </cell>
          <cell r="N161" t="str">
            <v>해당없음</v>
          </cell>
          <cell r="O161" t="str">
            <v>자료없음</v>
          </cell>
          <cell r="P161" t="str">
            <v>자료없음</v>
          </cell>
          <cell r="Q161" t="str">
            <v>자료없음</v>
          </cell>
          <cell r="R161" t="str">
            <v>자료없음</v>
          </cell>
          <cell r="S161" t="str">
            <v>해당없음</v>
          </cell>
          <cell r="T161" t="str">
            <v>LC50 0.408 ㎎/ℓ 96 hr (Estimate)</v>
          </cell>
          <cell r="U161" t="str">
            <v>LC50 0.168 ㎎/ℓ 48 hr (Estimate)</v>
          </cell>
          <cell r="V161" t="str">
            <v>EC50 0.477 ㎎/ℓ 96 hr (Estimate)</v>
          </cell>
          <cell r="W161" t="str">
            <v>log Kow = 4.73 (Estimate)</v>
          </cell>
          <cell r="X161" t="str">
            <v>자료없음</v>
          </cell>
          <cell r="Y161" t="str">
            <v>BCF = 616.1 (Estimate)</v>
          </cell>
          <cell r="Z161" t="str">
            <v>자료없음</v>
          </cell>
          <cell r="AA161" t="str">
            <v>자료없음</v>
          </cell>
          <cell r="AB161" t="str">
            <v>해당없음</v>
          </cell>
        </row>
        <row r="162">
          <cell r="A162" t="str">
            <v>38462-22-5</v>
          </cell>
          <cell r="B162" t="str">
            <v>THIOMENTHONE</v>
          </cell>
          <cell r="C162" t="str">
            <v>해당없음</v>
          </cell>
          <cell r="D162" t="str">
            <v>해당없음</v>
          </cell>
          <cell r="E162" t="str">
            <v>해당없음</v>
          </cell>
          <cell r="F162" t="str">
            <v>자료없음</v>
          </cell>
          <cell r="G162" t="str">
            <v>자료없음</v>
          </cell>
          <cell r="H162" t="str">
            <v>자료없음</v>
          </cell>
          <cell r="I162" t="str">
            <v>자료없음</v>
          </cell>
          <cell r="J162" t="str">
            <v>자료없음</v>
          </cell>
          <cell r="K162" t="str">
            <v>자료없음</v>
          </cell>
          <cell r="L162" t="str">
            <v>자료없음</v>
          </cell>
          <cell r="M162" t="str">
            <v>해당없음</v>
          </cell>
          <cell r="N162" t="str">
            <v>자료없음</v>
          </cell>
          <cell r="O162" t="str">
            <v>자료없음</v>
          </cell>
          <cell r="P162" t="str">
            <v>자료없음</v>
          </cell>
          <cell r="Q162" t="str">
            <v>자료없음</v>
          </cell>
          <cell r="R162" t="str">
            <v>자료없음</v>
          </cell>
          <cell r="S162" t="str">
            <v>해당없음</v>
          </cell>
          <cell r="T162" t="str">
            <v>자료없음</v>
          </cell>
          <cell r="U162" t="str">
            <v>자료없음</v>
          </cell>
          <cell r="V162" t="str">
            <v>자료없음</v>
          </cell>
          <cell r="W162" t="str">
            <v>자료없음</v>
          </cell>
          <cell r="X162" t="str">
            <v>자료없음</v>
          </cell>
          <cell r="Y162" t="str">
            <v>자료없음</v>
          </cell>
          <cell r="Z162" t="str">
            <v>자료없음</v>
          </cell>
          <cell r="AA162" t="str">
            <v>자료없음</v>
          </cell>
          <cell r="AB162" t="str">
            <v>해당없음</v>
          </cell>
          <cell r="AC162"/>
        </row>
        <row r="163">
          <cell r="A163" t="str">
            <v>39255-32-8</v>
          </cell>
          <cell r="B163" t="str">
            <v>E2MV</v>
          </cell>
          <cell r="C163" t="str">
            <v>해당없음</v>
          </cell>
          <cell r="D163" t="str">
            <v>해당없음</v>
          </cell>
          <cell r="E163" t="str">
            <v>해당없음</v>
          </cell>
          <cell r="F163" t="str">
            <v>자료없음</v>
          </cell>
          <cell r="G163" t="str">
            <v>자료없음</v>
          </cell>
          <cell r="H163" t="str">
            <v>자료없음</v>
          </cell>
          <cell r="I163" t="str">
            <v>자료없음</v>
          </cell>
          <cell r="J163" t="str">
            <v>자료없음</v>
          </cell>
          <cell r="K163" t="str">
            <v>자료없음</v>
          </cell>
          <cell r="L163" t="str">
            <v>자료없음</v>
          </cell>
          <cell r="M163" t="str">
            <v>해당없음</v>
          </cell>
          <cell r="N163" t="str">
            <v>자료없음</v>
          </cell>
          <cell r="O163" t="str">
            <v>자료없음</v>
          </cell>
          <cell r="P163" t="str">
            <v>자료없음</v>
          </cell>
          <cell r="Q163" t="str">
            <v>자료없음</v>
          </cell>
          <cell r="R163" t="str">
            <v>자료없음</v>
          </cell>
          <cell r="S163" t="str">
            <v>해당없음</v>
          </cell>
          <cell r="T163" t="str">
            <v>LC50 6.98 ㎎/ℓ 96 hr (Estimate)</v>
          </cell>
          <cell r="U163" t="str">
            <v>LC50 13.39 ㎎/ℓ 48 hr (Estimate)</v>
          </cell>
          <cell r="V163" t="str">
            <v>EC50 5.05 ㎎/ℓ 96 hr (Estimate)</v>
          </cell>
          <cell r="W163" t="str">
            <v>log Kow 2.76 (Estimate)</v>
          </cell>
          <cell r="X163" t="str">
            <v>자료없음</v>
          </cell>
          <cell r="Y163" t="str">
            <v>BCF 30.54 (Estimate)</v>
          </cell>
          <cell r="Z163" t="str">
            <v>자료없음</v>
          </cell>
          <cell r="AA163" t="str">
            <v>243.3 (Estimate)</v>
          </cell>
          <cell r="AB163" t="str">
            <v>해당없음</v>
          </cell>
          <cell r="AC163"/>
        </row>
        <row r="164">
          <cell r="A164" t="str">
            <v>40379-24-6</v>
          </cell>
          <cell r="B164" t="str">
            <v>ISONONYL ACETATE</v>
          </cell>
          <cell r="C164" t="str">
            <v>해당없음</v>
          </cell>
          <cell r="D164" t="str">
            <v>해당없음</v>
          </cell>
          <cell r="E164" t="str">
            <v>해당없음</v>
          </cell>
          <cell r="F164" t="str">
            <v>자료없음</v>
          </cell>
          <cell r="G164" t="str">
            <v>자료없음</v>
          </cell>
          <cell r="H164" t="str">
            <v>자료없음</v>
          </cell>
          <cell r="I164" t="str">
            <v>자료없음</v>
          </cell>
          <cell r="J164" t="str">
            <v>자료없음</v>
          </cell>
          <cell r="K164" t="str">
            <v>자료없음</v>
          </cell>
          <cell r="L164" t="str">
            <v>자료없음</v>
          </cell>
          <cell r="M164" t="str">
            <v>해당없음</v>
          </cell>
          <cell r="N164" t="str">
            <v>자료없음</v>
          </cell>
          <cell r="O164" t="str">
            <v>자료없음</v>
          </cell>
          <cell r="P164" t="str">
            <v>자료없음</v>
          </cell>
          <cell r="Q164" t="str">
            <v>자료없음</v>
          </cell>
          <cell r="R164" t="str">
            <v>자료없음</v>
          </cell>
          <cell r="S164" t="str">
            <v>해당없음</v>
          </cell>
          <cell r="T164" t="str">
            <v>LC50 1.244 ㎎/ℓ 96 hr (ECOSAR)</v>
          </cell>
          <cell r="U164" t="str">
            <v>EC50 2.038 ㎎/ℓ 48 hr (ECOSAR)</v>
          </cell>
          <cell r="V164" t="str">
            <v>EC50 0.609 ㎎/ℓ 96 hr (ECOSAR)</v>
          </cell>
          <cell r="W164" t="str">
            <v>자료없음</v>
          </cell>
          <cell r="X164" t="str">
            <v>자료없음</v>
          </cell>
          <cell r="Y164" t="str">
            <v>자료없음</v>
          </cell>
          <cell r="Z164" t="str">
            <v>자료없음</v>
          </cell>
          <cell r="AA164" t="str">
            <v>자료없음</v>
          </cell>
          <cell r="AB164" t="str">
            <v>해당없음</v>
          </cell>
          <cell r="AC164"/>
        </row>
        <row r="165">
          <cell r="A165" t="str">
            <v>406488-30-0</v>
          </cell>
          <cell r="B165" t="str">
            <v>PARADISAMIDE</v>
          </cell>
          <cell r="C165" t="str">
            <v>해당없음</v>
          </cell>
          <cell r="D165" t="str">
            <v>해당없음</v>
          </cell>
          <cell r="E165" t="str">
            <v>해당없음</v>
          </cell>
          <cell r="F165" t="str">
            <v>자료없음</v>
          </cell>
          <cell r="G165" t="str">
            <v>자료없음</v>
          </cell>
          <cell r="H165" t="str">
            <v>자료없음</v>
          </cell>
          <cell r="I165" t="str">
            <v>자료없음</v>
          </cell>
          <cell r="J165" t="str">
            <v>자료없음</v>
          </cell>
          <cell r="K165" t="str">
            <v>자료없음</v>
          </cell>
          <cell r="L165" t="str">
            <v>자료없음</v>
          </cell>
          <cell r="M165" t="str">
            <v>해당없음</v>
          </cell>
          <cell r="N165" t="str">
            <v>자료없음</v>
          </cell>
          <cell r="O165" t="str">
            <v>자료없음</v>
          </cell>
          <cell r="P165" t="str">
            <v>자료없음</v>
          </cell>
          <cell r="Q165" t="str">
            <v>자료없음</v>
          </cell>
          <cell r="R165" t="str">
            <v>자료없음</v>
          </cell>
          <cell r="S165" t="str">
            <v>해당없음</v>
          </cell>
          <cell r="T165" t="str">
            <v>LC50 2.352 ㎎/ℓ 96 hr (Estimate)</v>
          </cell>
          <cell r="U165" t="str">
            <v>LC50 2.122 ㎎/ℓ 48 hr (Estimate)</v>
          </cell>
          <cell r="V165" t="str">
            <v>EC50 0.201 ㎎/ℓ 96 hr (Estimate)</v>
          </cell>
          <cell r="W165" t="str">
            <v>log Kow = 3.36 (Estimate)</v>
          </cell>
          <cell r="X165" t="str">
            <v>자료없음</v>
          </cell>
          <cell r="Y165" t="str">
            <v>BCF = 77.12 (Estimate)</v>
          </cell>
          <cell r="Z165" t="str">
            <v>Not readily biodegradable (Estimate)</v>
          </cell>
          <cell r="AA165" t="str">
            <v>자료없음</v>
          </cell>
          <cell r="AB165" t="str">
            <v>해당없음</v>
          </cell>
        </row>
        <row r="166">
          <cell r="A166" t="str">
            <v>4180-23-8</v>
          </cell>
          <cell r="B166" t="str">
            <v>ANETHOL</v>
          </cell>
          <cell r="C166" t="str">
            <v>해당없음</v>
          </cell>
          <cell r="D166" t="str">
            <v>해당없음</v>
          </cell>
          <cell r="E166" t="str">
            <v>해당없음</v>
          </cell>
          <cell r="F166" t="str">
            <v>LD50 &gt; 2000mg/kg bw Rat (ECHA)</v>
          </cell>
          <cell r="G166" t="str">
            <v>LD50 &gt; 4900mg/kg bw Rabbit (ECHA)</v>
          </cell>
          <cell r="H166" t="str">
            <v>Aerosol LC50 ≥ 5.1 ㎎/ℓ 4hr Rat (ECHA)</v>
          </cell>
          <cell r="I166" t="str">
            <v>토끼 실험결과 분류되지 않음 (ECHA)</v>
          </cell>
          <cell r="J166" t="str">
            <v>토끼 실험결과 분류되지 않음, 전체 관찰 기간(72시간) 동안 처리된 모든 동물에서 결막, 홍채 또는 각막 점수 0
으로 관찰됨 (ECHA)</v>
          </cell>
          <cell r="K166" t="str">
            <v>자료없음</v>
          </cell>
          <cell r="L166" t="str">
            <v>기니피그 실험결과 알레르기성 피부 반응을 일으킬 수 있음, 구분 1로 분류됨 (ECHA)</v>
          </cell>
          <cell r="M166" t="str">
            <v>해당없음</v>
          </cell>
          <cell r="N166" t="str">
            <v xml:space="preserve">in vitro 염색체 이상 실험결과 음성, in vitro 박테리아 복귀 돌연변이 시험 (Ames test) 음성 OECD Guideline
471, in vivo 비계획 DNA합성 시험 음성 OECD Guideline 486 (ECHA)
</v>
          </cell>
          <cell r="O166" t="str">
            <v xml:space="preserve">생식독성 랫드 경구 실험결과 체중 증가 및 체중 감소의 원인으로 보이나 4세대 동안 랫드의 생식 능력에 영향을
미치지 않았음 (NOAEC(F2) &gt;= 600 &lt;= 1500 mg/kg bw/day) (ECHA), 발달독성 랫드의 경구 실험결과 모체 독성(체중 및 사료
소비 감소)을 유발하는 용량 미만의 용량에서 쥐 태아에 어떠한 발달 영향도 일으키지 않았음. (NOAEL = 약350 mg/kg bw/day
NOAEL = 약175 mg/kg bw/day) (ECHA)
</v>
          </cell>
          <cell r="P166" t="str">
            <v>자료없음</v>
          </cell>
          <cell r="Q166" t="str">
            <v>랫드 경구 실험결과 NOAEL= 300 mg/kg bw/day (반복 투여 90일 경구 독성 시험) (ECHA)</v>
          </cell>
          <cell r="R166" t="str">
            <v>자료없음</v>
          </cell>
          <cell r="S166" t="str">
            <v>해당없음</v>
          </cell>
          <cell r="T166" t="str">
            <v>LC50 ca. 7 mg/L 96hr Danio rerio EU Method C.1 GLP, NOEC ca. 0.34 mg/L 28d Danio rerio (ECHA)</v>
          </cell>
          <cell r="U166" t="str">
            <v>EC50 ca. 4.25 mg/L 48hr Daphnia magna ASTM. 1989 (ECHA)</v>
          </cell>
          <cell r="V166" t="str">
            <v>자료없음</v>
          </cell>
          <cell r="W166" t="str">
            <v>low Kow 3.3884 (EU Method A.8) (ECHA)</v>
          </cell>
          <cell r="X166" t="str">
            <v>자료없음</v>
          </cell>
          <cell r="Y166" t="str">
            <v>자료없음</v>
          </cell>
          <cell r="Z166" t="str">
            <v>Readily biodegradable, 79%, 28 days EU Method C.4-E (ECHA)</v>
          </cell>
          <cell r="AA166" t="str">
            <v>Koc 718(Estimate)</v>
          </cell>
          <cell r="AB166" t="str">
            <v>해당없음</v>
          </cell>
        </row>
        <row r="167">
          <cell r="A167" t="str">
            <v>470-67-7</v>
          </cell>
          <cell r="B167" t="str">
            <v>1,4-CINEOL</v>
          </cell>
          <cell r="C167" t="str">
            <v>해당없음</v>
          </cell>
          <cell r="D167" t="str">
            <v>해당없음</v>
          </cell>
          <cell r="E167" t="str">
            <v>해당없음</v>
          </cell>
          <cell r="F167" t="str">
            <v>LD50 3100 mg/kg Rat (ChemIDPlus)</v>
          </cell>
          <cell r="G167" t="str">
            <v>LD50 &gt;5000 mg/kg Rabbit (ChemIDPlus)</v>
          </cell>
          <cell r="H167" t="str">
            <v>자료없음</v>
          </cell>
          <cell r="I167" t="str">
            <v>자료없음</v>
          </cell>
          <cell r="J167" t="str">
            <v>자료없음</v>
          </cell>
          <cell r="K167" t="str">
            <v>자료없음</v>
          </cell>
          <cell r="L167" t="str">
            <v>자료없음</v>
          </cell>
          <cell r="M167" t="str">
            <v>해당없음</v>
          </cell>
          <cell r="N167" t="str">
            <v>자료없음</v>
          </cell>
          <cell r="O167" t="str">
            <v>자료없음</v>
          </cell>
          <cell r="P167" t="str">
            <v>자료없음</v>
          </cell>
          <cell r="Q167" t="str">
            <v>자료없음</v>
          </cell>
          <cell r="R167" t="str">
            <v>자료없음</v>
          </cell>
          <cell r="S167" t="str">
            <v>해당없음</v>
          </cell>
          <cell r="T167" t="str">
            <v>LC50 16.658 ㎎/ℓ 96 hr (Estimate)</v>
          </cell>
          <cell r="U167" t="str">
            <v>LC50 10.842 ㎎/ℓ 48 hr (Estimate)</v>
          </cell>
          <cell r="V167" t="str">
            <v>EC50 7.842 ㎎/ℓ 96 hr (Estimate)</v>
          </cell>
          <cell r="W167" t="str">
            <v>log Kow 2.97 (NLM;ChemIDPlus)</v>
          </cell>
          <cell r="X167" t="str">
            <v>자료없음</v>
          </cell>
          <cell r="Y167" t="str">
            <v>BCF 42.3 (Estimate)</v>
          </cell>
          <cell r="Z167" t="str">
            <v>자료없음</v>
          </cell>
          <cell r="AA167" t="str">
            <v>Koc 233.6 (Estimates)</v>
          </cell>
          <cell r="AB167" t="str">
            <v>해당없음</v>
          </cell>
          <cell r="AC167"/>
        </row>
        <row r="168">
          <cell r="A168" t="str">
            <v>4707-47-5</v>
          </cell>
          <cell r="B168" t="str">
            <v>METHYL ATRARATE</v>
          </cell>
          <cell r="C168" t="str">
            <v>해당없음</v>
          </cell>
          <cell r="D168" t="str">
            <v>해당없음</v>
          </cell>
          <cell r="E168" t="str">
            <v>해당없음</v>
          </cell>
          <cell r="F168" t="str">
            <v>자료없음</v>
          </cell>
          <cell r="G168" t="str">
            <v>자료없음</v>
          </cell>
          <cell r="H168" t="str">
            <v>자료없음</v>
          </cell>
          <cell r="I168" t="str">
            <v>자료없음</v>
          </cell>
          <cell r="J168" t="str">
            <v>자료없음</v>
          </cell>
          <cell r="K168" t="str">
            <v>자료없음</v>
          </cell>
          <cell r="L168" t="str">
            <v>자료없음</v>
          </cell>
          <cell r="M168" t="str">
            <v>해당없음</v>
          </cell>
          <cell r="N168" t="str">
            <v>Computed Probability of Mutagenicity 0.006</v>
          </cell>
          <cell r="O168" t="str">
            <v>자료없음</v>
          </cell>
          <cell r="P168" t="str">
            <v>자료없음</v>
          </cell>
          <cell r="Q168" t="str">
            <v>자료없음</v>
          </cell>
          <cell r="R168" t="str">
            <v>자료없음</v>
          </cell>
          <cell r="S168" t="str">
            <v>해당없음</v>
          </cell>
          <cell r="T168" t="str">
            <v>LC50 5.368 ㎎/ℓ 96 hr</v>
          </cell>
          <cell r="U168" t="str">
            <v>EC50 9.429 ㎎/ℓ 48 hr</v>
          </cell>
          <cell r="V168" t="str">
            <v>EC50 3.325 ㎎/ℓ 96 hr</v>
          </cell>
          <cell r="W168" t="str">
            <v>log Kow 3.22 (Estimate)</v>
          </cell>
          <cell r="X168" t="str">
            <v>자료없음</v>
          </cell>
          <cell r="Y168" t="str">
            <v>BCF 61.69</v>
          </cell>
          <cell r="Z168" t="str">
            <v>자료없음</v>
          </cell>
          <cell r="AA168" t="str">
            <v>Koc 2.974 (estimate)</v>
          </cell>
          <cell r="AB168" t="str">
            <v>해당없음</v>
          </cell>
          <cell r="AC168"/>
        </row>
        <row r="169">
          <cell r="A169" t="str">
            <v>470-82-6</v>
          </cell>
          <cell r="B169" t="str">
            <v>1,8-CINEOL</v>
          </cell>
          <cell r="C169" t="str">
            <v>해당없음</v>
          </cell>
          <cell r="D169" t="str">
            <v>해당없음</v>
          </cell>
          <cell r="E169" t="str">
            <v>해당없음</v>
          </cell>
          <cell r="F169" t="str">
            <v>LD50 2,480 ㎎/㎏ (Rat) (NLM, ChemIDplus, TOMES;LOLI, RTECS)</v>
          </cell>
          <cell r="G169" t="str">
            <v>자료없음</v>
          </cell>
          <cell r="H169" t="str">
            <v>자료없음</v>
          </cell>
          <cell r="I169" t="str">
            <v>자료없음</v>
          </cell>
          <cell r="J169" t="str">
            <v>증기가 사람눈에 자극을 일으킬 수 있음(NLM;HSDB)</v>
          </cell>
          <cell r="K169" t="str">
            <v>자료없음</v>
          </cell>
          <cell r="L169" t="str">
            <v>자료없음</v>
          </cell>
          <cell r="M169" t="str">
            <v>해당없음</v>
          </cell>
          <cell r="N169" t="str">
            <v>In vitro미생물을 이용한 복귀돌연변이시험(Salmonella typhimurium TA97A,TA98,TA100,TA102):음성(NLM;CCRIS), In vitro미생물을 이용한 복귀돌연변이시험(Salmonella typhimurium TA98,TA100,TA1537,TA1537):음성(NTP), In vitro-포유류 배양세포를 이용한 염색체이상시험:음성(NLM;CCRIS, NTP), In vitro-포유류 배양세포를 이용한 자매염색체교환(SCE)시험:양성(NTP)</v>
          </cell>
          <cell r="O169" t="str">
            <v>랫드 TDLo 2000 mg/kg 암컷에게 임신 19-22일까지 피하주사한 결과 태아에게 생화학적 및 대사영향</v>
          </cell>
          <cell r="P169" t="str">
            <v>랫드 경구 LDLo =2400 mg/kg (RTECS), 기니피그 LDLo2250 mg/kg (intramuscular) 졸림현상(일반적 행동 저하), 폐, 흉부, 호흡기계:호흡기계 자극(NLM; chemIDplus), 인체: 1ml의 시험물질은 일시적 혼수상태 유발. 상복부의 화상을 포함하여 구역, 구토, 현기증, 근육약화, 혼미, 창백, 가끔 청색증, 호흡혼미 등의 증상이 나타남(HSDB)</v>
          </cell>
          <cell r="Q169" t="str">
            <v>랫드 TDLo 14 mg/kg/day. 28일간 경구투여한 결과 간무게 변화, 체중감소, 급성신장이상, 신세뇨관괴사 등 나타남.(RTECS)</v>
          </cell>
          <cell r="R169" t="str">
            <v>자료없음</v>
          </cell>
          <cell r="S169" t="str">
            <v>해당없음</v>
          </cell>
          <cell r="T169" t="str">
            <v>LC50 102 ㎎/ℓ 96 hr (Estimate)</v>
          </cell>
          <cell r="U169" t="str">
            <v>자료없음</v>
          </cell>
          <cell r="V169" t="str">
            <v>자료없음</v>
          </cell>
          <cell r="W169" t="str">
            <v>log Kow 2.74</v>
          </cell>
          <cell r="X169" t="str">
            <v>자료없음</v>
          </cell>
          <cell r="Y169" t="str">
            <v>BCF 29.84 (Estimate)</v>
          </cell>
          <cell r="Z169" t="str">
            <v>Non-degradable; not degraded and has a high potential to accumulate in vivo (estimate)</v>
          </cell>
          <cell r="AA169" t="str">
            <v>Koc 223.9 (Low potential for soil adsorption, Estimates)</v>
          </cell>
          <cell r="AB169" t="str">
            <v>해당없음</v>
          </cell>
          <cell r="AC169"/>
        </row>
        <row r="170">
          <cell r="A170" t="str">
            <v>478695-70-4</v>
          </cell>
          <cell r="B170" t="str">
            <v>APPLELIDE</v>
          </cell>
          <cell r="C170" t="str">
            <v>해당없음</v>
          </cell>
          <cell r="D170" t="str">
            <v>해당없음</v>
          </cell>
          <cell r="E170" t="str">
            <v>해당없음</v>
          </cell>
          <cell r="F170" t="str">
            <v>LD50 &gt;2500 ㎎/㎏ Rat (NCIS)</v>
          </cell>
          <cell r="G170" t="str">
            <v>자료없음</v>
          </cell>
          <cell r="H170" t="str">
            <v>자료없음</v>
          </cell>
          <cell r="I170" t="str">
            <v>자료없음</v>
          </cell>
          <cell r="J170" t="str">
            <v>자료없음</v>
          </cell>
          <cell r="K170" t="str">
            <v>자료없음</v>
          </cell>
          <cell r="L170" t="str">
            <v>자료없음</v>
          </cell>
          <cell r="M170" t="str">
            <v>해당없음</v>
          </cell>
          <cell r="N170" t="str">
            <v>자료없음</v>
          </cell>
          <cell r="O170" t="str">
            <v>자료없음</v>
          </cell>
          <cell r="P170" t="str">
            <v>자료없음</v>
          </cell>
          <cell r="Q170" t="str">
            <v>자료없음</v>
          </cell>
          <cell r="R170" t="str">
            <v>자료없음</v>
          </cell>
          <cell r="S170" t="str">
            <v>해당없음</v>
          </cell>
          <cell r="T170" t="str">
            <v>자료없음</v>
          </cell>
          <cell r="U170" t="str">
            <v>자료없음</v>
          </cell>
          <cell r="V170" t="str">
            <v>자료없음</v>
          </cell>
          <cell r="W170" t="str">
            <v>자료없음</v>
          </cell>
          <cell r="X170" t="str">
            <v>자료없음</v>
          </cell>
          <cell r="Y170" t="str">
            <v>자료없음</v>
          </cell>
          <cell r="Z170" t="str">
            <v>자료없음</v>
          </cell>
          <cell r="AA170" t="str">
            <v>자료없음</v>
          </cell>
          <cell r="AB170" t="str">
            <v>해당없음</v>
          </cell>
        </row>
        <row r="171">
          <cell r="A171" t="str">
            <v>488-10-8</v>
          </cell>
          <cell r="B171" t="str">
            <v>CIS-JASMONE</v>
          </cell>
          <cell r="C171" t="str">
            <v>해당없음</v>
          </cell>
          <cell r="D171" t="str">
            <v>해당없음</v>
          </cell>
          <cell r="E171" t="str">
            <v>해당없음</v>
          </cell>
          <cell r="F171" t="str">
            <v>자료없음</v>
          </cell>
          <cell r="G171" t="str">
            <v>자료없음</v>
          </cell>
          <cell r="H171" t="str">
            <v>자료없음</v>
          </cell>
          <cell r="I171" t="str">
            <v>피부 자극(Moderate), 토끼 500mg/24H(RTECS)</v>
          </cell>
          <cell r="J171" t="str">
            <v>자극(RTECS)</v>
          </cell>
          <cell r="K171" t="str">
            <v>자료없음</v>
          </cell>
          <cell r="L171" t="str">
            <v>자료없음</v>
          </cell>
          <cell r="M171" t="str">
            <v>해당없음</v>
          </cell>
          <cell r="N171" t="str">
            <v>자료없음</v>
          </cell>
          <cell r="O171" t="str">
            <v>자료없음</v>
          </cell>
          <cell r="P171" t="str">
            <v>자료없음</v>
          </cell>
          <cell r="Q171" t="str">
            <v>자료없음</v>
          </cell>
          <cell r="R171" t="str">
            <v>자료없음</v>
          </cell>
          <cell r="S171" t="str">
            <v>해당없음</v>
          </cell>
          <cell r="T171" t="str">
            <v>LC50 11.723 ㎎/ℓ 96 hr (Estimate)</v>
          </cell>
          <cell r="U171" t="str">
            <v>EC50 5.201 ㎎/ℓ 48 hr (Estimate)</v>
          </cell>
          <cell r="V171" t="str">
            <v>EC50 6.152 ㎎/ℓ 96 hr (Estimate)</v>
          </cell>
          <cell r="W171" t="str">
            <v>log Kow 2.91 (thegoodscents)</v>
          </cell>
          <cell r="X171" t="str">
            <v>자료없음</v>
          </cell>
          <cell r="Y171" t="str">
            <v>BCF 102.5 (Estimate)</v>
          </cell>
          <cell r="Z171" t="str">
            <v>Non-degradable; not degraded and has a high potential to accumulate in vivo (estimate)</v>
          </cell>
          <cell r="AA171" t="str">
            <v>Koc 1214 (Estimates)</v>
          </cell>
          <cell r="AB171" t="str">
            <v>해당없음</v>
          </cell>
          <cell r="AC171"/>
        </row>
        <row r="172">
          <cell r="A172" t="str">
            <v>4940-11-8</v>
          </cell>
          <cell r="B172" t="str">
            <v>ETHYL MALTOL</v>
          </cell>
          <cell r="C172" t="str">
            <v>해당없음</v>
          </cell>
          <cell r="D172" t="str">
            <v>해당없음</v>
          </cell>
          <cell r="E172" t="str">
            <v>해당없음</v>
          </cell>
          <cell r="F172" t="str">
            <v>LD50 1,150 ㎎/㎏ (Rat) (NLM, ChemIDplus, TOMES;LOLI)</v>
          </cell>
          <cell r="G172" t="str">
            <v>LD50 5,000 ㎎/㎏  (Rabbit) (NLM, ChemIDplus, TOMES;LOLI)</v>
          </cell>
          <cell r="H172" t="str">
            <v>gas (해당없음: Solid (MSDS))</v>
          </cell>
          <cell r="I172" t="str">
            <v>토끼의 피부에 자극성 없음. 희석시킨 용액을 사람에게 노출시킨 결과 피부 부식성 관찰되지않음(Swedish Chemical Agency)</v>
          </cell>
          <cell r="J172" t="str">
            <v>자료없음</v>
          </cell>
          <cell r="K172" t="str">
            <v>자료없음</v>
          </cell>
          <cell r="L172" t="str">
            <v>토끼의 피부에 자극성 없음. 희석시킨 용액을 사람에게 노출시킨 결과 피부 부식성 관찰되지않음(Swedish Chemical Agency)</v>
          </cell>
          <cell r="M172" t="str">
            <v>해당없음</v>
          </cell>
          <cell r="N172" t="str">
            <v>자료없음</v>
          </cell>
          <cell r="O172" t="str">
            <v>자료없음</v>
          </cell>
          <cell r="P172" t="str">
            <v>자료없음</v>
          </cell>
          <cell r="Q172" t="str">
            <v>자료없음</v>
          </cell>
          <cell r="R172" t="str">
            <v>자료없음</v>
          </cell>
          <cell r="S172" t="str">
            <v>해당없음</v>
          </cell>
          <cell r="T172" t="str">
            <v>LC50 4.683 ㎎/ℓ 96 hr (Estimate)</v>
          </cell>
          <cell r="U172" t="str">
            <v>EC50 0.595 ㎎/ℓ 48 hr (Estimate)</v>
          </cell>
          <cell r="V172" t="str">
            <v>EC50 201.244 ㎎/ℓ 96 hr (Estimate)</v>
          </cell>
          <cell r="W172" t="str">
            <v>log Kow 0.63 (NITE)</v>
          </cell>
          <cell r="X172" t="str">
            <v>자료없음</v>
          </cell>
          <cell r="Y172" t="str">
            <v>자료없음</v>
          </cell>
          <cell r="Z172" t="str">
            <v>Non-degradable; not degraded and has a high potential to accumulate in vivo (estimate)</v>
          </cell>
          <cell r="AA172" t="str">
            <v>Koc 9.271 (Low potential for soil adsorption, Estimates)</v>
          </cell>
          <cell r="AB172" t="str">
            <v>해당없음</v>
          </cell>
          <cell r="AC172"/>
        </row>
        <row r="173">
          <cell r="A173" t="str">
            <v>507-70-0</v>
          </cell>
          <cell r="B173" t="str">
            <v>L-BORNEOL</v>
          </cell>
          <cell r="C173" t="str">
            <v>해당없음</v>
          </cell>
          <cell r="D173" t="str">
            <v>해당없음</v>
          </cell>
          <cell r="E173" t="str">
            <v>해당없음</v>
          </cell>
          <cell r="F173" t="str">
            <v>LD50 500 ㎎/㎏ Rat (HSDB)</v>
          </cell>
          <cell r="G173" t="str">
            <v>LD50 2,000 ㎎/㎏ (RIFM Database)</v>
          </cell>
          <cell r="H173" t="str">
            <v>자료없음</v>
          </cell>
          <cell r="I173" t="str">
            <v>피부에 자극을 일으킴 (HSNO CCID)</v>
          </cell>
          <cell r="J173" t="str">
            <v>눈에 자극을 일으킴 (HSNO CCID)</v>
          </cell>
          <cell r="K173" t="str">
            <v>자료없음</v>
          </cell>
          <cell r="L173" t="str">
            <v>자료없음</v>
          </cell>
          <cell r="M173" t="str">
            <v>해당없음</v>
          </cell>
          <cell r="N173" t="str">
            <v>In vitro Salmonella typhimurium Ames test에서 음성. 이 물질은 Ames test와 소핵시험에서 돌연변이를 일으키지 않음. (NLM: CCRIS)</v>
          </cell>
          <cell r="O173" t="str">
            <v>자료없음</v>
          </cell>
          <cell r="P173" t="str">
            <v>구역질, 구토, 두통, 혼란, 현기증, 정신 착란 또는 환각, 경련, 우울증, 혼수상태, 중추신경, 초기에는 경련 증후군 발생 (HSDB)</v>
          </cell>
          <cell r="Q173" t="str">
            <v>자료없음</v>
          </cell>
          <cell r="R173" t="str">
            <v>자료없음</v>
          </cell>
          <cell r="S173" t="str">
            <v>해당없음</v>
          </cell>
          <cell r="T173" t="str">
            <v>LC50 25.683 ㎎/ℓ 96 hr (Estimate)</v>
          </cell>
          <cell r="U173" t="str">
            <v>LC50 28.863 ㎎/ℓ 48 hr (Estimate)</v>
          </cell>
          <cell r="V173" t="str">
            <v>EC50 18.775 ㎎/ℓ 96 hr (Estimate)</v>
          </cell>
          <cell r="W173" t="str">
            <v>log Kow 2.69 (NITE)</v>
          </cell>
          <cell r="X173" t="str">
            <v>자료없음</v>
          </cell>
          <cell r="Y173" t="str">
            <v>자료없음</v>
          </cell>
          <cell r="Z173" t="str">
            <v>97 (%) 28 day (NITE)</v>
          </cell>
          <cell r="AA173" t="str">
            <v>자료없음</v>
          </cell>
          <cell r="AB173" t="str">
            <v>해당없음</v>
          </cell>
          <cell r="AC173"/>
        </row>
        <row r="174">
          <cell r="A174" t="str">
            <v>513-86-0</v>
          </cell>
          <cell r="B174" t="str">
            <v>ACETOIN</v>
          </cell>
          <cell r="C174" t="str">
            <v>해당없음</v>
          </cell>
          <cell r="D174" t="str">
            <v>해당없음</v>
          </cell>
          <cell r="E174" t="str">
            <v>해당없음</v>
          </cell>
          <cell r="F174" t="str">
            <v>LC50 &gt; 5000 ㎎/㎏ Rat(NLM)</v>
          </cell>
          <cell r="G174" t="str">
            <v>LD50 &gt; 5000 ㎎/㎏ Rabbit(NLM)</v>
          </cell>
          <cell r="H174" t="str">
            <v>자료없음</v>
          </cell>
          <cell r="I174" t="str">
            <v>토끼의 피부에 중간정보의 자극을 일으킴(THOMSON;RTECS)</v>
          </cell>
          <cell r="J174" t="str">
            <v>자료없음</v>
          </cell>
          <cell r="K174" t="str">
            <v>자료없음</v>
          </cell>
          <cell r="L174" t="str">
            <v>자료없음</v>
          </cell>
          <cell r="M174" t="str">
            <v>해당없음</v>
          </cell>
          <cell r="N174" t="str">
            <v>실험관내 살모렐라균 실험결과 음성을 나타냄.(NTP)</v>
          </cell>
          <cell r="O174" t="str">
            <v>자료없음</v>
          </cell>
          <cell r="P174" t="str">
            <v>흡입시 기도를 자극함</v>
          </cell>
          <cell r="Q174" t="str">
            <v>자료없음</v>
          </cell>
          <cell r="R174" t="str">
            <v>자료없음</v>
          </cell>
          <cell r="S174" t="str">
            <v>해당없음</v>
          </cell>
          <cell r="T174" t="str">
            <v>LC50 790.335 ㎎/ℓ 96 hr (Estimate)</v>
          </cell>
          <cell r="U174" t="str">
            <v>LC50 9831.312 ㎎/ℓ 48 hr (Estimate)</v>
          </cell>
          <cell r="V174" t="str">
            <v>EC50 5365.515 ㎎/ℓ 96 hr (Estimate)</v>
          </cell>
          <cell r="W174" t="str">
            <v>log Kow -0.36 (NLM/HSDB)</v>
          </cell>
          <cell r="X174" t="str">
            <v>자료없음</v>
          </cell>
          <cell r="Y174" t="str">
            <v>BCF 0.3 (NLM/HSDB)</v>
          </cell>
          <cell r="Z174" t="str">
            <v>자료없음</v>
          </cell>
          <cell r="AA174" t="str">
            <v>Koc 2(NLM/HSDB)</v>
          </cell>
          <cell r="AB174" t="str">
            <v>해당없음</v>
          </cell>
          <cell r="AC174"/>
        </row>
        <row r="175">
          <cell r="A175" t="str">
            <v>5182-36-5</v>
          </cell>
          <cell r="B175" t="str">
            <v>VERTACETAL</v>
          </cell>
          <cell r="C175" t="str">
            <v>해당없음</v>
          </cell>
          <cell r="D175" t="str">
            <v>해당없음</v>
          </cell>
          <cell r="E175" t="str">
            <v>해당없음</v>
          </cell>
          <cell r="F175" t="str">
            <v>자료없음</v>
          </cell>
          <cell r="G175" t="str">
            <v>자료없음</v>
          </cell>
          <cell r="H175" t="str">
            <v>자료없음</v>
          </cell>
          <cell r="I175" t="str">
            <v>자료없음</v>
          </cell>
          <cell r="J175" t="str">
            <v>자료없음</v>
          </cell>
          <cell r="K175" t="str">
            <v>자료없음</v>
          </cell>
          <cell r="L175" t="str">
            <v>자료없음</v>
          </cell>
          <cell r="M175" t="str">
            <v>해당없음</v>
          </cell>
          <cell r="N175" t="str">
            <v>자료없음</v>
          </cell>
          <cell r="O175" t="str">
            <v>자료없음</v>
          </cell>
          <cell r="P175" t="str">
            <v>자료없음</v>
          </cell>
          <cell r="Q175" t="str">
            <v>자료없음</v>
          </cell>
          <cell r="R175" t="str">
            <v>자료없음</v>
          </cell>
          <cell r="S175" t="str">
            <v>해당없음</v>
          </cell>
          <cell r="T175" t="str">
            <v>자료없음</v>
          </cell>
          <cell r="U175" t="str">
            <v>자료없음</v>
          </cell>
          <cell r="V175" t="str">
            <v>자료없음</v>
          </cell>
          <cell r="W175" t="str">
            <v>자료없음</v>
          </cell>
          <cell r="X175" t="str">
            <v>자료없음</v>
          </cell>
          <cell r="Y175" t="str">
            <v>자료없음</v>
          </cell>
          <cell r="Z175" t="str">
            <v>자료없음</v>
          </cell>
          <cell r="AA175" t="str">
            <v>자료없음</v>
          </cell>
          <cell r="AB175" t="str">
            <v>해당없음</v>
          </cell>
          <cell r="AC175"/>
        </row>
        <row r="176">
          <cell r="A176" t="str">
            <v>5392-40-5</v>
          </cell>
          <cell r="B176" t="str">
            <v>CITRAL</v>
          </cell>
          <cell r="C176" t="str">
            <v>해당없음</v>
          </cell>
          <cell r="D176" t="str">
            <v>TWA, 5 ppm (32 mg/m3), Inhalable fraction and vapor Skin Sensitizer (SEN)</v>
          </cell>
          <cell r="E176" t="str">
            <v>해당없음</v>
          </cell>
          <cell r="F176" t="str">
            <v>LD50 3,450 ㎎/㎏ (Rat)</v>
          </cell>
          <cell r="G176" t="str">
            <v>LD50 2,250 ㎎/㎏  (Rabbit)</v>
          </cell>
          <cell r="H176" t="str">
            <v>자료없음</v>
          </cell>
          <cell r="I176" t="str">
            <v>보통자극(500mg, 24시간, rabbit), 심한자극(100mg, 24시간, rabbit)</v>
          </cell>
          <cell r="J176" t="str">
            <v>비자극성(rabbit)</v>
          </cell>
          <cell r="K176" t="str">
            <v>자료없음</v>
          </cell>
          <cell r="L176" t="str">
            <v>자료없음</v>
          </cell>
          <cell r="M176" t="str">
            <v>ACGIH : A4</v>
          </cell>
          <cell r="N176" t="str">
            <v>자료없음</v>
          </cell>
          <cell r="O176" t="str">
            <v>자료없음</v>
          </cell>
          <cell r="P176" t="str">
            <v>자료없음</v>
          </cell>
          <cell r="Q176" t="str">
            <v>자료없음</v>
          </cell>
          <cell r="R176" t="str">
            <v>자료없음</v>
          </cell>
          <cell r="S176" t="str">
            <v>해당없음</v>
          </cell>
          <cell r="T176" t="str">
            <v>자료없음</v>
          </cell>
          <cell r="U176" t="str">
            <v>자료없음</v>
          </cell>
          <cell r="V176" t="str">
            <v>자료없음</v>
          </cell>
          <cell r="W176" t="str">
            <v>log Kow  3.45 (estimate)</v>
          </cell>
          <cell r="X176" t="str">
            <v>자료없음</v>
          </cell>
          <cell r="Y176" t="str">
            <v>자료없음</v>
          </cell>
          <cell r="Z176" t="str">
            <v>92 % (BOD degradability) (NITE),  90 %,  28 day ((Aerobic, Without activated sludge, Readiyl biodegradable))</v>
          </cell>
          <cell r="AA176" t="str">
            <v>자료없음</v>
          </cell>
          <cell r="AB176" t="str">
            <v>해당없음</v>
          </cell>
        </row>
        <row r="177">
          <cell r="A177" t="str">
            <v>5413-60-5</v>
          </cell>
          <cell r="B177" t="str">
            <v>CYCLACET</v>
          </cell>
          <cell r="C177" t="str">
            <v>해당없음</v>
          </cell>
          <cell r="D177" t="str">
            <v>해당없음</v>
          </cell>
          <cell r="E177" t="str">
            <v>해당없음</v>
          </cell>
          <cell r="F177" t="str">
            <v>자료없음</v>
          </cell>
          <cell r="G177" t="str">
            <v>자료없음</v>
          </cell>
          <cell r="H177" t="str">
            <v>자료없음</v>
          </cell>
          <cell r="I177" t="str">
            <v>자료없음</v>
          </cell>
          <cell r="J177" t="str">
            <v>자료없음</v>
          </cell>
          <cell r="K177" t="str">
            <v>자료없음</v>
          </cell>
          <cell r="L177" t="str">
            <v>자료없음</v>
          </cell>
          <cell r="M177" t="str">
            <v>해당없음</v>
          </cell>
          <cell r="N177" t="str">
            <v>Computed Probability of Mutagenicity 0.000</v>
          </cell>
          <cell r="O177" t="str">
            <v>자료없음</v>
          </cell>
          <cell r="P177" t="str">
            <v>자료없음</v>
          </cell>
          <cell r="Q177" t="str">
            <v>자료없음</v>
          </cell>
          <cell r="R177" t="str">
            <v>자료없음</v>
          </cell>
          <cell r="S177" t="str">
            <v>해당없음</v>
          </cell>
          <cell r="T177" t="str">
            <v>LC50 8.572 ㎎/ℓ 96 hr (Estimate)</v>
          </cell>
          <cell r="U177" t="str">
            <v>EC50 15.795 ㎎/ℓ 48 hr (Estimate)</v>
          </cell>
          <cell r="V177" t="str">
            <v>EC50 6.146 ㎎/ℓ 96 hr (Estimate)</v>
          </cell>
          <cell r="W177" t="str">
            <v>log Kow 2.85 (Estimate)</v>
          </cell>
          <cell r="X177" t="str">
            <v>자료없음</v>
          </cell>
          <cell r="Y177" t="str">
            <v>BCF 35.11 (Estimate)</v>
          </cell>
          <cell r="Z177" t="str">
            <v>0 %, 0 day  (Cut-off value 0.3918 ; Non-degradable(BIOWIN 6)) (Estimate)</v>
          </cell>
          <cell r="AA177" t="str">
            <v>Koc 2.436  (estimate)</v>
          </cell>
          <cell r="AB177" t="str">
            <v>해당없음</v>
          </cell>
          <cell r="AC177"/>
        </row>
        <row r="178">
          <cell r="A178" t="str">
            <v>54464-57-2</v>
          </cell>
          <cell r="B178" t="str">
            <v>ISO E SUPER</v>
          </cell>
          <cell r="C178" t="str">
            <v>해당없음</v>
          </cell>
          <cell r="D178" t="str">
            <v>해당없음</v>
          </cell>
          <cell r="E178" t="str">
            <v>해당없음</v>
          </cell>
          <cell r="F178" t="str">
            <v>자료없음</v>
          </cell>
          <cell r="G178" t="str">
            <v>자료없음</v>
          </cell>
          <cell r="H178" t="str">
            <v>자료없음</v>
          </cell>
          <cell r="I178" t="str">
            <v>자료없음</v>
          </cell>
          <cell r="J178" t="str">
            <v>자료없음</v>
          </cell>
          <cell r="K178" t="str">
            <v>자료없음</v>
          </cell>
          <cell r="L178" t="str">
            <v>자료없음</v>
          </cell>
          <cell r="M178" t="str">
            <v>해당없음</v>
          </cell>
          <cell r="N178" t="str">
            <v>자료없음</v>
          </cell>
          <cell r="O178" t="str">
            <v>자료없음</v>
          </cell>
          <cell r="P178" t="str">
            <v>자료없음</v>
          </cell>
          <cell r="Q178" t="str">
            <v>자료없음</v>
          </cell>
          <cell r="R178" t="str">
            <v>자료없음</v>
          </cell>
          <cell r="S178" t="str">
            <v>해당없음</v>
          </cell>
          <cell r="T178" t="str">
            <v>LC50 0.258 ㎎/ℓ 96 hr (Estimate)</v>
          </cell>
          <cell r="U178" t="str">
            <v>LC50 0.257 ㎎/ℓ 48 hr (Estimate)</v>
          </cell>
          <cell r="V178" t="str">
            <v>EC50 0.487 ㎎/ℓ 96 hr (Estimate)</v>
          </cell>
          <cell r="W178" t="str">
            <v>log Kow 5.18 (Estimate)</v>
          </cell>
          <cell r="X178" t="str">
            <v>자료없음</v>
          </cell>
          <cell r="Y178" t="str">
            <v>BCF 1223 (Estimate)</v>
          </cell>
          <cell r="Z178" t="str">
            <v>자료없음</v>
          </cell>
          <cell r="AA178" t="str">
            <v>자료없음</v>
          </cell>
          <cell r="AB178" t="str">
            <v>해당없음</v>
          </cell>
          <cell r="AC178"/>
        </row>
        <row r="179">
          <cell r="A179" t="str">
            <v>5462-06-6</v>
          </cell>
          <cell r="B179" t="str">
            <v>CANTHOXAL</v>
          </cell>
          <cell r="C179" t="str">
            <v>해당없음</v>
          </cell>
          <cell r="D179" t="str">
            <v>해당없음</v>
          </cell>
          <cell r="E179" t="str">
            <v>해당없음</v>
          </cell>
          <cell r="F179" t="str">
            <v>자료없음</v>
          </cell>
          <cell r="G179" t="str">
            <v>자료없음</v>
          </cell>
          <cell r="H179" t="str">
            <v>자료없음</v>
          </cell>
          <cell r="I179" t="str">
            <v>자료없음</v>
          </cell>
          <cell r="J179" t="str">
            <v>자료없음</v>
          </cell>
          <cell r="K179" t="str">
            <v>자료없음</v>
          </cell>
          <cell r="L179" t="str">
            <v>자료없음</v>
          </cell>
          <cell r="M179" t="str">
            <v>해당없음</v>
          </cell>
          <cell r="N179" t="str">
            <v>자료없음</v>
          </cell>
          <cell r="O179" t="str">
            <v>자료없음</v>
          </cell>
          <cell r="P179" t="str">
            <v>자료없음</v>
          </cell>
          <cell r="Q179" t="str">
            <v>자료없음</v>
          </cell>
          <cell r="R179" t="str">
            <v>자료없음</v>
          </cell>
          <cell r="S179" t="str">
            <v>해당없음</v>
          </cell>
          <cell r="T179" t="str">
            <v>자료없음</v>
          </cell>
          <cell r="U179" t="str">
            <v>자료없음</v>
          </cell>
          <cell r="V179" t="str">
            <v>자료없음</v>
          </cell>
          <cell r="W179" t="str">
            <v>자료없음</v>
          </cell>
          <cell r="X179" t="str">
            <v>자료없음</v>
          </cell>
          <cell r="Y179" t="str">
            <v>자료없음</v>
          </cell>
          <cell r="Z179" t="str">
            <v>자료없음</v>
          </cell>
          <cell r="AA179" t="str">
            <v>자료없음</v>
          </cell>
          <cell r="AB179" t="str">
            <v>해당없음</v>
          </cell>
          <cell r="AC179"/>
        </row>
        <row r="180">
          <cell r="A180" t="str">
            <v>5471-51-2</v>
          </cell>
          <cell r="B180" t="str">
            <v>RASPBERRY KETONE</v>
          </cell>
          <cell r="C180" t="str">
            <v>해당없음</v>
          </cell>
          <cell r="D180" t="str">
            <v>해당없음</v>
          </cell>
          <cell r="E180" t="str">
            <v>해당없음</v>
          </cell>
          <cell r="F180" t="str">
            <v>LD50 1320 ㎎/㎏ Rat</v>
          </cell>
          <cell r="G180" t="str">
            <v>자료없음</v>
          </cell>
          <cell r="H180" t="str">
            <v>자료없음</v>
          </cell>
          <cell r="I180" t="str">
            <v>단기간 노출시 피부에 자극을 일으킴</v>
          </cell>
          <cell r="J180" t="str">
            <v>단기간 노출시 눈에 자극을 일으킴</v>
          </cell>
          <cell r="K180" t="str">
            <v>자료없음</v>
          </cell>
          <cell r="L180" t="str">
            <v>자료없음</v>
          </cell>
          <cell r="M180" t="str">
            <v>해당없음</v>
          </cell>
          <cell r="N180" t="str">
            <v>자료없음</v>
          </cell>
          <cell r="O180" t="str">
            <v>자료없음</v>
          </cell>
          <cell r="P180" t="str">
            <v>단기간 호흡기로 노출시 기도 자극을 일으킴</v>
          </cell>
          <cell r="Q180" t="str">
            <v>자료없음</v>
          </cell>
          <cell r="R180" t="str">
            <v>자료없음</v>
          </cell>
          <cell r="S180" t="str">
            <v>해당없음</v>
          </cell>
          <cell r="T180" t="str">
            <v>LC50 50.432 ㎎/ℓ 96 hr (Estimate)</v>
          </cell>
          <cell r="U180" t="str">
            <v>LC50 14.432 ㎎/ℓ 48 hr (Estimate)</v>
          </cell>
          <cell r="V180" t="str">
            <v>EC50 235.282 ㎎/ℓ 96 hr (Estimate)</v>
          </cell>
          <cell r="W180" t="str">
            <v>log Kow 0.94 (Akron)</v>
          </cell>
          <cell r="X180" t="str">
            <v>자료없음</v>
          </cell>
          <cell r="Y180" t="str">
            <v>BCF 2.77 (Estimate)</v>
          </cell>
          <cell r="Z180" t="str">
            <v>자료없음</v>
          </cell>
          <cell r="AA180" t="str">
            <v>자료없음</v>
          </cell>
          <cell r="AB180" t="str">
            <v>해당없음</v>
          </cell>
          <cell r="AC180"/>
        </row>
        <row r="181">
          <cell r="A181" t="str">
            <v>5502-75-0</v>
          </cell>
          <cell r="B181" t="str">
            <v>MAYOL</v>
          </cell>
          <cell r="C181" t="str">
            <v>해당없음</v>
          </cell>
          <cell r="D181" t="str">
            <v>해당없음</v>
          </cell>
          <cell r="E181" t="str">
            <v>해당없음</v>
          </cell>
          <cell r="F181" t="str">
            <v>자료없음</v>
          </cell>
          <cell r="G181" t="str">
            <v>자료없음</v>
          </cell>
          <cell r="H181" t="str">
            <v>자료없음</v>
          </cell>
          <cell r="I181" t="str">
            <v>자료없음</v>
          </cell>
          <cell r="J181" t="str">
            <v>자료없음</v>
          </cell>
          <cell r="K181" t="str">
            <v>자료없음</v>
          </cell>
          <cell r="L181" t="str">
            <v>자료없음</v>
          </cell>
          <cell r="M181" t="str">
            <v>해당없음</v>
          </cell>
          <cell r="N181" t="str">
            <v>자료없음</v>
          </cell>
          <cell r="O181" t="str">
            <v>자료없음</v>
          </cell>
          <cell r="P181" t="str">
            <v>자료없음</v>
          </cell>
          <cell r="Q181" t="str">
            <v>자료없음</v>
          </cell>
          <cell r="R181" t="str">
            <v>자료없음</v>
          </cell>
          <cell r="S181" t="str">
            <v>해당없음</v>
          </cell>
          <cell r="T181" t="str">
            <v>자료없음</v>
          </cell>
          <cell r="U181" t="str">
            <v>자료없음</v>
          </cell>
          <cell r="V181" t="str">
            <v>자료없음</v>
          </cell>
          <cell r="W181" t="str">
            <v>자료없음</v>
          </cell>
          <cell r="X181" t="str">
            <v>자료없음</v>
          </cell>
          <cell r="Y181" t="str">
            <v>자료없음</v>
          </cell>
          <cell r="Z181" t="str">
            <v>자료없음</v>
          </cell>
          <cell r="AA181" t="str">
            <v>자료없음</v>
          </cell>
          <cell r="AB181" t="str">
            <v>해당없음</v>
          </cell>
          <cell r="AC181"/>
        </row>
        <row r="182">
          <cell r="A182" t="str">
            <v>55066-48-3</v>
          </cell>
          <cell r="B182" t="str">
            <v>PHENYLISOHEXANOL</v>
          </cell>
          <cell r="C182" t="str">
            <v>해당없음</v>
          </cell>
          <cell r="D182" t="str">
            <v>해당없음</v>
          </cell>
          <cell r="E182" t="str">
            <v>해당없음</v>
          </cell>
          <cell r="F182" t="str">
            <v>자료없음</v>
          </cell>
          <cell r="G182" t="str">
            <v>자료없음</v>
          </cell>
          <cell r="H182" t="str">
            <v>자료없음</v>
          </cell>
          <cell r="I182" t="str">
            <v>자료없음</v>
          </cell>
          <cell r="J182" t="str">
            <v>자료없음</v>
          </cell>
          <cell r="K182" t="str">
            <v>자료없음</v>
          </cell>
          <cell r="L182" t="str">
            <v>자료없음</v>
          </cell>
          <cell r="M182" t="str">
            <v>해당없음</v>
          </cell>
          <cell r="N182" t="str">
            <v>자료없음</v>
          </cell>
          <cell r="O182" t="str">
            <v>자료없음</v>
          </cell>
          <cell r="P182" t="str">
            <v>자료없음</v>
          </cell>
          <cell r="Q182" t="str">
            <v>자료없음</v>
          </cell>
          <cell r="R182" t="str">
            <v>자료없음</v>
          </cell>
          <cell r="S182" t="str">
            <v>해당없음</v>
          </cell>
          <cell r="T182" t="str">
            <v>LC50 7.19 ㎎/ℓ 96 hr (Estimate)</v>
          </cell>
          <cell r="U182" t="str">
            <v>LC50 4.67 ㎎/ℓ 48 hr (Estimate)</v>
          </cell>
          <cell r="V182" t="str">
            <v>EC50 6.06 ㎎/ℓ 96 hr (Estimate)</v>
          </cell>
          <cell r="W182" t="str">
            <v>log Kow 3.4 (Estimate)</v>
          </cell>
          <cell r="X182" t="str">
            <v>자료없음</v>
          </cell>
          <cell r="Y182" t="str">
            <v>BCF 49.28 (Estimate)</v>
          </cell>
          <cell r="Z182" t="str">
            <v>자료없음</v>
          </cell>
          <cell r="AA182" t="str">
            <v>367.6 (Estimate)</v>
          </cell>
          <cell r="AB182" t="str">
            <v>해당없음</v>
          </cell>
          <cell r="AC182"/>
        </row>
        <row r="183">
          <cell r="A183" t="str">
            <v>56-81-5</v>
          </cell>
          <cell r="B183" t="str">
            <v>GLYCERINE</v>
          </cell>
          <cell r="C183" t="str">
            <v>해당없음</v>
          </cell>
          <cell r="D183" t="str">
            <v>해당없음</v>
          </cell>
          <cell r="E183" t="str">
            <v>해당없음</v>
          </cell>
          <cell r="F183" t="str">
            <v>LD50 12600 ㎎/㎏ Rat (ChemIDplus)</v>
          </cell>
          <cell r="G183" t="str">
            <v>LD50 &gt; 10000 ㎎/㎏ Rat (ChemIDplus)</v>
          </cell>
          <cell r="H183" t="str">
            <v>LC50 &gt;2.75 ㎎/ℓ 4 hr Rat (ECHA)</v>
          </cell>
          <cell r="I183" t="str">
            <v>토끼를 이용한 피부부식성/자극성 실험결과 자극 없음(ECHA)</v>
          </cell>
          <cell r="J183" t="str">
            <v>토끼를 이용한 심한 눈손상/자극성 실험결과 자극이 24간 이내에 사라짐, 경미한 자극 (ECHA)</v>
          </cell>
          <cell r="K183" t="str">
            <v>자료없음</v>
          </cell>
          <cell r="L183" t="str">
            <v>자료없음</v>
          </cell>
          <cell r="M183" t="str">
            <v>해당없음</v>
          </cell>
          <cell r="N183" t="str">
            <v>시험관 내 포유류 유전자돌연변이 시험결과 대사활동 유무에 상관없이 음성(OECD Guideline 476), 미생물을 이용한 복귀돌연변이시험결과 대사활동 유무에 상관없이 음성(OECD Guideline 471), 시험관 내 포유류 염색체이상시험결과 대사활동 유무에 상관없이 음성(OECD Guideline 473) (ECHA)</v>
          </cell>
          <cell r="O183" t="str">
            <v>생식독성 시험결과 두 세대에 걸쳐 성장, 불임 및 생식 성능 효과 없음 발달독성/최기형성 시험결과 별다른 이상 없음 (모체독성 및 태아독성 NOAEL=1180mg/kg bw/day) (ECHA)</v>
          </cell>
          <cell r="P183" t="str">
            <v>경구독성시험결과 떨림, 스트라우브의 꼬리와 간헐적 경련 이전에 사망 흡입독성시험결과 눈꺼풀과 코 방전의충혈로 표시 가벼운 자극의 징후 호흡곤란 및 헐떡임 후 죽음(CAS No.56-81-5) 경피독성시험결과 낮은 체온과 죽음 피부자극증거 없음, 경피독성시험결과 피부 건조. 급성독성 영향으로 본 항목에서 분류에 적용하지 않음 (ECHA, ICSC)</v>
          </cell>
          <cell r="Q183" t="str">
            <v>랫드를 이용한 90일 반복경구노출시험결과 수컷 랫드에서 팽윤 및 실질 세포의 비대가 관찰, 시험조건하에서 5% 식이농도에서 부작용의 증거가 관찰되지 않음. 20%의 농도군의 간에서 병리학적 경미한 변화 관찰 NOAEL=50000ppm(CAS No.56-81-5) 랫드를 이용한 13주 반복흡입노출시험결과 상기도 자극 영향이 관찰된 것을 기초로 NOAEL 167 mg/m3 (OECD TG 413), 토끼를 이용한 45주 반복경피노출시험결과 최고 용량까지 유해영향이 관찰되지 않음 NOEL=4 other: 4.0 ml/kg (ECHA)</v>
          </cell>
          <cell r="R183" t="str">
            <v>자료없음</v>
          </cell>
          <cell r="S183" t="str">
            <v>해당없음</v>
          </cell>
          <cell r="T183" t="str">
            <v>LC50 &gt;11 ㎎/ℓ 96 hr Other(Cyprinodon variegatus) (ECHA)</v>
          </cell>
          <cell r="U183" t="str">
            <v>LC50 1955 ㎎/ℓ 48 hr Daphnia magna (ECHA)</v>
          </cell>
          <cell r="V183" t="str">
            <v>자료없음</v>
          </cell>
          <cell r="W183" t="str">
            <v>Log Kow -1.76 (HSDB) log Kow -1.75 (OECD Guideline 107) (ECHA)</v>
          </cell>
          <cell r="X183" t="str">
            <v>자료없음</v>
          </cell>
          <cell r="Y183" t="str">
            <v>자료없음</v>
          </cell>
          <cell r="Z183" t="str">
            <v>readily biodegradable; Biodegradability 63 (%) 14 day (OECD TG 301C, OECD SIDS, OECD TG 301D, IUCLIDE), 94 % 24hr (TOC removal)(ECHA)</v>
          </cell>
          <cell r="AA183" t="str">
            <v>자료없음</v>
          </cell>
          <cell r="AB183" t="str">
            <v>해당없음</v>
          </cell>
          <cell r="AC183"/>
        </row>
        <row r="184">
          <cell r="A184" t="str">
            <v>56973-85-4</v>
          </cell>
          <cell r="B184" t="str">
            <v>DIMETHYLCYCLOHEXENYL 3-BUTENYL KETONE</v>
          </cell>
          <cell r="C184" t="str">
            <v>해당없음</v>
          </cell>
          <cell r="D184" t="str">
            <v>해당없음</v>
          </cell>
          <cell r="E184" t="str">
            <v>해당없음</v>
          </cell>
          <cell r="F184" t="str">
            <v>자료없음</v>
          </cell>
          <cell r="G184" t="str">
            <v>자료없음</v>
          </cell>
          <cell r="H184" t="str">
            <v>자료없음</v>
          </cell>
          <cell r="I184" t="str">
            <v>자료없음</v>
          </cell>
          <cell r="J184" t="str">
            <v>자료없음</v>
          </cell>
          <cell r="K184" t="str">
            <v>자료없음</v>
          </cell>
          <cell r="L184" t="str">
            <v>자료없음</v>
          </cell>
          <cell r="M184" t="str">
            <v>해당없음</v>
          </cell>
          <cell r="N184" t="str">
            <v>자료없음</v>
          </cell>
          <cell r="O184" t="str">
            <v>자료없음</v>
          </cell>
          <cell r="P184" t="str">
            <v>자료없음</v>
          </cell>
          <cell r="Q184" t="str">
            <v>자료없음</v>
          </cell>
          <cell r="R184" t="str">
            <v>자료없음</v>
          </cell>
          <cell r="S184" t="str">
            <v>해당없음</v>
          </cell>
          <cell r="T184" t="str">
            <v>자료없음</v>
          </cell>
          <cell r="U184" t="str">
            <v>자료없음</v>
          </cell>
          <cell r="V184" t="str">
            <v>자료없음</v>
          </cell>
          <cell r="W184" t="str">
            <v>자료없음</v>
          </cell>
          <cell r="X184" t="str">
            <v>자료없음</v>
          </cell>
          <cell r="Y184" t="str">
            <v>자료없음</v>
          </cell>
          <cell r="Z184" t="str">
            <v>자료없음</v>
          </cell>
          <cell r="AA184" t="str">
            <v>자료없음</v>
          </cell>
          <cell r="AB184" t="str">
            <v>해당없음</v>
          </cell>
        </row>
        <row r="185">
          <cell r="A185" t="str">
            <v>57378-68-4</v>
          </cell>
          <cell r="B185" t="str">
            <v>DELTA-DAMASCONE</v>
          </cell>
          <cell r="C185" t="str">
            <v>해당없음</v>
          </cell>
          <cell r="D185" t="str">
            <v>해당없음</v>
          </cell>
          <cell r="E185" t="str">
            <v>해당없음</v>
          </cell>
          <cell r="F185" t="str">
            <v>자료없음</v>
          </cell>
          <cell r="G185" t="str">
            <v>자료없음</v>
          </cell>
          <cell r="H185" t="str">
            <v>자료없음</v>
          </cell>
          <cell r="I185" t="str">
            <v>자료없음</v>
          </cell>
          <cell r="J185" t="str">
            <v>자료없음</v>
          </cell>
          <cell r="K185" t="str">
            <v>자료없음</v>
          </cell>
          <cell r="L185" t="str">
            <v>자료없음</v>
          </cell>
          <cell r="M185" t="str">
            <v>해당없음</v>
          </cell>
          <cell r="N185" t="str">
            <v>자료없음</v>
          </cell>
          <cell r="O185" t="str">
            <v>자료없음</v>
          </cell>
          <cell r="P185" t="str">
            <v>자료없음</v>
          </cell>
          <cell r="Q185" t="str">
            <v>자료없음</v>
          </cell>
          <cell r="R185" t="str">
            <v>자료없음</v>
          </cell>
          <cell r="S185" t="str">
            <v>해당없음</v>
          </cell>
          <cell r="T185" t="str">
            <v>자료없음</v>
          </cell>
          <cell r="U185" t="str">
            <v>자료없음</v>
          </cell>
          <cell r="V185" t="str">
            <v>자료없음</v>
          </cell>
          <cell r="W185" t="str">
            <v>자료없음</v>
          </cell>
          <cell r="X185" t="str">
            <v>자료없음</v>
          </cell>
          <cell r="Y185" t="str">
            <v>자료없음</v>
          </cell>
          <cell r="Z185" t="str">
            <v>자료없음</v>
          </cell>
          <cell r="AA185" t="str">
            <v>자료없음</v>
          </cell>
          <cell r="AB185" t="str">
            <v>해당없음</v>
          </cell>
        </row>
        <row r="186">
          <cell r="A186" t="str">
            <v>57-55-6</v>
          </cell>
          <cell r="B186" t="str">
            <v>PROPYLENE GLYCOL</v>
          </cell>
          <cell r="C186" t="str">
            <v>해당없음</v>
          </cell>
          <cell r="D186" t="str">
            <v>해당없음</v>
          </cell>
          <cell r="E186" t="str">
            <v>해당없음</v>
          </cell>
          <cell r="F186" t="str">
            <v>LD50 22,000 mg/kg Rat (ECHA)</v>
          </cell>
          <cell r="G186" t="str">
            <v>LD50 &gt; 2000 mg/kg Rabbit , No death (ECHA)</v>
          </cell>
          <cell r="H186" t="str">
            <v>LC50 &gt;317042 ㎎/㎥ 2 hr Rabbit (ECHA)</v>
          </cell>
          <cell r="I186" t="str">
            <v>토끼를 이용한 피부 자극성 시험결과 부종(0), 홍반(0),  1차 피부 자극성지수(0)으로 비자극성으로 나타남, OECD TG 404 (ECHA)</v>
          </cell>
          <cell r="J186" t="str">
            <v>토끼를 이용한 눈 자극성 시험결과, 각막혼탁(0), 홍채(0.1), 결막충혈(0.4), 결막부종(0) 으로 비자극성으로 나타남. OECD TG 405 (ECHA)</v>
          </cell>
          <cell r="K186" t="str">
            <v>자료없음</v>
          </cell>
          <cell r="L186" t="str">
            <v>사람/Draize Test: 과민성 없음 (IPCS INCHEM)</v>
          </cell>
          <cell r="M186" t="str">
            <v>해당없음</v>
          </cell>
          <cell r="N186" t="str">
            <v>in vivo 포유류 골수세포를 이용한 염색체 이상 시험 : 음성(rat, 수컷) in vitro 박테리아를 이용한복귀돌연변이 시험: 음성(TA92, TA94, TA98, TA100, TA1535, TA1537, 대사활성계 있음)  (ECHA)</v>
          </cell>
          <cell r="O186" t="str">
            <v>전반적인 생식영향 관찰되지 않음, mouse, equivalent or similar to Guideline: OECD TG 414, GLP (ECHA)</v>
          </cell>
          <cell r="P186" t="str">
            <v>경구: 독성의 일반적인 징후는 평형 상실, 우울증, 진통제, 혼수 상태, 및 마지막으로 사망 한 후 ``글리콜 레이트 글리콜의 큰 용량의 큰 투여량의 투여 후 곧 사망 한 상태 ''를 포함함. / 내부 장기의 검사는 소장의 혈액학적 영역을제외하고는 본질적으로 음성적이었음. 신장에서 미세한 변화는 최소로 나타났으며, 세포질의 핵 피질 증 및 진공 변성이 발생했음. 간은 지방 변화가없는 경미한 혼잡 및 고혈압만을 나타냈음. 경피: 혼수 상태, 설사, 배설물 및 안검 하수는 고립된 사례에서관찰되었다 (ECHA)</v>
          </cell>
          <cell r="Q186" t="str">
            <v>경구(만성): 랫드를 이용한  경구 노출 결과, 치명적인 영향이 발견되지 않음.  경피(만성): Mouse를 통해 경피 노출 결과, 치명적인 영향이 발견되지 않음.  흡입(아만성): 치명적인 영향이 구체화 되지 않음  (ECHA)</v>
          </cell>
          <cell r="R186" t="str">
            <v>자료없음</v>
          </cell>
          <cell r="S186" t="str">
            <v>해당없음</v>
          </cell>
          <cell r="T186" t="str">
            <v>LC50 40613 mg/L 96 hr Oncorhynchus mykiss (Environment Canada (1990), 반지수식, 담수, GLP) (ECHA)</v>
          </cell>
          <cell r="U186" t="str">
            <v>LC50 18340 mg/L 48 hr Ceriodaphnia dubia (EPA 600/4-90/0-27, 지수식, 담수) (ECHA)</v>
          </cell>
          <cell r="V186" t="str">
            <v>EC50 34100 mg/L 48 hr Pseudokirchneriella subcapitata (OECD TG 201 , 지수식, 담수, GLP) (ECHA)</v>
          </cell>
          <cell r="W186" t="str">
            <v>log Pow 0.085 (20.5℃)  (ECHA)</v>
          </cell>
          <cell r="X186" t="str">
            <v>자료없음</v>
          </cell>
          <cell r="Y186" t="str">
            <v>BCF 0.09   (ECHA)</v>
          </cell>
          <cell r="Z186" t="str">
            <v>81.7 (%) 28 day  (ECHA)</v>
          </cell>
          <cell r="AA186" t="str">
            <v>자료없음</v>
          </cell>
          <cell r="AB186" t="str">
            <v>해당없음</v>
          </cell>
          <cell r="AC186"/>
        </row>
        <row r="187">
          <cell r="A187" t="str">
            <v>58430-94-7</v>
          </cell>
          <cell r="B187" t="str">
            <v>TRIMETHYLHEXYL ACEATE</v>
          </cell>
          <cell r="C187" t="str">
            <v>해당없음</v>
          </cell>
          <cell r="D187" t="str">
            <v>해당없음</v>
          </cell>
          <cell r="E187" t="str">
            <v>해당없음</v>
          </cell>
          <cell r="F187" t="str">
            <v>자료없음</v>
          </cell>
          <cell r="G187" t="str">
            <v>자료없음</v>
          </cell>
          <cell r="H187" t="str">
            <v>자료없음</v>
          </cell>
          <cell r="I187" t="str">
            <v>자료없음</v>
          </cell>
          <cell r="J187" t="str">
            <v>자료없음</v>
          </cell>
          <cell r="K187" t="str">
            <v>자료없음</v>
          </cell>
          <cell r="L187" t="str">
            <v>자료없음</v>
          </cell>
          <cell r="M187" t="str">
            <v>해당없음</v>
          </cell>
          <cell r="N187" t="str">
            <v>자료없음</v>
          </cell>
          <cell r="O187" t="str">
            <v>자료없음</v>
          </cell>
          <cell r="P187" t="str">
            <v>자료없음</v>
          </cell>
          <cell r="Q187" t="str">
            <v>자료없음</v>
          </cell>
          <cell r="R187" t="str">
            <v>자료없음</v>
          </cell>
          <cell r="S187" t="str">
            <v>해당없음</v>
          </cell>
          <cell r="T187" t="str">
            <v>LC50 1.445 ㎎/ℓ 96 hr (Estimate)</v>
          </cell>
          <cell r="U187" t="str">
            <v>EC50 2.394 ㎎/ℓ 48 hr (Estimate)</v>
          </cell>
          <cell r="V187" t="str">
            <v>EC50 0.729 ㎎/ℓ 96 hr (Estimate)</v>
          </cell>
          <cell r="W187" t="str">
            <v>log Kow 4.12 (Estimate)</v>
          </cell>
          <cell r="X187" t="str">
            <v>자료없음</v>
          </cell>
          <cell r="Y187" t="str">
            <v>BCF 241.9 (Estimate)</v>
          </cell>
          <cell r="Z187" t="str">
            <v>자료없음</v>
          </cell>
          <cell r="AA187" t="str">
            <v>자료없음</v>
          </cell>
          <cell r="AB187" t="str">
            <v>해당없음</v>
          </cell>
          <cell r="AC187"/>
        </row>
        <row r="188">
          <cell r="A188" t="str">
            <v>58567-11-6</v>
          </cell>
          <cell r="B188" t="str">
            <v>BOIS AMBRENE FORTE</v>
          </cell>
          <cell r="C188" t="str">
            <v>해당없음</v>
          </cell>
          <cell r="D188" t="str">
            <v>해당없음</v>
          </cell>
          <cell r="E188" t="str">
            <v>해당없음</v>
          </cell>
          <cell r="F188" t="str">
            <v>자료없음</v>
          </cell>
          <cell r="G188" t="str">
            <v>자료없음</v>
          </cell>
          <cell r="H188" t="str">
            <v>자료없음</v>
          </cell>
          <cell r="I188" t="str">
            <v>자료없음</v>
          </cell>
          <cell r="J188" t="str">
            <v>자료없음</v>
          </cell>
          <cell r="K188" t="str">
            <v>자료없음</v>
          </cell>
          <cell r="L188" t="str">
            <v>자료없음</v>
          </cell>
          <cell r="M188" t="str">
            <v>해당없음</v>
          </cell>
          <cell r="N188" t="str">
            <v>자료없음</v>
          </cell>
          <cell r="O188" t="str">
            <v>자료없음</v>
          </cell>
          <cell r="P188" t="str">
            <v>자료없음</v>
          </cell>
          <cell r="Q188" t="str">
            <v>자료없음</v>
          </cell>
          <cell r="R188" t="str">
            <v>자료없음</v>
          </cell>
          <cell r="S188" t="str">
            <v>해당없음</v>
          </cell>
          <cell r="T188" t="str">
            <v>LC50 1.9 ㎎/ℓ (Danio rerio) (RIFM Database)</v>
          </cell>
          <cell r="U188" t="str">
            <v>EC50 1.6 ㎎/ℓ (Daphnia magna) (RIFM Database)</v>
          </cell>
          <cell r="V188" t="str">
            <v>EC50 &gt; 2 ㎎/ℓ (Pseudokirchneriella subcapitata) (RIFM Database)</v>
          </cell>
          <cell r="W188" t="str">
            <v>log Kow 5.51 (Estimate)</v>
          </cell>
          <cell r="X188" t="str">
            <v>자료없음</v>
          </cell>
          <cell r="Y188" t="str">
            <v>BCF 2014 (Estimate)</v>
          </cell>
          <cell r="Z188" t="str">
            <v>자료없음</v>
          </cell>
          <cell r="AA188" t="str">
            <v>자료없음</v>
          </cell>
          <cell r="AB188" t="str">
            <v>해당없음</v>
          </cell>
        </row>
        <row r="189">
          <cell r="A189" t="str">
            <v>586-62-9</v>
          </cell>
          <cell r="B189" t="str">
            <v>TERPINOLENE</v>
          </cell>
          <cell r="C189" t="str">
            <v>해당없음</v>
          </cell>
          <cell r="D189" t="str">
            <v>해당없음</v>
          </cell>
          <cell r="E189" t="str">
            <v>해당없음</v>
          </cell>
          <cell r="F189" t="str">
            <v>LD50 4,390 ㎎/㎏  (Rat) (National Library of Medicine (NLM))</v>
          </cell>
          <cell r="G189" t="str">
            <v>LD50 &gt;5,000 ㎎/㎏  (Rabbit) ( National Library of Medicine/Hazardous Substances Data Bank (NLM/HSDB))</v>
          </cell>
          <cell r="H189" t="str">
            <v>자료없음</v>
          </cell>
          <cell r="I189" t="str">
            <v>토끼를 이용한 피부 자극성 시험 결과 중정도의 자극을 일으킴(THOMSON;RTECS)</v>
          </cell>
          <cell r="J189" t="str">
            <v>피부 자극성을 근거로 눈 자극성이 의심됨.</v>
          </cell>
          <cell r="K189" t="str">
            <v>자료없음</v>
          </cell>
          <cell r="L189" t="str">
            <v>자료없음</v>
          </cell>
          <cell r="M189" t="str">
            <v>해당없음</v>
          </cell>
          <cell r="N189" t="str">
            <v>자료없음</v>
          </cell>
          <cell r="O189" t="str">
            <v>자료없음</v>
          </cell>
          <cell r="P189" t="str">
            <v>자료없음</v>
          </cell>
          <cell r="Q189" t="str">
            <v>흡입시 기도를 자극함</v>
          </cell>
          <cell r="R189" t="str">
            <v>자료없음</v>
          </cell>
          <cell r="S189" t="str">
            <v>해당없음</v>
          </cell>
          <cell r="T189" t="str">
            <v>LC50 0.720 ㎎/ℓ 96 hr Pimephales promelas (NLM/HSDB)</v>
          </cell>
          <cell r="U189" t="str">
            <v>EC50 0.612 ㎎/ℓ 48 hr Daphnia magna (NLM/HSDB)</v>
          </cell>
          <cell r="V189" t="str">
            <v>EC10 0.273 ㎎/ℓ (Pseudokirchnerella subcapitata) ( RIFM Database)</v>
          </cell>
          <cell r="W189" t="str">
            <v>log Kow 4.47 (NLM/HSDB)</v>
          </cell>
          <cell r="X189" t="str">
            <v>자료없음</v>
          </cell>
          <cell r="Y189" t="str">
            <v>BCF 550 (NLM/HSDB)</v>
          </cell>
          <cell r="Z189" t="str">
            <v>67 (%) 28 day  (CHRIP)</v>
          </cell>
          <cell r="AA189" t="str">
            <v>자료없음</v>
          </cell>
          <cell r="AB189" t="str">
            <v>해당없음</v>
          </cell>
          <cell r="AC189"/>
        </row>
        <row r="190">
          <cell r="A190" t="str">
            <v>58985-18-5</v>
          </cell>
          <cell r="B190" t="str">
            <v>DIHYDROTERPINYL ACETATE</v>
          </cell>
          <cell r="C190" t="str">
            <v>해당없음</v>
          </cell>
          <cell r="D190" t="str">
            <v>해당없음</v>
          </cell>
          <cell r="E190" t="str">
            <v>해당없음</v>
          </cell>
          <cell r="F190" t="str">
            <v>자료없음</v>
          </cell>
          <cell r="G190" t="str">
            <v>자료없음</v>
          </cell>
          <cell r="H190" t="str">
            <v>자료없음</v>
          </cell>
          <cell r="I190" t="str">
            <v>자료없음</v>
          </cell>
          <cell r="J190" t="str">
            <v>자료없음</v>
          </cell>
          <cell r="K190" t="str">
            <v>자료없음</v>
          </cell>
          <cell r="L190" t="str">
            <v>자료없음</v>
          </cell>
          <cell r="M190" t="str">
            <v>해당없음</v>
          </cell>
          <cell r="N190" t="str">
            <v>자료없음</v>
          </cell>
          <cell r="O190" t="str">
            <v>자료없음</v>
          </cell>
          <cell r="P190" t="str">
            <v>자료없음</v>
          </cell>
          <cell r="Q190" t="str">
            <v>자료없음</v>
          </cell>
          <cell r="R190" t="str">
            <v>자료없음</v>
          </cell>
          <cell r="S190" t="str">
            <v>해당없음</v>
          </cell>
          <cell r="T190" t="str">
            <v>LC50 1.02 ㎎/ℓ 96 hr (Estimate)</v>
          </cell>
          <cell r="U190" t="str">
            <v>LC50 1.636 ㎎/ℓ 48 hr (Estimate)</v>
          </cell>
          <cell r="V190" t="str">
            <v>EC50 0.474 ㎎/ℓ 96 hr (Estimate)</v>
          </cell>
          <cell r="W190" t="str">
            <v>log Kow 4.42 (Estimate)</v>
          </cell>
          <cell r="X190" t="str">
            <v>자료없음</v>
          </cell>
          <cell r="Y190" t="str">
            <v>BCF 384.6 (Estimate)</v>
          </cell>
          <cell r="Z190" t="str">
            <v>자료없음</v>
          </cell>
          <cell r="AA190" t="str">
            <v>자료없음</v>
          </cell>
          <cell r="AB190" t="str">
            <v>해당없음</v>
          </cell>
          <cell r="AC190"/>
        </row>
        <row r="191">
          <cell r="A191" t="str">
            <v>5989-27-5</v>
          </cell>
          <cell r="B191" t="str">
            <v>LIMONENE</v>
          </cell>
          <cell r="C191" t="str">
            <v>해당없음</v>
          </cell>
          <cell r="D191" t="str">
            <v>해당없음</v>
          </cell>
          <cell r="E191" t="str">
            <v>해당없음</v>
          </cell>
          <cell r="F191" t="str">
            <v>LD50 5,000 ㎎/㎏ Rat (NLM/HSDB)</v>
          </cell>
          <cell r="G191" t="str">
            <v>LD50 &gt; 5,000 ㎎/㎏ Rabbit (NLM/HSDB)</v>
          </cell>
          <cell r="H191" t="str">
            <v>자료없음</v>
          </cell>
          <cell r="I191" t="str">
            <v>패치 테스트에서 경피 노출(2 시간)에 의해 화상, 가려움, 통증, 자반 발진 관찰 (CICADs, No 5, 1998)</v>
          </cell>
          <cell r="J191" t="str">
            <v>자료없음</v>
          </cell>
          <cell r="K191" t="str">
            <v>자료없음</v>
          </cell>
          <cell r="L191" t="str">
            <v>피부 과민성 (HSDB), 패치 테스트에서 과민성 관찰 기니피그 Maximization test에서 과민성 인정 (CICADs No 5, 1998)</v>
          </cell>
          <cell r="M191" t="str">
            <v>해당없음</v>
          </cell>
          <cell r="N191" t="str">
            <v>In vitro Salmonella thypimurium/TA98, TA100, TA102, TA1535, TA1537 (Ames
test): 음성; CHO Cells/염색체이상시험: Negative(음성) In vivo 임신 9-11 마우스/Spot 시험: Negative(음성) (NLM/CCRIS, NTP, IPCS/CICADS)</v>
          </cell>
          <cell r="O191" t="str">
            <v>모체독성이 비존재하에 태아기형발생 또는 배아독성의 증거는 없음. 임신 6-18일동안 래빗의 용량반응 영향은 관찰되지 않음. 1000 mg/kg bw의 농도에서 모체안에서 죽거나 체중이 감소 하였고, 500 mg/kg/bw에서 성장이 감소 하였음. (INCHEM)</v>
          </cell>
          <cell r="P191" t="str">
            <v>20g의 물질을 5명의 사람에게 경구 투여시 일시적인 단백뇨, 설사가 관찰된다.(HSDB, INCHEM)</v>
          </cell>
          <cell r="Q191" t="str">
            <v>2년 노출 시험 결과, 신장이 표적장기이다. 수컷의 경우 신장병증의 악화, 콩팥속질과 유두 내의 무기염류의 선형 침착, 이행상피의 과다증식이 관찰된다. 피부 과민성을 일으킬 수 있음. (NLM, INCHEM)</v>
          </cell>
          <cell r="R191" t="str">
            <v>자료없음</v>
          </cell>
          <cell r="S191" t="str">
            <v>해당없음</v>
          </cell>
          <cell r="T191" t="str">
            <v>LC50 0.7 ㎎/ℓ 96 hr Pimephales promelas (ECOTOX)</v>
          </cell>
          <cell r="U191" t="str">
            <v>EC50 0.421mg/L(48h, D. magna)(NIER), EC50 69.6 ㎎/ℓ 48 hr Daphnia pulex (ECOTOX)</v>
          </cell>
          <cell r="V191" t="str">
            <v>EC50 0.214 ㎎/ℓ (ECHA)</v>
          </cell>
          <cell r="W191" t="str">
            <v>log Kow 4.2 (NITE)</v>
          </cell>
          <cell r="X191" t="str">
            <v>자료없음</v>
          </cell>
          <cell r="Y191" t="str">
            <v>BCF 660 (NLM/HSDB)</v>
          </cell>
          <cell r="Z191" t="str">
            <v>80 (%) 28 day (IUCLID)</v>
          </cell>
          <cell r="AA191" t="str">
            <v>자료없음</v>
          </cell>
          <cell r="AB191" t="str">
            <v>해당없음</v>
          </cell>
          <cell r="AC191"/>
        </row>
        <row r="192">
          <cell r="A192" t="str">
            <v>60-12-8</v>
          </cell>
          <cell r="B192" t="str">
            <v>PHENYL ETHYL ALCOHOL</v>
          </cell>
          <cell r="C192" t="str">
            <v>해당없음</v>
          </cell>
          <cell r="D192" t="str">
            <v>해당없음</v>
          </cell>
          <cell r="E192" t="str">
            <v>해당없음</v>
          </cell>
          <cell r="F192" t="str">
            <v>LD50 2,230 ㎎/㎏ (Rat) (IUCLID)</v>
          </cell>
          <cell r="G192" t="str">
            <v>LD50 5,000 ㎎/㎏  (Rabbit) (IUCLID)</v>
          </cell>
          <cell r="H192" t="str">
            <v>dust LC50 &gt;1.38 ㎎/ℓ 4 hr Rat</v>
          </cell>
          <cell r="I192" t="str">
            <v>rabbit / 자극</v>
          </cell>
          <cell r="J192" t="str">
            <v>인간 / 눈 자극</v>
          </cell>
          <cell r="K192" t="str">
            <v>자료없음</v>
          </cell>
          <cell r="L192" t="str">
            <v>자료없음</v>
          </cell>
          <cell r="M192" t="str">
            <v>해당없음</v>
          </cell>
          <cell r="N192" t="str">
            <v>Ames test, 살모넬라 종 음성</v>
          </cell>
          <cell r="O192" t="str">
            <v>rat 태아에 효과 없음.</v>
          </cell>
          <cell r="P192" t="str">
            <v>자료없음</v>
          </cell>
          <cell r="Q192" t="str">
            <v>rat 14일간 실험결과 폐/영향없음</v>
          </cell>
          <cell r="R192" t="str">
            <v>자료없음</v>
          </cell>
          <cell r="S192" t="str">
            <v>해당없음</v>
          </cell>
          <cell r="T192" t="str">
            <v>LC50 220 ~ 460 ㎎/ℓ 96 hr Leuciscus idus ( DIN 38412, IUCLID)</v>
          </cell>
          <cell r="U192" t="str">
            <v>EC50 287.17 ㎎/ℓ 48 hr Daphnia magna (IUCLID)</v>
          </cell>
          <cell r="V192" t="str">
            <v>EC50 490 ㎎/ℓ 72 hr Scenedesmus subspicatus (test method DIN 38412) (IUCLID)</v>
          </cell>
          <cell r="W192" t="str">
            <v>log Kow 1.36</v>
          </cell>
          <cell r="X192" t="str">
            <v>자료없음</v>
          </cell>
          <cell r="Y192" t="str">
            <v>BCF 6 (HSDB)</v>
          </cell>
          <cell r="Z192" t="str">
            <v>BOD 87%, 2weeks (MITI test) (HSDB)</v>
          </cell>
          <cell r="AA192" t="str">
            <v>자료없음</v>
          </cell>
          <cell r="AB192" t="str">
            <v>해당없음</v>
          </cell>
          <cell r="AC192"/>
        </row>
        <row r="193">
          <cell r="A193" t="str">
            <v>61792-11-8</v>
          </cell>
          <cell r="B193" t="str">
            <v>HOMOGERANYL NITRILE</v>
          </cell>
          <cell r="C193" t="str">
            <v>해당없음</v>
          </cell>
          <cell r="D193" t="str">
            <v>해당없음</v>
          </cell>
          <cell r="E193" t="str">
            <v>해당없음</v>
          </cell>
          <cell r="F193" t="str">
            <v>LD50 &gt;4600 ㎎/㎏ Rat (Read across, ECHA)</v>
          </cell>
          <cell r="G193" t="str">
            <v>LD50 &gt;2000 ㎎/㎏ Rat (OECD Guideline 402, GLP, Read across, ECHA)</v>
          </cell>
          <cell r="H193" t="str">
            <v>자료없음</v>
          </cell>
          <cell r="I193" t="str">
            <v>토끼를 대상으로 피부자극성시험결과, 아주 약간의 홍반이 각 농도에서 관찰되었으나 72시간 후 모든 농도에서가역적. (OECD Guideline 404, GLP)(Read across) (ECHA)</v>
          </cell>
          <cell r="J193" t="str">
            <v>토끼를 대상으로 눈 자극성시험결과, 무자극 (ECHA)</v>
          </cell>
          <cell r="K193" t="str">
            <v>자료없음</v>
          </cell>
          <cell r="L193" t="str">
            <v>사람(암/수)를 이용한 피부과민성 시험결과, 피부에 민감하지 않음 (ECHA)</v>
          </cell>
          <cell r="M193" t="str">
            <v>해당없음</v>
          </cell>
          <cell r="N193" t="str">
            <v>생체 내 ; 포유류 적혈구를 이용한 염색체이상시험 음성 (OECD Guideline 474, GLP) (ECHA)</v>
          </cell>
          <cell r="O193" t="str">
            <v>랫드(암/수)를 대상으로 한 세대 생식독성연구 결과, 부모나 자식 동물에게 아무 이상 없음, NOAEL=200 mg/kg bw/day(OECD Guideline 415, GLP)(Read across) (ECHA)</v>
          </cell>
          <cell r="P193" t="str">
            <v>랫드(암/수)를 대상으로 급성 독성 경구 실험 결과, 입모, 구부린 자세, 비정상 보행, 기면상태, 호흡율 감소, 안검하수, 타액 분비 감소가 관찰됨 (LD50(암/수) 4900 mg/kg bw)(OECD Guideline 401, GLP)(Read across) (ECHA)</v>
          </cell>
          <cell r="Q193" t="str">
            <v>랫드(암/수)를 이용한 90일간의 반복경구독성 시험 결과, 아무 증상없음 (NOAEL=300 mg/kg bw/day)(OECD Guideline 408, GLP)(Read across) (ECHA)</v>
          </cell>
          <cell r="R193" t="str">
            <v>자료없음</v>
          </cell>
          <cell r="S193" t="str">
            <v>해당없음</v>
          </cell>
          <cell r="T193" t="str">
            <v>자료없음</v>
          </cell>
          <cell r="U193" t="str">
            <v>EC50 2.7 ㎎/ℓ 48 hr Daphnia magna (OECD Guideline 202, GLP, ECHA)</v>
          </cell>
          <cell r="V193" t="str">
            <v>자료없음</v>
          </cell>
          <cell r="W193" t="str">
            <v>log Kow 3.96 (Estimate)</v>
          </cell>
          <cell r="X193" t="str">
            <v>자료없음</v>
          </cell>
          <cell r="Y193" t="str">
            <v>BCF 189.5 (Estimate)</v>
          </cell>
          <cell r="Z193" t="str">
            <v>32 (%), 28 day (ECHA)</v>
          </cell>
          <cell r="AA193" t="str">
            <v>3219 (Estimate)</v>
          </cell>
          <cell r="AB193" t="str">
            <v>해당없음</v>
          </cell>
          <cell r="AC193"/>
        </row>
        <row r="194">
          <cell r="A194" t="str">
            <v>62563-80-8</v>
          </cell>
          <cell r="B194" t="str">
            <v>VETIVERYL ACETATE</v>
          </cell>
          <cell r="C194" t="str">
            <v>해당없음</v>
          </cell>
          <cell r="D194" t="str">
            <v>해당없음</v>
          </cell>
          <cell r="E194" t="str">
            <v>해당없음</v>
          </cell>
          <cell r="F194" t="str">
            <v>자료없음</v>
          </cell>
          <cell r="G194" t="str">
            <v>자료없음</v>
          </cell>
          <cell r="H194" t="str">
            <v>자료없음</v>
          </cell>
          <cell r="I194" t="str">
            <v>자료없음</v>
          </cell>
          <cell r="J194" t="str">
            <v>자료없음</v>
          </cell>
          <cell r="K194" t="str">
            <v>자료없음</v>
          </cell>
          <cell r="L194" t="str">
            <v>자료없음</v>
          </cell>
          <cell r="M194" t="str">
            <v>해당없음</v>
          </cell>
          <cell r="N194" t="str">
            <v>자료없음</v>
          </cell>
          <cell r="O194" t="str">
            <v>자료없음</v>
          </cell>
          <cell r="P194" t="str">
            <v>자료없음</v>
          </cell>
          <cell r="Q194" t="str">
            <v>자료없음</v>
          </cell>
          <cell r="R194" t="str">
            <v>자료없음</v>
          </cell>
          <cell r="S194" t="str">
            <v>해당없음</v>
          </cell>
          <cell r="T194" t="str">
            <v>자료없음</v>
          </cell>
          <cell r="U194" t="str">
            <v>자료없음</v>
          </cell>
          <cell r="V194" t="str">
            <v>자료없음</v>
          </cell>
          <cell r="W194" t="str">
            <v>자료없음</v>
          </cell>
          <cell r="X194" t="str">
            <v>자료없음</v>
          </cell>
          <cell r="Y194" t="str">
            <v>자료없음</v>
          </cell>
          <cell r="Z194" t="str">
            <v>자료없음</v>
          </cell>
          <cell r="AA194" t="str">
            <v>자료없음</v>
          </cell>
          <cell r="AB194" t="str">
            <v>해당없음</v>
          </cell>
          <cell r="AC194"/>
        </row>
        <row r="195">
          <cell r="A195" t="str">
            <v>6259-76-3</v>
          </cell>
          <cell r="B195" t="str">
            <v>HEXYL SALICYLATE</v>
          </cell>
          <cell r="C195" t="str">
            <v>해당없음</v>
          </cell>
          <cell r="D195" t="str">
            <v>해당없음</v>
          </cell>
          <cell r="E195" t="str">
            <v>해당없음</v>
          </cell>
          <cell r="F195" t="str">
            <v>LD50 &gt; 5,000 ㎎/㎏ Rat</v>
          </cell>
          <cell r="G195" t="str">
            <v>LD50 &gt; 5,000 ㎎/㎏ Rabbit</v>
          </cell>
          <cell r="H195" t="str">
            <v>자료없음</v>
          </cell>
          <cell r="I195" t="str">
            <v>자료없음</v>
          </cell>
          <cell r="J195" t="str">
            <v>자료없음</v>
          </cell>
          <cell r="K195" t="str">
            <v>자료없음</v>
          </cell>
          <cell r="L195" t="str">
            <v>자료없음</v>
          </cell>
          <cell r="M195" t="str">
            <v>해당없음</v>
          </cell>
          <cell r="N195" t="str">
            <v>자료없음</v>
          </cell>
          <cell r="O195" t="str">
            <v>자료없음</v>
          </cell>
          <cell r="P195" t="str">
            <v>자료없음</v>
          </cell>
          <cell r="Q195" t="str">
            <v>자료없음</v>
          </cell>
          <cell r="R195" t="str">
            <v>자료없음</v>
          </cell>
          <cell r="S195" t="str">
            <v>해당없음</v>
          </cell>
          <cell r="T195" t="str">
            <v>LC50 0.191 ㎎/ℓ 96 hr (Estimate)</v>
          </cell>
          <cell r="U195" t="str">
            <v>LC50 0.215 ㎎/ℓ 48 hr (Estimate)</v>
          </cell>
          <cell r="V195" t="str">
            <v>EC50 0.229 ㎎/ℓ 96 hr (Estimate)</v>
          </cell>
          <cell r="W195" t="str">
            <v>log Kow 5.06 (Estimate)</v>
          </cell>
          <cell r="X195" t="str">
            <v>자료없음</v>
          </cell>
          <cell r="Y195" t="str">
            <v>BCF 1012 (Estimate)</v>
          </cell>
          <cell r="Z195" t="str">
            <v>(Cut-off value 0.7392 ; Rapidly biodegradable(BIOWIN 5)) (Estimate)</v>
          </cell>
          <cell r="AA195" t="str">
            <v>Koc 6686   (Can be adsorbed in the soil) (estimate)</v>
          </cell>
          <cell r="AB195" t="str">
            <v>해당없음</v>
          </cell>
          <cell r="AC195"/>
        </row>
        <row r="196">
          <cell r="A196" t="str">
            <v>6290-17-1</v>
          </cell>
          <cell r="B196" t="str">
            <v>FRAISTONE</v>
          </cell>
          <cell r="C196" t="str">
            <v>해당없음</v>
          </cell>
          <cell r="D196" t="str">
            <v>해당없음</v>
          </cell>
          <cell r="E196" t="str">
            <v>해당없음</v>
          </cell>
          <cell r="F196" t="str">
            <v>자료없음</v>
          </cell>
          <cell r="G196" t="str">
            <v>자료없음</v>
          </cell>
          <cell r="H196" t="str">
            <v>자료없음</v>
          </cell>
          <cell r="I196" t="str">
            <v>자료없음</v>
          </cell>
          <cell r="J196" t="str">
            <v>자료없음</v>
          </cell>
          <cell r="K196" t="str">
            <v>자료없음</v>
          </cell>
          <cell r="L196" t="str">
            <v>자료없음</v>
          </cell>
          <cell r="M196" t="str">
            <v>해당없음</v>
          </cell>
          <cell r="N196" t="str">
            <v>자료없음</v>
          </cell>
          <cell r="O196" t="str">
            <v>자료없음</v>
          </cell>
          <cell r="P196" t="str">
            <v>자료없음</v>
          </cell>
          <cell r="Q196" t="str">
            <v>자료없음</v>
          </cell>
          <cell r="R196" t="str">
            <v>자료없음</v>
          </cell>
          <cell r="S196" t="str">
            <v>해당없음</v>
          </cell>
          <cell r="T196" t="str">
            <v>자료없음</v>
          </cell>
          <cell r="U196" t="str">
            <v>자료없음</v>
          </cell>
          <cell r="V196" t="str">
            <v>자료없음</v>
          </cell>
          <cell r="W196" t="str">
            <v>자료없음</v>
          </cell>
          <cell r="X196" t="str">
            <v>자료없음</v>
          </cell>
          <cell r="Y196" t="str">
            <v>자료없음</v>
          </cell>
          <cell r="Z196" t="str">
            <v>자료없음</v>
          </cell>
          <cell r="AA196" t="str">
            <v>자료없음</v>
          </cell>
          <cell r="AB196" t="str">
            <v>해당없음</v>
          </cell>
        </row>
        <row r="197">
          <cell r="A197" t="str">
            <v>63500-71-0</v>
          </cell>
          <cell r="B197" t="str">
            <v>TETRAHYDRO-METHYL-METHYLPROPYL)-PYRAN-4-OL</v>
          </cell>
          <cell r="C197" t="str">
            <v>해당없음</v>
          </cell>
          <cell r="D197" t="str">
            <v>해당없음</v>
          </cell>
          <cell r="E197" t="str">
            <v>해당없음</v>
          </cell>
          <cell r="F197" t="str">
            <v>LD50 &gt;2,000 ㎎/㎏ (OECD TG 401, GLP) (Rat) (ECHA)</v>
          </cell>
          <cell r="G197" t="str">
            <v>LD50 &gt;2,000 ㎎/㎏  (Rat) (HSDB)</v>
          </cell>
          <cell r="H197" t="str">
            <v>자료없음</v>
          </cell>
          <cell r="I197" t="str">
            <v>토끼를 대상으로 한 피부자극성시험결과, 자극성이 관찰되지 않음(OECD Guideline 404, GLP) (ECHA)</v>
          </cell>
          <cell r="J197" t="str">
            <v>토끼를 대상으로 한 눈자극성시험결과, 자극성이 관찰됨(OECD Guideline 405, GLP) (ECHA)</v>
          </cell>
          <cell r="K197" t="str">
            <v>기니피그(암/수)를 대상으로 한 최대화시험결과, 과민성이 관찰되지 않음(OECD Guideline 406, GLP) (ECHA)</v>
          </cell>
          <cell r="L197" t="str">
            <v>자료없음</v>
          </cell>
          <cell r="M197" t="str">
            <v>해당없음</v>
          </cell>
          <cell r="N197" t="str">
            <v>시험관 내 랫드 림프구(lymphocytes) 염색체이상시험에서, 대사활성계 유무와 상관없이 양성(OECD Guideline 473, GLP); 시험관 내 햄스터 섬유아폐포(lung fibroblasts (V79)) 유전자 돌연변이시험결과, 대사활성계 유무와 상관없이 음성(OECD Guideline 476,GLP); 시험관 내 박테리아 복귀 돌연변이시험에서, 대사활성계 유무와 상관없이 음성(OECD Guideline 471, GLP); 생체 내 마우스(암/수)를 대상으로 한 염색체이상 소핵시험결과, 음성(OECD Guideline 474, GLP) (ECHA)</v>
          </cell>
          <cell r="O197" t="str">
            <v>랫드(암/수)를 대상으로 100, 300 1000 mg/kg bw로 생식발달 스크리닝시험결과, 별다른 유해영향이 관찰되지 않음, NOEL=1000 mg/kg bw/day(OECD Guideline 421, GLP) (ECHA)</v>
          </cell>
          <cell r="P197" t="str">
            <v>자료없음</v>
          </cell>
          <cell r="Q197" t="str">
            <v>랫드(암/수)를 대상으로 4주간 0, 25, 125, 625 mg/kg bw/day로 반복투여독성시험결과, 625mg/kg/day농도에서 타액분비, 암컷 한마리는 몸을 가누지 못하는 증상 관찰됨, 혈장 트리글리세라이드 증가, 수컷의 오줌에서 케톤 관찰됨, 간의 무게 증가, NOAEL=125mg/kg bw/day(OECD Guideline 407, GLP); 랫드(암/수)를 대상으로 경피독성시험결과, 별다른 유해영향이 관찰 되지 않음, NOAEL 1000 mg/kg bw/day(OECD Guideline 411, GLP) (ECHA)</v>
          </cell>
          <cell r="R197" t="str">
            <v>자료없음</v>
          </cell>
          <cell r="S197" t="str">
            <v>해당없음</v>
          </cell>
          <cell r="T197" t="str">
            <v>LC50 354 ㎎/ℓ 96 hr Oncorhynchus mykiss (ECHA)</v>
          </cell>
          <cell r="U197" t="str">
            <v>EC50 320 ㎎/ℓ 48 hr Daphnia magna (ECHA)</v>
          </cell>
          <cell r="V197" t="str">
            <v>EC50 &gt;100 ㎎/ℓ 72 hr Other (ECHA)</v>
          </cell>
          <cell r="W197" t="str">
            <v>log Kow 1.65</v>
          </cell>
          <cell r="X197" t="str">
            <v>자료없음</v>
          </cell>
          <cell r="Y197" t="str">
            <v>자료없음</v>
          </cell>
          <cell r="Z197" t="str">
            <v>0 (%) ~ 10 (%), 28 day (ECHA)</v>
          </cell>
          <cell r="AA197" t="str">
            <v>자료없음</v>
          </cell>
          <cell r="AB197" t="str">
            <v>해당없음</v>
          </cell>
        </row>
        <row r="198">
          <cell r="A198" t="str">
            <v>6413-10-1</v>
          </cell>
          <cell r="B198" t="str">
            <v>ETHYL ACETOACETATE ETHYLENE GLYCOL
KETA</v>
          </cell>
          <cell r="C198" t="str">
            <v>해당없음</v>
          </cell>
          <cell r="D198" t="str">
            <v>해당없음</v>
          </cell>
          <cell r="E198" t="str">
            <v>해당없음</v>
          </cell>
          <cell r="F198" t="str">
            <v>LD50 5,000 ㎎/㎏ (Rat) (NLM, ChemIDplus, TOMES;LOLI)</v>
          </cell>
          <cell r="G198" t="str">
            <v>LD50 5,000 ㎎/㎏  (Rabbit) (NLM, ChemIDplus, TOMES;LOLI)</v>
          </cell>
          <cell r="H198" t="str">
            <v>자료없음</v>
          </cell>
          <cell r="I198" t="str">
            <v>자료없음</v>
          </cell>
          <cell r="J198" t="str">
            <v>자료없음</v>
          </cell>
          <cell r="K198" t="str">
            <v>자료없음</v>
          </cell>
          <cell r="L198" t="str">
            <v>자료없음</v>
          </cell>
          <cell r="M198" t="str">
            <v>해당없음</v>
          </cell>
          <cell r="N198" t="str">
            <v>자료없음</v>
          </cell>
          <cell r="O198" t="str">
            <v>자료없음</v>
          </cell>
          <cell r="P198" t="str">
            <v>자료없음</v>
          </cell>
          <cell r="Q198" t="str">
            <v>자료없음</v>
          </cell>
          <cell r="R198" t="str">
            <v>자료없음</v>
          </cell>
          <cell r="S198" t="str">
            <v>해당없음</v>
          </cell>
          <cell r="T198" t="str">
            <v>LC50 59.5 ㎎/ℓ 96 hr (EPISUITE)</v>
          </cell>
          <cell r="U198" t="str">
            <v>EC50 133.847 ㎎/ℓ 48 hr (Estimated) (EPISUITE)</v>
          </cell>
          <cell r="V198" t="str">
            <v>EC50 61.502 ㎎/ℓ 96 hr (Estimated) (EPISUITE)</v>
          </cell>
          <cell r="W198" t="str">
            <v>자료없음</v>
          </cell>
          <cell r="X198" t="str">
            <v>자료없음</v>
          </cell>
          <cell r="Y198" t="str">
            <v>자료없음</v>
          </cell>
          <cell r="Z198" t="str">
            <v>자료없음</v>
          </cell>
          <cell r="AA198" t="str">
            <v>자료없음</v>
          </cell>
          <cell r="AB198" t="str">
            <v>해당없음</v>
          </cell>
          <cell r="AC198"/>
        </row>
        <row r="199">
          <cell r="A199" t="str">
            <v>64-17-5</v>
          </cell>
          <cell r="B199" t="str">
            <v>ALCOHOL</v>
          </cell>
          <cell r="C199" t="str">
            <v>TWA : 1000 ppm</v>
          </cell>
          <cell r="D199" t="str">
            <v>STEL, 1000 ppm (1880 mg/m3)</v>
          </cell>
          <cell r="E199" t="str">
            <v>해당없음</v>
          </cell>
          <cell r="F199" t="str">
            <v>LD50 6200 ㎎/㎏ Rat (HSDB)</v>
          </cell>
          <cell r="G199" t="str">
            <v>자료없음</v>
          </cell>
          <cell r="H199" t="str">
            <v>LC50 59.59 mg/L/4hr Rat (HSDB)</v>
          </cell>
          <cell r="I199" t="str">
            <v>토끼를 이용한 피부부식성/자극성 시험결과, 자극성이 발생하지 않음(OECD Guideline 404, GLP)(ECHA)</v>
          </cell>
          <cell r="J199" t="str">
            <v>토끼를 이용한 심한눈손상/자극성 시험결과, 결막염, 결막 부종, 홍채 손상, 각막손상이 발생함(결막 지수 : 2.1, 홍채 지수 : 0.44 결막부종지수:1.3 각막지수 :1.1) (OECD Guideline 405)(ECHA)</v>
          </cell>
          <cell r="K199" t="str">
            <v>자료없음</v>
          </cell>
          <cell r="L199" t="str">
            <v>마우스(암/수)를 이용한 피부과민성시험결과, 피부과민성이 발생하지 않음 (ECHA)</v>
          </cell>
          <cell r="M199" t="str">
            <v>해당없음</v>
          </cell>
          <cell r="N199" t="str">
            <v>생체 내 설치류를 이용한 우성치사시험 결과 양성(OECD Guideline 478)생체 내 마우스를 이용한 스팟시험 결과 음성(OECD Guideline 484)생체 내 포유류 적혈구를 이용한 소핵시험결과 음성(OECD Guideline 474)생체 내 포유류 골수세포를 이용한 염색체 이상시험결과 음성(OECD Guideline 475)(ECHA)</v>
          </cell>
          <cell r="O199" t="str">
            <v>랫드(수)를 이용한 발달독성/최기형성/모계독성 시험결과 별다른 영향이 없음(발달독성 NOAEL 4000mg/kg, 최기형성 NOAEL 5200mg/kg, 최기형성 LOAEL 8200mg/kg,OECD Guideline 415)(ECHA)</v>
          </cell>
          <cell r="P199" t="str">
            <v>토끼를 이용한 경구독성 시험결과 눈떨림, 전정기능이 억제되었음. 중추신경계에 영향을 줄수있음 (HSDB, SIDS, ICSC)</v>
          </cell>
          <cell r="Q199" t="str">
            <v>래트를 이용한 단기 반복 투여 흡입독성 시험결과 최대 26 일 동안 20mg/L의 단일 용량의 에탄올 증기에노출되었을 때 많은 일시적 영향 (임상 징후, 예를 들어 기면 및 운동 실조, 경미한 간 공포화 및 임상 화학 매개 변수의 변화)을발견했지만 26일 동안 노출된 동물에서 주목할만한 유일한 영향은 혈장 GPT 수준의 증가였음. Rat: 4주동안 6130ppm의 에탄올을 6시간/주5일로 4주동안 흡입했을 때 일반적으로 4주 회복 단계 후에 정상으로 돌아온 경미한 효과만 발생함. 독성의 임상적징후는 관찰되지 않았으며 다양한 주요 기관 (심장, 간, 비장, 신장, 뇌, 고환 및 흉선 포함)을 검사했을 때 육안 또는 미세 조직 변화가 관찰되지 않았음 (ECHA)</v>
          </cell>
          <cell r="R199" t="str">
            <v>자료없음</v>
          </cell>
          <cell r="S199" t="str">
            <v>해당없음</v>
          </cell>
          <cell r="T199" t="str">
            <v>LC50 &gt;100 ㎎/ℓ 96 hr Pimephales promelas (SIDS 2005)</v>
          </cell>
          <cell r="U199" t="str">
            <v>LC50 5,012 ㎎/ℓ 48 hr (Other Guideline ASTM E729-80) (Ceriodaphnia dubia) (ECHA)</v>
          </cell>
          <cell r="V199" t="str">
            <v>ErC50 275 ㎎/ℓ 72 hr Chlorella vulgaris(OECD Guideline 201) (ECHA)</v>
          </cell>
          <cell r="W199" t="str">
            <v>log Kow -0.32 (ICSC)</v>
          </cell>
          <cell r="X199" t="str">
            <v>BOD5/COD  0.57 (  IUCLID)</v>
          </cell>
          <cell r="Y199" t="str">
            <v>BCF 1 (ECHA)</v>
          </cell>
          <cell r="Z199" t="str">
            <v>Biodegradability 75 (%) 20 day  (Aerobic, Other, readily biodegradable) (IUCLID)</v>
          </cell>
          <cell r="AA199" t="str">
            <v>자료없음</v>
          </cell>
          <cell r="AB199" t="str">
            <v>해당없음</v>
          </cell>
          <cell r="AC199"/>
        </row>
        <row r="200">
          <cell r="A200" t="str">
            <v>64-19-7</v>
          </cell>
          <cell r="B200" t="str">
            <v>ACETIC ACID</v>
          </cell>
          <cell r="C200" t="str">
            <v>TWA : 10 ppm, STEL : 15 ppm</v>
          </cell>
          <cell r="D200" t="str">
            <v>해당없음</v>
          </cell>
          <cell r="E200" t="str">
            <v>해당없음</v>
          </cell>
          <cell r="F200" t="str">
            <v>LD50 3310 ㎎/㎏ Rat (NITE)</v>
          </cell>
          <cell r="G200" t="str">
            <v>LD50 1060 ㎎/㎏ rabbit (NITE)</v>
          </cell>
          <cell r="H200" t="str">
            <v>LC50 39.3 mg/L/4 hr Rat (NLM)</v>
          </cell>
          <cell r="I200" t="str">
            <v>토끼를 이용한 피부부식성/자극성시험결과OECD TG 404, 아세트산 3.3% 또는 10% 수용액은 토끼피부에 약간 자극성을 나타냄primary dermal irritation index PDII=0.5-1.1 (ECHA), 동물 실험에서 피부의 괴사 및 화상이 나타남 (NITE)</v>
          </cell>
          <cell r="J200" t="str">
            <v>토끼를 이용한 심한눈손상/자극성시험결과(OECD TG 405), 10% 아세트산은 눈에 자극성을 보임. 홍반지수
=2.67/4, other: %각막부종=87 (ECHA), 토끼에서 눈에 심한 손상을 일으킴, 영구적인 각막 손상을 일으킴, 사람에게서 사고로 각막의 마비나 혼탁을 일으킴 (NITE)</v>
          </cell>
          <cell r="K200" t="str">
            <v>자료없음</v>
          </cell>
          <cell r="L200" t="str">
            <v>자료없음</v>
          </cell>
          <cell r="M200" t="str">
            <v>해당없음</v>
          </cell>
          <cell r="N200" t="str">
            <v>시험관 내 미생물을 이용한 복귀돌연변이시험결과OECD TG 471, 대사활성계 유무에 상관없이 음성, 시험관내 포유류 배양세포를 이용한 염색체이상시험결과OECD TG 473, 대사활성계 유무와 상관없이 음성, 생체 내 랫드를 이용한 소핵시험결과EU Method B.12, GLP, 음성 (ECHA)</v>
          </cell>
          <cell r="O200" t="str">
            <v>랫드를 대상으로 태아발생독성시험결과EU Method B.31, 태아생존, 연조직 또는 골격조직에서 보이는 기형수에 영향없음NOAELdevelopmental toxicity=1 600 mg/kg bw/day (ECHA)</v>
          </cell>
          <cell r="P200" t="str">
            <v>사람에서 혈관내 응고 장해, 중증의 용혈을 일으킴 , 사람에서 흡입 노출에 의해 코, 상기도, 폐에 대한 자극이나타남, 사람에서 증기를 흡입하면 기도 부식성, 폐수종을 일으킴 PATTY 5th, 2001, ACGIH 2004, ICSC 증상: 코, 목 자극; 치아 침식; 각막비후증; 인두부종; 만성 기관지염 / 표적장기: 눈, 피부, 호흡기계, 치아 NIOSH랫드를 이용한 급성흡입독성시험결과, 순환백혈구감소증circulating leucoytes 보임 (PATTY 5th, 2001, ACGIH 2004, ICSC)</v>
          </cell>
          <cell r="Q200" t="str">
            <v>랫트 수컷을 대상으로 8주동안 경구아만성반복독성시험결과, 혈압상승, 레닌활성-혈장(plasma renin activity) 감소 관찰됨 NOAEL=290 mg/kg bw/day nominal 마우스 암컷을 대상으로 32주간 만성경피반복시험결과, 10mg 시험군에서 33% 사망률을 보이고, 20mg  시험군에서 50% 사망률 보임 NOAEL=30 other: mg/animal, LOAEL=10 mg/animal (ECHA)</v>
          </cell>
          <cell r="R200" t="str">
            <v>자료없음</v>
          </cell>
          <cell r="S200" t="str">
            <v>해당없음</v>
          </cell>
          <cell r="T200" t="str">
            <v>LC50 &gt;1000 ㎎/ℓ  96 hr Oncorhynchus mykiss(OECD TG 203, GLP) (ECHA)</v>
          </cell>
          <cell r="U200" t="str">
            <v>EC50 &gt;300.82 ㎎/ℓ  48 hr Daphnia magna(OECD TG 202, GLP) (ECHA)</v>
          </cell>
          <cell r="V200" t="str">
            <v>EC50 &gt;1000 ㎎/ℓ  72 hr Skeletonema costatum(ISO 10253, GLP) (ECHA)</v>
          </cell>
          <cell r="W200" t="str">
            <v>log Kow -0.17 (Howard, 1997)</v>
          </cell>
          <cell r="X200" t="str">
            <v>자료없음</v>
          </cell>
          <cell r="Y200" t="str">
            <v>자료없음</v>
          </cell>
          <cell r="Z200" t="str">
            <v>96% 20 day(ECHA), Biodegradability 74 (%) (NITE)</v>
          </cell>
          <cell r="AA200" t="str">
            <v>Koc 1.153 (TGD guideline, QSAR)(ECHA)</v>
          </cell>
          <cell r="AB200" t="str">
            <v>해당없음</v>
          </cell>
        </row>
        <row r="201">
          <cell r="A201" t="str">
            <v>6485-40-1</v>
          </cell>
          <cell r="B201" t="str">
            <v>CARVONE</v>
          </cell>
          <cell r="C201" t="str">
            <v>해당없음</v>
          </cell>
          <cell r="D201" t="str">
            <v>해당없음</v>
          </cell>
          <cell r="E201" t="str">
            <v>해당없음</v>
          </cell>
          <cell r="F201" t="str">
            <v>LD50 5400 mg/kg Rat (NIER)</v>
          </cell>
          <cell r="G201" t="str">
            <v>LD50 &gt; 2,000 mg/kg (NIER 고시 제2015-18호 유해성심사결과)</v>
          </cell>
          <cell r="H201" t="str">
            <v>자료없음</v>
          </cell>
          <cell r="I201" t="str">
            <v>자료없음</v>
          </cell>
          <cell r="J201" t="str">
            <v>눈 자극성 물질 아님 (NIER 고시 제2015-18호 유해성심사결과)</v>
          </cell>
          <cell r="K201" t="str">
            <v>자료없음</v>
          </cell>
          <cell r="L201" t="str">
            <v>피부 과민성 물질 (NIER 고시 제2015-18호 유해성심사결과)</v>
          </cell>
          <cell r="M201" t="str">
            <v>해당없음</v>
          </cell>
          <cell r="N201" t="str">
            <v>Ames 시험 : 음성, 염색체이상 시험 : 음성, 마우스림프종 시험 : 음성 (NIER 고시 제2015-18호 유해성심사결과)</v>
          </cell>
          <cell r="O201" t="str">
            <v>자료없음</v>
          </cell>
          <cell r="P201" t="str">
            <v>자료없음</v>
          </cell>
          <cell r="Q201" t="str">
            <v>자료없음</v>
          </cell>
          <cell r="R201" t="str">
            <v>자료없음</v>
          </cell>
          <cell r="S201" t="str">
            <v>해당없음</v>
          </cell>
          <cell r="T201" t="str">
            <v>LC50 6.1 mg/L (NIER 고시 제2015-18호 유해성심사결과)</v>
          </cell>
          <cell r="U201" t="str">
            <v>EC50 38 mg/L (NIER 고시 제2015-18호 유해성심사결과)</v>
          </cell>
          <cell r="V201" t="str">
            <v>EC50 19 mg/L (NIER 고시 제2015-18호 유해성심사결과)</v>
          </cell>
          <cell r="W201" t="str">
            <v>자료없음</v>
          </cell>
          <cell r="X201" t="str">
            <v>이분해성 물질 (NIER 고시 제2015-18호 유해성심사결과)</v>
          </cell>
          <cell r="Y201" t="str">
            <v>자료없음</v>
          </cell>
          <cell r="Z201" t="str">
            <v>90%. 28days (NIER 고시 제2015-18호 유해성심사결과)</v>
          </cell>
          <cell r="AA201" t="str">
            <v>자료없음</v>
          </cell>
          <cell r="AB201" t="str">
            <v>해당없음</v>
          </cell>
          <cell r="AC201"/>
        </row>
        <row r="202">
          <cell r="A202" t="str">
            <v>65113-99-7</v>
          </cell>
          <cell r="B202" t="str">
            <v>SANDALORE</v>
          </cell>
          <cell r="C202" t="str">
            <v>해당없음</v>
          </cell>
          <cell r="D202" t="str">
            <v>해당없음</v>
          </cell>
          <cell r="E202" t="str">
            <v>해당없음</v>
          </cell>
          <cell r="F202" t="str">
            <v>자료없음</v>
          </cell>
          <cell r="G202" t="str">
            <v>자료없음</v>
          </cell>
          <cell r="H202" t="str">
            <v>자료없음</v>
          </cell>
          <cell r="I202" t="str">
            <v>자료없음</v>
          </cell>
          <cell r="J202" t="str">
            <v>자료없음</v>
          </cell>
          <cell r="K202" t="str">
            <v>자료없음</v>
          </cell>
          <cell r="L202" t="str">
            <v>자료없음</v>
          </cell>
          <cell r="M202" t="str">
            <v>해당없음</v>
          </cell>
          <cell r="N202" t="str">
            <v>자료없음</v>
          </cell>
          <cell r="O202" t="str">
            <v>자료없음</v>
          </cell>
          <cell r="P202" t="str">
            <v>자료없음</v>
          </cell>
          <cell r="Q202" t="str">
            <v>자료없음</v>
          </cell>
          <cell r="R202" t="str">
            <v>자료없음</v>
          </cell>
          <cell r="S202" t="str">
            <v>해당없음</v>
          </cell>
          <cell r="T202" t="str">
            <v>LC50 0.25 ㎎/ℓ 96 hr (Estimate)</v>
          </cell>
          <cell r="U202" t="str">
            <v>LC50 0.19 ㎎/ℓ 48 hr (Estimate)</v>
          </cell>
          <cell r="V202" t="str">
            <v>EC50 0.48 ㎎/ℓ 96 hr (Estimate)</v>
          </cell>
          <cell r="W202" t="str">
            <v>log Kow 5.15 (Estimate)</v>
          </cell>
          <cell r="X202" t="str">
            <v>자료없음</v>
          </cell>
          <cell r="Y202" t="str">
            <v>BCF 1160 (Estimate)</v>
          </cell>
          <cell r="Z202" t="str">
            <v>자료없음</v>
          </cell>
          <cell r="AA202" t="str">
            <v>Koc 750.2 (Estimate)</v>
          </cell>
          <cell r="AB202" t="str">
            <v>해당없음</v>
          </cell>
          <cell r="AC202"/>
        </row>
        <row r="203">
          <cell r="A203" t="str">
            <v>65405-77-8</v>
          </cell>
          <cell r="B203" t="str">
            <v>CIS-3-HEXENYL SALICYLATE</v>
          </cell>
          <cell r="C203" t="str">
            <v>해당없음</v>
          </cell>
          <cell r="D203" t="str">
            <v>해당없음</v>
          </cell>
          <cell r="E203" t="str">
            <v>해당없음</v>
          </cell>
          <cell r="F203" t="str">
            <v>LD50 &gt;5,000 ㎎/㎏ (Rat) (RIFM Database)</v>
          </cell>
          <cell r="G203" t="str">
            <v>LD50 &gt;5,000 ㎎/㎏ (Rabbit) (RIFM Database)</v>
          </cell>
          <cell r="H203" t="str">
            <v>자료없음</v>
          </cell>
          <cell r="I203" t="str">
            <v>자료없음</v>
          </cell>
          <cell r="J203" t="str">
            <v>자료없음</v>
          </cell>
          <cell r="K203" t="str">
            <v>자료없음</v>
          </cell>
          <cell r="L203" t="str">
            <v>자료없음</v>
          </cell>
          <cell r="M203" t="str">
            <v>해당없음</v>
          </cell>
          <cell r="N203" t="str">
            <v>자료없음</v>
          </cell>
          <cell r="O203" t="str">
            <v>자료없음</v>
          </cell>
          <cell r="P203" t="str">
            <v>자료없음</v>
          </cell>
          <cell r="Q203" t="str">
            <v>자료없음</v>
          </cell>
          <cell r="R203" t="str">
            <v>자료없음</v>
          </cell>
          <cell r="S203" t="str">
            <v>해당없음</v>
          </cell>
          <cell r="T203" t="str">
            <v>LC0 2.1 ㎎/ℓ (Danio rerio) (RIFM Database)</v>
          </cell>
          <cell r="U203" t="str">
            <v>EC10 3.3 ㎎/ℓ (Daphnia magna) (RIFM Database)</v>
          </cell>
          <cell r="V203" t="str">
            <v>EC10 0.19 ㎎/ℓ (Desmodesmus subspicatus) (RIFM Database)</v>
          </cell>
          <cell r="W203" t="str">
            <v>log Kow 4.84 (Estimate)</v>
          </cell>
          <cell r="X203" t="str">
            <v>자료없음</v>
          </cell>
          <cell r="Y203" t="str">
            <v>BCF 729.7 (Estimate)</v>
          </cell>
          <cell r="Z203" t="str">
            <v>자료없음</v>
          </cell>
          <cell r="AA203" t="str">
            <v>자료없음</v>
          </cell>
          <cell r="AB203" t="str">
            <v>해당없음</v>
          </cell>
        </row>
        <row r="204">
          <cell r="A204" t="str">
            <v>65443-14-3</v>
          </cell>
          <cell r="B204" t="str">
            <v>VELOUTONE 990257</v>
          </cell>
          <cell r="C204" t="str">
            <v>해당없음</v>
          </cell>
          <cell r="D204" t="str">
            <v>해당없음</v>
          </cell>
          <cell r="E204" t="str">
            <v>해당없음</v>
          </cell>
          <cell r="F204" t="str">
            <v>자료없음</v>
          </cell>
          <cell r="G204" t="str">
            <v>자료없음</v>
          </cell>
          <cell r="H204" t="str">
            <v>자료없음</v>
          </cell>
          <cell r="I204" t="str">
            <v>자료없음</v>
          </cell>
          <cell r="J204" t="str">
            <v>자료없음</v>
          </cell>
          <cell r="K204" t="str">
            <v>자료없음</v>
          </cell>
          <cell r="L204" t="str">
            <v>자료없음</v>
          </cell>
          <cell r="M204" t="str">
            <v>해당없음</v>
          </cell>
          <cell r="N204" t="str">
            <v>자료없음</v>
          </cell>
          <cell r="O204" t="str">
            <v>자료없음</v>
          </cell>
          <cell r="P204" t="str">
            <v>자료없음</v>
          </cell>
          <cell r="Q204" t="str">
            <v>자료없음</v>
          </cell>
          <cell r="R204" t="str">
            <v>자료없음</v>
          </cell>
          <cell r="S204" t="str">
            <v>해당없음</v>
          </cell>
          <cell r="T204" t="str">
            <v>자료없음</v>
          </cell>
          <cell r="U204" t="str">
            <v>자료없음</v>
          </cell>
          <cell r="V204" t="str">
            <v>자료없음</v>
          </cell>
          <cell r="W204" t="str">
            <v>자료없음</v>
          </cell>
          <cell r="X204" t="str">
            <v>자료없음</v>
          </cell>
          <cell r="Y204" t="str">
            <v>자료없음</v>
          </cell>
          <cell r="Z204" t="str">
            <v>자료없음</v>
          </cell>
          <cell r="AA204" t="str">
            <v>자료없음</v>
          </cell>
          <cell r="AB204" t="str">
            <v>해당없음</v>
          </cell>
          <cell r="AC204"/>
        </row>
        <row r="205">
          <cell r="A205" t="str">
            <v>656-53-1</v>
          </cell>
          <cell r="B205" t="str">
            <v>SULFURYL ACETATE</v>
          </cell>
          <cell r="C205" t="str">
            <v>해당없음</v>
          </cell>
          <cell r="D205" t="str">
            <v>해당없음</v>
          </cell>
          <cell r="E205" t="str">
            <v>해당없음</v>
          </cell>
          <cell r="F205" t="str">
            <v>자료없음</v>
          </cell>
          <cell r="G205" t="str">
            <v>자료없음</v>
          </cell>
          <cell r="H205" t="str">
            <v>자료없음</v>
          </cell>
          <cell r="I205" t="str">
            <v>자료없음</v>
          </cell>
          <cell r="J205" t="str">
            <v>자료없음</v>
          </cell>
          <cell r="K205" t="str">
            <v>자료없음</v>
          </cell>
          <cell r="L205" t="str">
            <v>자료없음</v>
          </cell>
          <cell r="M205" t="str">
            <v>해당없음</v>
          </cell>
          <cell r="N205" t="str">
            <v>자료없음</v>
          </cell>
          <cell r="O205" t="str">
            <v>자료없음</v>
          </cell>
          <cell r="P205" t="str">
            <v>자료없음</v>
          </cell>
          <cell r="Q205" t="str">
            <v>자료없음</v>
          </cell>
          <cell r="R205" t="str">
            <v>자료없음</v>
          </cell>
          <cell r="S205" t="str">
            <v>해당없음</v>
          </cell>
          <cell r="T205" t="str">
            <v>자료없음</v>
          </cell>
          <cell r="U205" t="str">
            <v>자료없음</v>
          </cell>
          <cell r="V205" t="str">
            <v>자료없음</v>
          </cell>
          <cell r="W205" t="str">
            <v>자료없음</v>
          </cell>
          <cell r="X205" t="str">
            <v>자료없음</v>
          </cell>
          <cell r="Y205" t="str">
            <v>자료없음</v>
          </cell>
          <cell r="Z205" t="str">
            <v>자료없음</v>
          </cell>
          <cell r="AA205" t="str">
            <v>자료없음</v>
          </cell>
          <cell r="AB205" t="str">
            <v>해당없음</v>
          </cell>
          <cell r="AC205"/>
        </row>
        <row r="206">
          <cell r="A206" t="str">
            <v>659-70-1</v>
          </cell>
          <cell r="B206" t="str">
            <v>ISO AMYL ISO VALERATE</v>
          </cell>
          <cell r="C206" t="str">
            <v>해당없음</v>
          </cell>
          <cell r="D206" t="str">
            <v>해당없음</v>
          </cell>
          <cell r="E206" t="str">
            <v>해당없음</v>
          </cell>
          <cell r="F206" t="str">
            <v>LD50 13956 ㎎/㎏ rabbit (NLM)</v>
          </cell>
          <cell r="G206" t="str">
            <v>자료없음</v>
          </cell>
          <cell r="H206" t="str">
            <v>자료없음</v>
          </cell>
          <cell r="I206" t="str">
            <v>자료없음</v>
          </cell>
          <cell r="J206" t="str">
            <v>자료없음</v>
          </cell>
          <cell r="K206" t="str">
            <v>자료없음</v>
          </cell>
          <cell r="L206" t="str">
            <v>자료없음</v>
          </cell>
          <cell r="M206" t="str">
            <v>해당없음</v>
          </cell>
          <cell r="N206" t="str">
            <v>자료없음</v>
          </cell>
          <cell r="O206" t="str">
            <v>자료없음</v>
          </cell>
          <cell r="P206" t="str">
            <v>자료없음</v>
          </cell>
          <cell r="Q206" t="str">
            <v>자료없음</v>
          </cell>
          <cell r="R206" t="str">
            <v>자료없음</v>
          </cell>
          <cell r="S206" t="str">
            <v>해당없음</v>
          </cell>
          <cell r="T206" t="str">
            <v>LC50 2.621 ㎎/ℓ 96 hr (Estimate)</v>
          </cell>
          <cell r="U206" t="str">
            <v>LC50 3.661 ㎎/ℓ 48 hr (Estimate)</v>
          </cell>
          <cell r="V206" t="str">
            <v>EC50 1.549 ㎎/ℓ 96 hr (Estimate)</v>
          </cell>
          <cell r="W206" t="str">
            <v>log Kow 3.66 (NLM)</v>
          </cell>
          <cell r="X206" t="str">
            <v>자료없음</v>
          </cell>
          <cell r="Y206" t="str">
            <v>자료없음</v>
          </cell>
          <cell r="Z206" t="str">
            <v>(Cut-off value=0.9905; Rapidly biodegradable(BIOWIN2)) (Estimate)</v>
          </cell>
          <cell r="AA206" t="str">
            <v>Koc 765.5 (estimate)</v>
          </cell>
          <cell r="AB206" t="str">
            <v>해당없음</v>
          </cell>
        </row>
        <row r="207">
          <cell r="A207" t="str">
            <v>66068-84-6</v>
          </cell>
          <cell r="B207" t="str">
            <v>SANDELA</v>
          </cell>
          <cell r="C207" t="str">
            <v>해당없음</v>
          </cell>
          <cell r="D207" t="str">
            <v>해당없음</v>
          </cell>
          <cell r="E207" t="str">
            <v>해당없음</v>
          </cell>
          <cell r="F207" t="str">
            <v>자료없음</v>
          </cell>
          <cell r="G207" t="str">
            <v>LD50 ≥2000 ㎎/㎏ Rat (ECHA)</v>
          </cell>
          <cell r="H207" t="str">
            <v>자료없음</v>
          </cell>
          <cell r="I207" t="str">
            <v>토끼에서 약한 피부 자극 (PDII 1.92) (ECHA)</v>
          </cell>
          <cell r="J207" t="str">
            <v>물질의 MMAS 수치는 토끼에서 눈 자극으로 분류되지 않음 (MMAS =15.5) (ECHA)</v>
          </cell>
          <cell r="K207" t="str">
            <v>인간 - 비과민성 (ECHA)</v>
          </cell>
          <cell r="L207" t="str">
            <v>마우스 국소 림프절 시험에서, 이 시험 물질은 알러지에 대한 민감성을 나타내지 않을 것으로 추정 됨 (ECHA)</v>
          </cell>
          <cell r="M207" t="str">
            <v>해당없음</v>
          </cell>
          <cell r="N207" t="str">
            <v>시험관 내 시험, 포유류 염색체 이상 시험 - 대사활성이 없을 시 음성 시험관 내 시험, 미생물 복귀 돌연변이 시험 - 대사활성이 없을 시 음성 (ECHA)</v>
          </cell>
          <cell r="O207" t="str">
            <v>예측 된 NOAEL 값을 볼 때, 이 실험물질은 생식독성을 나타나지 않음 (NOAEL =211.33 mg/kg bw/day)(OECD Guideline 422) (ECHA)</v>
          </cell>
          <cell r="P207" t="str">
            <v>실험물질은 14일간 5 mg/L 농도의 에어로졸로 실험 시 임상증상은 나타나지 않음(OECD Guideline 403, GLP) (ECHA)</v>
          </cell>
          <cell r="Q207" t="str">
            <v>예측 된 NOAEL 값을 볼 때, 이 실험물질은 경구 투여시 유해물질이 아님 (NOAEL 3569.66 mg/kg bw/day)(OECD Guideline 407) (ECHA)</v>
          </cell>
          <cell r="R207" t="str">
            <v>자료없음</v>
          </cell>
          <cell r="S207" t="str">
            <v>해당없음</v>
          </cell>
          <cell r="T207" t="str">
            <v>LC50 3.03 ㎎/ℓ 96 hr Lepomis macrochirus (ECHA)</v>
          </cell>
          <cell r="U207" t="str">
            <v>EC50 4.21 ㎎/ℓ 48 hr Daphnia magna (ECHA)</v>
          </cell>
          <cell r="V207" t="str">
            <v>EC50 27.36 ㎎/ℓ 72 hr Other(Pseudokirchneriella subcapitata) (ECHA)</v>
          </cell>
          <cell r="W207" t="str">
            <v>log Kow 4.9 (ECHA)</v>
          </cell>
          <cell r="X207" t="str">
            <v>자료없음</v>
          </cell>
          <cell r="Y207" t="str">
            <v>BCF 2000 (ECHA)</v>
          </cell>
          <cell r="Z207" t="str">
            <v>Readily biodegradable (ECHA)</v>
          </cell>
          <cell r="AA207" t="str">
            <v>Koc 3596 (Estimate)</v>
          </cell>
          <cell r="AB207" t="str">
            <v>해당없음</v>
          </cell>
          <cell r="AC207"/>
        </row>
        <row r="208">
          <cell r="A208" t="str">
            <v>66-25-1</v>
          </cell>
          <cell r="B208" t="str">
            <v>HEXANAL</v>
          </cell>
          <cell r="C208" t="str">
            <v>해당없음</v>
          </cell>
          <cell r="D208" t="str">
            <v>해당없음</v>
          </cell>
          <cell r="E208" t="str">
            <v>해당없음</v>
          </cell>
          <cell r="F208" t="str">
            <v>LD50 4890 ㎎/㎏ Rat</v>
          </cell>
          <cell r="G208" t="str">
            <v>자료없음</v>
          </cell>
          <cell r="H208" t="str">
            <v>자료없음</v>
          </cell>
          <cell r="I208" t="str">
            <v>래빗/피부(14.2mg/24hr): 경미한 자극성</v>
          </cell>
          <cell r="J208" t="str">
            <v>래빗/눈(500mg/24hr): 경미한 자극성</v>
          </cell>
          <cell r="K208" t="str">
            <v>자료없음</v>
          </cell>
          <cell r="L208" t="str">
            <v>자료없음</v>
          </cell>
          <cell r="M208" t="str">
            <v>해당없음</v>
          </cell>
          <cell r="N208" t="str">
            <v>Chinese hamster/V-79/6-Thioguanine (HGPRT), V-79/Ouabain (NA/K): Positive(양성)</v>
          </cell>
          <cell r="O208" t="str">
            <v>자료없음</v>
          </cell>
          <cell r="P208" t="str">
            <v>자료없음</v>
          </cell>
          <cell r="Q208" t="str">
            <v>자료없음</v>
          </cell>
          <cell r="R208" t="str">
            <v>자료없음</v>
          </cell>
          <cell r="S208" t="str">
            <v>해당없음</v>
          </cell>
          <cell r="T208" t="str">
            <v>LC50 14 ㎎/ℓ 96 hr Pimephales promelas (ECOTOX)</v>
          </cell>
          <cell r="U208" t="str">
            <v>자료없음</v>
          </cell>
          <cell r="V208" t="str">
            <v>자료없음</v>
          </cell>
          <cell r="W208" t="str">
            <v>log Kow 1.78 (NITE)</v>
          </cell>
          <cell r="X208" t="str">
            <v>자료없음</v>
          </cell>
          <cell r="Y208" t="str">
            <v>BCF 5 (HSDB)</v>
          </cell>
          <cell r="Z208" t="str">
            <v>50 (%) 28 day (OECD TG 301C)  (CHRIP)</v>
          </cell>
          <cell r="AA208" t="str">
            <v xml:space="preserve"> Koc 220 (HSDB)</v>
          </cell>
          <cell r="AB208" t="str">
            <v>해당없음</v>
          </cell>
          <cell r="AC208"/>
        </row>
        <row r="209">
          <cell r="A209" t="str">
            <v>6728-26-3</v>
          </cell>
          <cell r="B209" t="str">
            <v>TRANS-2-HEXENAL</v>
          </cell>
          <cell r="C209" t="str">
            <v>해당없음</v>
          </cell>
          <cell r="D209" t="str">
            <v>해당없음</v>
          </cell>
          <cell r="E209" t="str">
            <v>해당없음</v>
          </cell>
          <cell r="F209" t="str">
            <v>LD50 780 ㎎/㎏ Rat (Rat LD50=780mg/kg (NLM; ChemIDPlus))</v>
          </cell>
          <cell r="G209" t="str">
            <v>LD50 600 ㎎/㎏ rabbit (ChemIDPlus)</v>
          </cell>
          <cell r="H209" t="str">
            <v>gas (Not applicable: Liquid)</v>
          </cell>
          <cell r="I209" t="str">
            <v>자료없음</v>
          </cell>
          <cell r="J209" t="str">
            <v>자료없음</v>
          </cell>
          <cell r="K209" t="str">
            <v>자료없음</v>
          </cell>
          <cell r="L209" t="str">
            <v>자료없음</v>
          </cell>
          <cell r="M209" t="str">
            <v>해당없음</v>
          </cell>
          <cell r="N209" t="str">
            <v>In vitro-미생물 복귀돌연변이시험 (SALMONELLA TYPHIMURIUM, TA100, TA97A, , TA98, TA102,</v>
          </cell>
          <cell r="O209" t="str">
            <v>자료없음</v>
          </cell>
          <cell r="P209" t="str">
            <v>자료없음</v>
          </cell>
          <cell r="Q209" t="str">
            <v>자료없음</v>
          </cell>
          <cell r="R209" t="str">
            <v>자료없음</v>
          </cell>
          <cell r="S209" t="str">
            <v>해당없음</v>
          </cell>
          <cell r="T209" t="str">
            <v>LC50 0.158 ㎎/ℓ 96 hr (Estimate)</v>
          </cell>
          <cell r="U209" t="str">
            <v>EC50 93.941 ㎎/ℓ 48 hr Daphnia magna (Estimate)</v>
          </cell>
          <cell r="V209" t="str">
            <v>EC50 56.824 ㎎/ℓ 96 hr (Estimate)</v>
          </cell>
          <cell r="W209" t="str">
            <v>log Kow 1.58 (Akron)</v>
          </cell>
          <cell r="X209" t="str">
            <v>자료없음</v>
          </cell>
          <cell r="Y209" t="str">
            <v>BCF 5.123 (Estimate)</v>
          </cell>
          <cell r="Z209" t="str">
            <v>Non-degradable; not degraded and has a high potential to accumulate in vivo</v>
          </cell>
          <cell r="AA209" t="str">
            <v>Koc 37.13</v>
          </cell>
          <cell r="AB209" t="str">
            <v>해당없음</v>
          </cell>
          <cell r="AC209"/>
        </row>
        <row r="210">
          <cell r="A210" t="str">
            <v>67633-96-9</v>
          </cell>
          <cell r="B210" t="str">
            <v>CIS-3-HEXENYL METHYL CARBONATE</v>
          </cell>
          <cell r="C210" t="str">
            <v>해당없음</v>
          </cell>
          <cell r="D210" t="str">
            <v>해당없음</v>
          </cell>
          <cell r="E210" t="str">
            <v>해당없음</v>
          </cell>
          <cell r="F210" t="str">
            <v>자료없음</v>
          </cell>
          <cell r="G210" t="str">
            <v>자료없음</v>
          </cell>
          <cell r="H210" t="str">
            <v>자료없음</v>
          </cell>
          <cell r="I210" t="str">
            <v>자료없음</v>
          </cell>
          <cell r="J210" t="str">
            <v>자료없음</v>
          </cell>
          <cell r="K210" t="str">
            <v>자료없음</v>
          </cell>
          <cell r="L210" t="str">
            <v>자료없음</v>
          </cell>
          <cell r="M210" t="str">
            <v>해당없음</v>
          </cell>
          <cell r="N210" t="str">
            <v>자료없음</v>
          </cell>
          <cell r="O210" t="str">
            <v>자료없음</v>
          </cell>
          <cell r="P210" t="str">
            <v>자료없음</v>
          </cell>
          <cell r="Q210" t="str">
            <v>자료없음</v>
          </cell>
          <cell r="R210" t="str">
            <v>자료없음</v>
          </cell>
          <cell r="S210" t="str">
            <v>해당없음</v>
          </cell>
          <cell r="T210" t="str">
            <v>자료없음</v>
          </cell>
          <cell r="U210" t="str">
            <v>자료없음</v>
          </cell>
          <cell r="V210" t="str">
            <v>자료없음</v>
          </cell>
          <cell r="W210" t="str">
            <v>자료없음</v>
          </cell>
          <cell r="X210" t="str">
            <v>자료없음</v>
          </cell>
          <cell r="Y210" t="str">
            <v>자료없음</v>
          </cell>
          <cell r="Z210" t="str">
            <v>자료없음</v>
          </cell>
          <cell r="AA210" t="str">
            <v>자료없음</v>
          </cell>
          <cell r="AB210" t="str">
            <v>해당없음</v>
          </cell>
          <cell r="AC210"/>
        </row>
        <row r="211">
          <cell r="A211" t="str">
            <v>67634-00-8</v>
          </cell>
          <cell r="B211" t="str">
            <v>ALLYL AMYL GLYCOLATE</v>
          </cell>
          <cell r="C211" t="str">
            <v>해당없음</v>
          </cell>
          <cell r="D211" t="str">
            <v>해당없음</v>
          </cell>
          <cell r="E211" t="str">
            <v>해당없음</v>
          </cell>
          <cell r="F211" t="str">
            <v>자료없음</v>
          </cell>
          <cell r="G211" t="str">
            <v>자료없음</v>
          </cell>
          <cell r="H211" t="str">
            <v>자료없음</v>
          </cell>
          <cell r="I211" t="str">
            <v>자료없음</v>
          </cell>
          <cell r="J211" t="str">
            <v>자료없음</v>
          </cell>
          <cell r="K211" t="str">
            <v>자료없음</v>
          </cell>
          <cell r="L211" t="str">
            <v>자료없음</v>
          </cell>
          <cell r="M211" t="str">
            <v>해당없음</v>
          </cell>
          <cell r="N211" t="str">
            <v>자료없음</v>
          </cell>
          <cell r="O211" t="str">
            <v>자료없음</v>
          </cell>
          <cell r="P211" t="str">
            <v>자료없음</v>
          </cell>
          <cell r="Q211" t="str">
            <v>자료없음</v>
          </cell>
          <cell r="R211" t="str">
            <v>자료없음</v>
          </cell>
          <cell r="S211" t="str">
            <v>해당없음</v>
          </cell>
          <cell r="T211" t="str">
            <v>LC50 1.19 ㎎/ℓ 96 hr (Estimate)</v>
          </cell>
          <cell r="U211" t="str">
            <v>LC50 9.2 ㎎/ℓ 48 hr (Estimate)</v>
          </cell>
          <cell r="V211" t="str">
            <v>EC50 2.4 ㎎/ℓ 96 hr (Estimate)</v>
          </cell>
          <cell r="W211" t="str">
            <v>log Kow 2.34 (Estimate)</v>
          </cell>
          <cell r="X211" t="str">
            <v>자료없음</v>
          </cell>
          <cell r="Y211" t="str">
            <v>BCF 16.36 (Estimate)</v>
          </cell>
          <cell r="Z211" t="str">
            <v>자료없음</v>
          </cell>
          <cell r="AA211" t="str">
            <v>Koc 115.7 (Estimate)</v>
          </cell>
          <cell r="AB211" t="str">
            <v>해당없음</v>
          </cell>
          <cell r="AC211"/>
        </row>
        <row r="212">
          <cell r="A212" t="str">
            <v>67634-11-1</v>
          </cell>
          <cell r="B212" t="str">
            <v xml:space="preserve"> 2-TERT-BUTYL-4-METHYLCYCLOHEXANOL</v>
          </cell>
          <cell r="C212" t="str">
            <v>해당없음</v>
          </cell>
          <cell r="D212" t="str">
            <v>해당없음</v>
          </cell>
          <cell r="E212" t="str">
            <v>해당없음</v>
          </cell>
          <cell r="F212" t="str">
            <v>자료없음</v>
          </cell>
          <cell r="G212" t="str">
            <v>자료없음</v>
          </cell>
          <cell r="H212" t="str">
            <v>자료없음</v>
          </cell>
          <cell r="I212" t="str">
            <v>자료없음</v>
          </cell>
          <cell r="J212" t="str">
            <v>자료없음</v>
          </cell>
          <cell r="K212" t="str">
            <v>자료없음</v>
          </cell>
          <cell r="L212" t="str">
            <v>자료없음</v>
          </cell>
          <cell r="M212" t="str">
            <v>해당없음</v>
          </cell>
          <cell r="N212" t="str">
            <v>자료없음</v>
          </cell>
          <cell r="O212" t="str">
            <v>자료없음</v>
          </cell>
          <cell r="P212" t="str">
            <v>자료없음</v>
          </cell>
          <cell r="Q212" t="str">
            <v>자료없음</v>
          </cell>
          <cell r="R212" t="str">
            <v>자료없음</v>
          </cell>
          <cell r="S212" t="str">
            <v>해당없음</v>
          </cell>
          <cell r="T212" t="str">
            <v>자료없음</v>
          </cell>
          <cell r="U212" t="str">
            <v>자료없음</v>
          </cell>
          <cell r="V212" t="str">
            <v>자료없음</v>
          </cell>
          <cell r="W212" t="str">
            <v>자료없음</v>
          </cell>
          <cell r="X212" t="str">
            <v>자료없음</v>
          </cell>
          <cell r="Y212" t="str">
            <v>자료없음</v>
          </cell>
          <cell r="Z212" t="str">
            <v>자료없음</v>
          </cell>
          <cell r="AA212" t="str">
            <v>자료없음</v>
          </cell>
          <cell r="AB212" t="str">
            <v>해당없음</v>
          </cell>
          <cell r="AC212"/>
        </row>
        <row r="213">
          <cell r="A213" t="str">
            <v>67634-14-4</v>
          </cell>
          <cell r="B213" t="str">
            <v>3-(O-ETHYLPHENYL)-2,2-DIMETHYLPROPIONALDEHYDE</v>
          </cell>
          <cell r="C213" t="str">
            <v>해당없음</v>
          </cell>
          <cell r="D213" t="str">
            <v>해당없음</v>
          </cell>
          <cell r="E213" t="str">
            <v>해당없음</v>
          </cell>
          <cell r="F213" t="str">
            <v>자료없음</v>
          </cell>
          <cell r="G213" t="str">
            <v>자료없음</v>
          </cell>
          <cell r="H213" t="str">
            <v>자료없음</v>
          </cell>
          <cell r="I213" t="str">
            <v>자료없음</v>
          </cell>
          <cell r="J213" t="str">
            <v>자료없음</v>
          </cell>
          <cell r="K213" t="str">
            <v>자료없음</v>
          </cell>
          <cell r="L213" t="str">
            <v>자료없음</v>
          </cell>
          <cell r="M213" t="str">
            <v>해당없음</v>
          </cell>
          <cell r="N213" t="str">
            <v>자료없음</v>
          </cell>
          <cell r="O213" t="str">
            <v>자료없음</v>
          </cell>
          <cell r="P213" t="str">
            <v>자료없음</v>
          </cell>
          <cell r="Q213" t="str">
            <v>자료없음</v>
          </cell>
          <cell r="R213" t="str">
            <v>자료없음</v>
          </cell>
          <cell r="S213" t="str">
            <v>해당없음</v>
          </cell>
          <cell r="T213" t="str">
            <v>LC50 1.04 ㎎/ℓ 96 hr (ECOSAR Aldehydes [Mono]) (EPISUITE v4.1)</v>
          </cell>
          <cell r="U213" t="str">
            <v>EC50 287.17 ㎎/ℓ 48 hr  (Daphnia magna) (IUCLID)</v>
          </cell>
          <cell r="V213" t="str">
            <v>EC50 1.51 ㎎/ℓ 96 hr (ECOSAR Aldehydes [Mono]) (EPISUITE v4.1)</v>
          </cell>
          <cell r="W213" t="str">
            <v>자료없음</v>
          </cell>
          <cell r="X213" t="str">
            <v>자료없음</v>
          </cell>
          <cell r="Y213" t="str">
            <v>자료없음</v>
          </cell>
          <cell r="Z213" t="str">
            <v>자료없음</v>
          </cell>
          <cell r="AA213" t="str">
            <v>자료없음</v>
          </cell>
          <cell r="AB213" t="str">
            <v>해당없음</v>
          </cell>
          <cell r="AC213"/>
        </row>
        <row r="214">
          <cell r="A214" t="str">
            <v>67634-15-5</v>
          </cell>
          <cell r="B214" t="str">
            <v>FLORALOZONE</v>
          </cell>
          <cell r="C214" t="str">
            <v>해당없음</v>
          </cell>
          <cell r="D214" t="str">
            <v>해당없음</v>
          </cell>
          <cell r="E214" t="str">
            <v>해당없음</v>
          </cell>
          <cell r="F214" t="str">
            <v>자료없음</v>
          </cell>
          <cell r="G214" t="str">
            <v>자료없음</v>
          </cell>
          <cell r="H214" t="str">
            <v>자료없음</v>
          </cell>
          <cell r="I214" t="str">
            <v>자료없음</v>
          </cell>
          <cell r="J214" t="str">
            <v>자료없음</v>
          </cell>
          <cell r="K214" t="str">
            <v>자료없음</v>
          </cell>
          <cell r="L214" t="str">
            <v>자료없음</v>
          </cell>
          <cell r="M214" t="str">
            <v>해당없음</v>
          </cell>
          <cell r="N214" t="str">
            <v>자료없음</v>
          </cell>
          <cell r="O214" t="str">
            <v>자료없음</v>
          </cell>
          <cell r="P214" t="str">
            <v>자료없음</v>
          </cell>
          <cell r="Q214" t="str">
            <v>자료없음</v>
          </cell>
          <cell r="R214" t="str">
            <v>자료없음</v>
          </cell>
          <cell r="S214" t="str">
            <v>해당없음</v>
          </cell>
          <cell r="T214" t="str">
            <v>자료없음</v>
          </cell>
          <cell r="U214" t="str">
            <v>자료없음</v>
          </cell>
          <cell r="V214" t="str">
            <v>자료없음</v>
          </cell>
          <cell r="W214" t="str">
            <v>자료없음</v>
          </cell>
          <cell r="X214" t="str">
            <v>자료없음</v>
          </cell>
          <cell r="Y214" t="str">
            <v>자료없음</v>
          </cell>
          <cell r="Z214" t="str">
            <v>자료없음</v>
          </cell>
          <cell r="AA214" t="str">
            <v>자료없음</v>
          </cell>
          <cell r="AB214" t="str">
            <v>해당없음</v>
          </cell>
        </row>
        <row r="215">
          <cell r="A215" t="str">
            <v>67674-46-8</v>
          </cell>
          <cell r="B215" t="str">
            <v>METHYL PALEMOUSSE</v>
          </cell>
          <cell r="C215" t="str">
            <v>해당없음</v>
          </cell>
          <cell r="D215" t="str">
            <v>해당없음</v>
          </cell>
          <cell r="E215" t="str">
            <v>해당없음</v>
          </cell>
          <cell r="F215" t="str">
            <v>자료없음</v>
          </cell>
          <cell r="G215" t="str">
            <v>자료없음</v>
          </cell>
          <cell r="H215" t="str">
            <v>자료없음</v>
          </cell>
          <cell r="I215" t="str">
            <v>자료없음</v>
          </cell>
          <cell r="J215" t="str">
            <v>자료없음</v>
          </cell>
          <cell r="K215" t="str">
            <v>자료없음</v>
          </cell>
          <cell r="L215" t="str">
            <v>자료없음</v>
          </cell>
          <cell r="M215" t="str">
            <v>해당없음</v>
          </cell>
          <cell r="N215" t="str">
            <v>자료없음</v>
          </cell>
          <cell r="O215" t="str">
            <v>자료없음</v>
          </cell>
          <cell r="P215" t="str">
            <v>자료없음</v>
          </cell>
          <cell r="Q215" t="str">
            <v>자료없음</v>
          </cell>
          <cell r="R215" t="str">
            <v>자료없음</v>
          </cell>
          <cell r="S215" t="str">
            <v>해당없음</v>
          </cell>
          <cell r="T215" t="str">
            <v>자료없음</v>
          </cell>
          <cell r="U215" t="str">
            <v>자료없음</v>
          </cell>
          <cell r="V215" t="str">
            <v>자료없음</v>
          </cell>
          <cell r="W215" t="str">
            <v>자료없음</v>
          </cell>
          <cell r="X215" t="str">
            <v>자료없음</v>
          </cell>
          <cell r="Y215" t="str">
            <v>자료없음</v>
          </cell>
          <cell r="Z215" t="str">
            <v>자료없음</v>
          </cell>
          <cell r="AA215" t="str">
            <v>자료없음</v>
          </cell>
          <cell r="AB215" t="str">
            <v>해당없음</v>
          </cell>
          <cell r="AC215"/>
        </row>
        <row r="216">
          <cell r="A216" t="str">
            <v>67801-20-1</v>
          </cell>
          <cell r="B216" t="str">
            <v>EBANOL</v>
          </cell>
          <cell r="C216" t="str">
            <v>해당없음</v>
          </cell>
          <cell r="D216" t="str">
            <v>해당없음</v>
          </cell>
          <cell r="E216" t="str">
            <v>해당없음</v>
          </cell>
          <cell r="F216" t="str">
            <v>LD50 &gt;1,000 ㎎/㎏ (OECD TG 423, GLP) (Rat) (ECHA)</v>
          </cell>
          <cell r="G216" t="str">
            <v>LD50 &gt;2,000 ㎎/㎏ (OECD TG 402, GLP) (Rat) (ECHA)</v>
          </cell>
          <cell r="H216" t="str">
            <v>자료없음</v>
          </cell>
          <cell r="I216" t="str">
            <v>토끼를 대상으로 피부자극성시험결과, 48시간 내 완전히 회복가능한 약한 자극성을 일으킴 (ECHA)</v>
          </cell>
          <cell r="J216" t="str">
            <v>토끼를 대상으로 눈자극성시험결과, 본 물질의 100% 투여시, 약한 자극을 일으킴(OECD Guideline 405, GLP) (ECHA)</v>
          </cell>
          <cell r="K216" t="str">
            <v>자료없음</v>
          </cell>
          <cell r="L216" t="str">
            <v>마우스를 대상으로 국소림프절시험결과, 피부과민성을 나타내지 않음(OECD Guideline 429, GLP) (ECHA)</v>
          </cell>
          <cell r="M216" t="str">
            <v>해당없음</v>
          </cell>
          <cell r="N216" t="str">
            <v>시험관내 포유류세포유전돌연변이시험결과, 음성(OECD 476, GLP). 시험관내 복귀돌연변이시험결과, 음성(OECD Guideline 471, GLP). 시험관내 염색체이상시험결과, 음성(OECD Guideline 473, GLP). 생체내 자료없음 (ECHA)</v>
          </cell>
          <cell r="O216" t="str">
            <v>랫드를 대상으로 100, 300, 1000 mg/kg bw/day 투여한 생식/발달독성 스크리닝 시험결과, 생식능 및 새끼 성장에대한 NOAEL(P, F1)=1000 mg/kg bw/day(OECD Guideline 421, GLP) (ECHA)</v>
          </cell>
          <cell r="P216" t="str">
            <v>경구: 타액 분비의 증가는 처리 기간 내내 1000 및 500 mg/kg/day로 처리된 성별의 동물에서 명백했음. / 부검에서 처리 관련 거시적 이상은 발견되지 않았음.(랫드 / 수컷/암컷 / OECD TG 423 / GLP) 경피: 부검시 치료 관련 거시적 이상은 발견되지 않았다.(랫드 / 수컷/암컷 / OECD TG 402 / GLP) (ECHA)</v>
          </cell>
          <cell r="Q216" t="str">
            <v>랫드를 대상으로 35, 325 and 1000 mg/kg/day 투여한 28일 반복경구투여시험결과, NOAEL=1000 mg/kg bw/day(OECD Guideline 407, GLP) (ECHA)</v>
          </cell>
          <cell r="R216" t="str">
            <v>22.3 mm²/s (static) (40 °C)(OECD Test Guideline 114, GLP) (ECHA)</v>
          </cell>
          <cell r="S216" t="str">
            <v>해당없음</v>
          </cell>
          <cell r="T216" t="str">
            <v>LC50 2.3 ㎎/ℓ 96 hr Other (OECD Guideline 203, GLP, ECHA)</v>
          </cell>
          <cell r="U216" t="str">
            <v>EC50 1.9 ㎎/ℓ 48 hr Daphnia magna (OECD Guideline 202, GLP, ECHA)</v>
          </cell>
          <cell r="V216" t="str">
            <v>EC50 24 ㎎/ℓ 72 hr Other (ECHA)</v>
          </cell>
          <cell r="W216" t="str">
            <v>자료없음</v>
          </cell>
          <cell r="X216" t="str">
            <v>자료없음</v>
          </cell>
          <cell r="Y216" t="str">
            <v>자료없음</v>
          </cell>
          <cell r="Z216" t="str">
            <v>66 (%), 28 day (ECHA)</v>
          </cell>
          <cell r="AA216" t="str">
            <v>1740 (Estimate)</v>
          </cell>
          <cell r="AB216" t="str">
            <v>해당없음</v>
          </cell>
        </row>
        <row r="217">
          <cell r="A217" t="str">
            <v>6790-58-5</v>
          </cell>
          <cell r="B217" t="str">
            <v>AMBROXANE</v>
          </cell>
          <cell r="C217" t="str">
            <v>해당없음</v>
          </cell>
          <cell r="D217" t="str">
            <v>해당없음</v>
          </cell>
          <cell r="E217" t="str">
            <v>해당없음</v>
          </cell>
          <cell r="F217" t="str">
            <v>자료없음</v>
          </cell>
          <cell r="G217" t="str">
            <v>자료없음</v>
          </cell>
          <cell r="H217" t="str">
            <v>자료없음</v>
          </cell>
          <cell r="I217" t="str">
            <v>자료없음</v>
          </cell>
          <cell r="J217" t="str">
            <v>자료없음</v>
          </cell>
          <cell r="K217" t="str">
            <v>자료없음</v>
          </cell>
          <cell r="L217" t="str">
            <v>자료없음</v>
          </cell>
          <cell r="M217" t="str">
            <v>해당없음</v>
          </cell>
          <cell r="N217" t="str">
            <v>자료없음</v>
          </cell>
          <cell r="O217" t="str">
            <v>자료없음</v>
          </cell>
          <cell r="P217" t="str">
            <v>자료없음</v>
          </cell>
          <cell r="Q217" t="str">
            <v>자료없음</v>
          </cell>
          <cell r="R217" t="str">
            <v>자료없음</v>
          </cell>
          <cell r="S217" t="str">
            <v>해당없음</v>
          </cell>
          <cell r="T217" t="str">
            <v>LC50 0.684 ㎎/ℓ 96 hr (Estimate)</v>
          </cell>
          <cell r="U217" t="str">
            <v>LC50 0.580 ㎎/ℓ 48 hr Daphnia magna (Estimate)</v>
          </cell>
          <cell r="V217" t="str">
            <v>EC50 0.911 ㎎/ℓ 96 hr (Estimate)</v>
          </cell>
          <cell r="W217" t="str">
            <v>자료없음</v>
          </cell>
          <cell r="X217" t="str">
            <v>자료없음</v>
          </cell>
          <cell r="Y217" t="str">
            <v>BCF 638.8 (Estimate)</v>
          </cell>
          <cell r="Z217" t="str">
            <v>자료없음</v>
          </cell>
          <cell r="AA217" t="str">
            <v>Koc 2934</v>
          </cell>
          <cell r="AB217" t="str">
            <v>해당없음</v>
          </cell>
        </row>
        <row r="218">
          <cell r="A218" t="str">
            <v>68039-49-6</v>
          </cell>
          <cell r="B218" t="str">
            <v>LIGUSTRAL(VERGUSTRAL)</v>
          </cell>
          <cell r="C218" t="str">
            <v>해당없음</v>
          </cell>
          <cell r="D218" t="str">
            <v>해당없음</v>
          </cell>
          <cell r="E218" t="str">
            <v>해당없음</v>
          </cell>
          <cell r="F218" t="str">
            <v>자료없음</v>
          </cell>
          <cell r="G218" t="str">
            <v>자료없음</v>
          </cell>
          <cell r="H218" t="str">
            <v>자료없음</v>
          </cell>
          <cell r="I218" t="str">
            <v>자료없음</v>
          </cell>
          <cell r="J218" t="str">
            <v>자료없음</v>
          </cell>
          <cell r="K218" t="str">
            <v>자료없음</v>
          </cell>
          <cell r="L218" t="str">
            <v>자료없음</v>
          </cell>
          <cell r="M218" t="str">
            <v>해당없음</v>
          </cell>
          <cell r="N218" t="str">
            <v>자료없음</v>
          </cell>
          <cell r="O218" t="str">
            <v>자료없음</v>
          </cell>
          <cell r="P218" t="str">
            <v>자료없음</v>
          </cell>
          <cell r="Q218" t="str">
            <v>자료없음</v>
          </cell>
          <cell r="R218" t="str">
            <v>자료없음</v>
          </cell>
          <cell r="S218" t="str">
            <v>해당없음</v>
          </cell>
          <cell r="T218" t="str">
            <v>LC50 2.82 ㎎/ℓ 96 hr (Estimate)</v>
          </cell>
          <cell r="U218" t="str">
            <v>LC50 2.97 ㎎/ℓ 48 hr (Estimate)</v>
          </cell>
          <cell r="V218" t="str">
            <v>EC50 5.5 ㎎/ℓ 96 hr (Estimate)</v>
          </cell>
          <cell r="W218" t="str">
            <v>log Kow 2.85 (Estimate)</v>
          </cell>
          <cell r="X218" t="str">
            <v>자료없음</v>
          </cell>
          <cell r="Y218" t="str">
            <v>BCF 35.47 (Estimate)</v>
          </cell>
          <cell r="Z218" t="str">
            <v>자료없음</v>
          </cell>
          <cell r="AA218" t="str">
            <v>Koc 187.2 (Estimate)</v>
          </cell>
          <cell r="AB218" t="str">
            <v>해당없음</v>
          </cell>
          <cell r="AC218"/>
        </row>
        <row r="219">
          <cell r="A219" t="str">
            <v>68083-58-9</v>
          </cell>
          <cell r="B219" t="str">
            <v>(4-methyl-4-phenylpentan-2-yl) acetate</v>
          </cell>
          <cell r="C219" t="str">
            <v>해당없음</v>
          </cell>
          <cell r="D219" t="str">
            <v>해당없음</v>
          </cell>
          <cell r="E219" t="str">
            <v>해당없음</v>
          </cell>
          <cell r="F219" t="str">
            <v>자료없음</v>
          </cell>
          <cell r="G219" t="str">
            <v>자료없음</v>
          </cell>
          <cell r="H219" t="str">
            <v>자료없음</v>
          </cell>
          <cell r="I219" t="str">
            <v>자료없음</v>
          </cell>
          <cell r="J219" t="str">
            <v>자료없음</v>
          </cell>
          <cell r="K219" t="str">
            <v>자료없음</v>
          </cell>
          <cell r="L219" t="str">
            <v>자료없음</v>
          </cell>
          <cell r="M219" t="str">
            <v>해당없음</v>
          </cell>
          <cell r="N219" t="str">
            <v>자료없음</v>
          </cell>
          <cell r="O219" t="str">
            <v>자료없음</v>
          </cell>
          <cell r="P219" t="str">
            <v>자료없음</v>
          </cell>
          <cell r="Q219" t="str">
            <v>자료없음</v>
          </cell>
          <cell r="R219" t="str">
            <v>자료없음</v>
          </cell>
          <cell r="S219" t="str">
            <v>해당없음</v>
          </cell>
          <cell r="T219" t="str">
            <v>자료없음</v>
          </cell>
          <cell r="U219" t="str">
            <v>자료없음</v>
          </cell>
          <cell r="V219" t="str">
            <v>자료없음</v>
          </cell>
          <cell r="W219" t="str">
            <v>자료없음</v>
          </cell>
          <cell r="X219" t="str">
            <v>자료없음</v>
          </cell>
          <cell r="Y219" t="str">
            <v>자료없음</v>
          </cell>
          <cell r="Z219" t="str">
            <v>자료없음</v>
          </cell>
          <cell r="AA219" t="str">
            <v>자료없음</v>
          </cell>
          <cell r="AB219" t="str">
            <v>해당없음</v>
          </cell>
          <cell r="AC219"/>
        </row>
        <row r="220">
          <cell r="A220" t="str">
            <v>68155-66-8</v>
          </cell>
          <cell r="B220" t="str">
            <v>TIMBERSILK</v>
          </cell>
          <cell r="C220" t="str">
            <v>해당없음</v>
          </cell>
          <cell r="D220" t="str">
            <v>해당없음</v>
          </cell>
          <cell r="E220" t="str">
            <v>해당없음</v>
          </cell>
          <cell r="F220" t="str">
            <v>자료없음</v>
          </cell>
          <cell r="G220" t="str">
            <v>자료없음</v>
          </cell>
          <cell r="H220" t="str">
            <v>자료없음</v>
          </cell>
          <cell r="I220" t="str">
            <v>자료없음</v>
          </cell>
          <cell r="J220" t="str">
            <v>자료없음</v>
          </cell>
          <cell r="K220" t="str">
            <v>자료없음</v>
          </cell>
          <cell r="L220" t="str">
            <v>자료없음</v>
          </cell>
          <cell r="M220" t="str">
            <v>해당없음</v>
          </cell>
          <cell r="N220" t="str">
            <v>자료없음</v>
          </cell>
          <cell r="O220" t="str">
            <v>자료없음</v>
          </cell>
          <cell r="P220" t="str">
            <v>자료없음</v>
          </cell>
          <cell r="Q220" t="str">
            <v>자료없음</v>
          </cell>
          <cell r="R220" t="str">
            <v>자료없음</v>
          </cell>
          <cell r="S220" t="str">
            <v>해당없음</v>
          </cell>
          <cell r="T220" t="str">
            <v>자료없음</v>
          </cell>
          <cell r="U220" t="str">
            <v>자료없음</v>
          </cell>
          <cell r="V220" t="str">
            <v>자료없음</v>
          </cell>
          <cell r="W220" t="str">
            <v>자료없음</v>
          </cell>
          <cell r="X220" t="str">
            <v>자료없음</v>
          </cell>
          <cell r="Y220" t="str">
            <v>자료없음</v>
          </cell>
          <cell r="Z220" t="str">
            <v>자료없음</v>
          </cell>
          <cell r="AA220" t="str">
            <v>자료없음</v>
          </cell>
          <cell r="AB220" t="str">
            <v>해당없음</v>
          </cell>
        </row>
        <row r="221">
          <cell r="A221" t="str">
            <v>68378-13-2</v>
          </cell>
          <cell r="B221" t="str">
            <v>2-METHOXY-3/5-METHYL PYRAZINE</v>
          </cell>
          <cell r="C221" t="str">
            <v>해당없음</v>
          </cell>
          <cell r="D221" t="str">
            <v>해당없음</v>
          </cell>
          <cell r="E221" t="str">
            <v>해당없음</v>
          </cell>
          <cell r="F221" t="str">
            <v>자료없음</v>
          </cell>
          <cell r="G221" t="str">
            <v>자료없음</v>
          </cell>
          <cell r="H221" t="str">
            <v>자료없음</v>
          </cell>
          <cell r="I221" t="str">
            <v>자료없음</v>
          </cell>
          <cell r="J221" t="str">
            <v>자료없음</v>
          </cell>
          <cell r="K221" t="str">
            <v>자료없음</v>
          </cell>
          <cell r="L221" t="str">
            <v>자료없음</v>
          </cell>
          <cell r="M221" t="str">
            <v>해당없음</v>
          </cell>
          <cell r="N221" t="str">
            <v>자료없음</v>
          </cell>
          <cell r="O221" t="str">
            <v>자료없음</v>
          </cell>
          <cell r="P221" t="str">
            <v>자료없음</v>
          </cell>
          <cell r="Q221" t="str">
            <v>자료없음</v>
          </cell>
          <cell r="R221" t="str">
            <v>자료없음</v>
          </cell>
          <cell r="S221" t="str">
            <v>해당없음</v>
          </cell>
          <cell r="T221" t="str">
            <v>자료없음</v>
          </cell>
          <cell r="U221" t="str">
            <v>자료없음</v>
          </cell>
          <cell r="V221" t="str">
            <v>자료없음</v>
          </cell>
          <cell r="W221" t="str">
            <v>자료없음</v>
          </cell>
          <cell r="X221" t="str">
            <v>자료없음</v>
          </cell>
          <cell r="Y221" t="str">
            <v>자료없음</v>
          </cell>
          <cell r="Z221" t="str">
            <v>자료없음</v>
          </cell>
          <cell r="AA221" t="str">
            <v>자료없음</v>
          </cell>
          <cell r="AB221" t="str">
            <v>해당없음</v>
          </cell>
          <cell r="AC221"/>
        </row>
        <row r="222">
          <cell r="A222" t="str">
            <v>68606-83-7</v>
          </cell>
          <cell r="B222" t="str">
            <v>CANANGA OIL JAVA</v>
          </cell>
          <cell r="C222" t="str">
            <v>해당없음</v>
          </cell>
          <cell r="D222" t="str">
            <v>해당없음</v>
          </cell>
          <cell r="E222" t="str">
            <v>해당없음</v>
          </cell>
          <cell r="F222" t="str">
            <v>자료없음</v>
          </cell>
          <cell r="G222" t="str">
            <v>자료없음</v>
          </cell>
          <cell r="H222" t="str">
            <v>자료없음</v>
          </cell>
          <cell r="I222" t="str">
            <v>자료없음</v>
          </cell>
          <cell r="J222" t="str">
            <v>자료없음</v>
          </cell>
          <cell r="K222" t="str">
            <v>자료없음</v>
          </cell>
          <cell r="L222" t="str">
            <v>자료없음</v>
          </cell>
          <cell r="M222" t="str">
            <v>해당없음</v>
          </cell>
          <cell r="N222" t="str">
            <v>자료없음</v>
          </cell>
          <cell r="O222" t="str">
            <v>자료없음</v>
          </cell>
          <cell r="P222" t="str">
            <v>자료없음</v>
          </cell>
          <cell r="Q222" t="str">
            <v>자료없음</v>
          </cell>
          <cell r="R222" t="str">
            <v>자료없음</v>
          </cell>
          <cell r="S222" t="str">
            <v>해당없음</v>
          </cell>
          <cell r="T222" t="str">
            <v>자료없음</v>
          </cell>
          <cell r="U222" t="str">
            <v>자료없음</v>
          </cell>
          <cell r="V222" t="str">
            <v>자료없음</v>
          </cell>
          <cell r="W222" t="str">
            <v>자료없음</v>
          </cell>
          <cell r="X222" t="str">
            <v>자료없음</v>
          </cell>
          <cell r="Y222" t="str">
            <v>자료없음</v>
          </cell>
          <cell r="Z222" t="str">
            <v>자료없음</v>
          </cell>
          <cell r="AA222" t="str">
            <v>자료없음</v>
          </cell>
          <cell r="AB222" t="str">
            <v>해당없음</v>
          </cell>
        </row>
        <row r="223">
          <cell r="A223" t="str">
            <v>68608-32-2</v>
          </cell>
          <cell r="B223" t="str">
            <v>CEDARWOOD TERPENES</v>
          </cell>
          <cell r="C223" t="str">
            <v>해당없음</v>
          </cell>
          <cell r="D223" t="str">
            <v>해당없음</v>
          </cell>
          <cell r="E223" t="str">
            <v>해당없음</v>
          </cell>
          <cell r="F223" t="str">
            <v>자료없음</v>
          </cell>
          <cell r="G223" t="str">
            <v>자료없음</v>
          </cell>
          <cell r="H223" t="str">
            <v>자료없음</v>
          </cell>
          <cell r="I223" t="str">
            <v>자료없음</v>
          </cell>
          <cell r="J223" t="str">
            <v>자료없음</v>
          </cell>
          <cell r="K223" t="str">
            <v>자료없음</v>
          </cell>
          <cell r="L223" t="str">
            <v>자료없음</v>
          </cell>
          <cell r="M223" t="str">
            <v>해당없음</v>
          </cell>
          <cell r="N223" t="str">
            <v>자료없음</v>
          </cell>
          <cell r="O223" t="str">
            <v>자료없음</v>
          </cell>
          <cell r="P223" t="str">
            <v>자료없음</v>
          </cell>
          <cell r="Q223" t="str">
            <v>자료없음</v>
          </cell>
          <cell r="R223" t="str">
            <v>자료없음</v>
          </cell>
          <cell r="S223" t="str">
            <v>해당없음</v>
          </cell>
          <cell r="T223" t="str">
            <v>자료없음</v>
          </cell>
          <cell r="U223" t="str">
            <v>자료없음</v>
          </cell>
          <cell r="V223" t="str">
            <v>자료없음</v>
          </cell>
          <cell r="W223" t="str">
            <v>자료없음</v>
          </cell>
          <cell r="X223" t="str">
            <v>자료없음</v>
          </cell>
          <cell r="Y223" t="str">
            <v>자료없음</v>
          </cell>
          <cell r="Z223" t="str">
            <v>자료없음</v>
          </cell>
          <cell r="AA223" t="str">
            <v>자료없음</v>
          </cell>
          <cell r="AB223" t="str">
            <v>해당없음</v>
          </cell>
          <cell r="AC223"/>
        </row>
        <row r="224">
          <cell r="A224" t="str">
            <v>68647-72-3</v>
          </cell>
          <cell r="B224" t="str">
            <v>ORAGNE TERPENE</v>
          </cell>
          <cell r="C224" t="str">
            <v>해당없음</v>
          </cell>
          <cell r="D224" t="str">
            <v>해당없음</v>
          </cell>
          <cell r="E224" t="str">
            <v>해당없음</v>
          </cell>
          <cell r="F224" t="str">
            <v>LD50 4400 ㎎/㎏ Rat</v>
          </cell>
          <cell r="G224" t="str">
            <v>자료없음</v>
          </cell>
          <cell r="H224" t="str">
            <v>자료없음</v>
          </cell>
          <cell r="I224" t="str">
            <v>자료없음</v>
          </cell>
          <cell r="J224" t="str">
            <v>자료없음</v>
          </cell>
          <cell r="K224" t="str">
            <v>자료없음</v>
          </cell>
          <cell r="L224" t="str">
            <v>자료없음</v>
          </cell>
          <cell r="M224" t="str">
            <v>해당없음</v>
          </cell>
          <cell r="N224" t="str">
            <v>자료없음</v>
          </cell>
          <cell r="O224" t="str">
            <v>자료없음</v>
          </cell>
          <cell r="P224" t="str">
            <v>자료없음</v>
          </cell>
          <cell r="Q224" t="str">
            <v>자료없음</v>
          </cell>
          <cell r="R224" t="str">
            <v>자료없음</v>
          </cell>
          <cell r="S224" t="str">
            <v>해당없음</v>
          </cell>
          <cell r="T224" t="str">
            <v>LC50 0.702 ㎎/ℓ 96 hr Pimephales promelas (e-ChemPortal; HSNO)</v>
          </cell>
          <cell r="U224" t="str">
            <v>EC50 0.421 ㎎/ℓ 48 hr Daphnia magna (e-ChemPortal; HSNO)</v>
          </cell>
          <cell r="V224" t="str">
            <v>자료없음</v>
          </cell>
          <cell r="W224" t="str">
            <v>log Kow 5.3 (e-ChemPortal; HPVIS)</v>
          </cell>
          <cell r="X224" t="str">
            <v>자료없음</v>
          </cell>
          <cell r="Y224" t="str">
            <v>BCF 3.16 (Estimate)</v>
          </cell>
          <cell r="Z224" t="str">
            <v>62.1 (%) 28 day  (Degradation in vivo accumulation potential to be so well Low) (e-ChemPortal; HSNO)</v>
          </cell>
          <cell r="AA224" t="str">
            <v>Koc 1120  (Can be adsorbed in the soil, Estimates)</v>
          </cell>
          <cell r="AB224" t="str">
            <v>해당없음</v>
          </cell>
          <cell r="AC224"/>
        </row>
        <row r="225">
          <cell r="A225" t="str">
            <v>68647-73-4</v>
          </cell>
          <cell r="B225" t="str">
            <v>TEA TREE OIL</v>
          </cell>
          <cell r="C225" t="str">
            <v>해당없음</v>
          </cell>
          <cell r="D225" t="str">
            <v>해당없음</v>
          </cell>
          <cell r="E225" t="str">
            <v>해당없음</v>
          </cell>
          <cell r="F225" t="str">
            <v>LD50 1700 ㎎/㎏ Rat</v>
          </cell>
          <cell r="G225" t="str">
            <v>자료없음</v>
          </cell>
          <cell r="H225" t="str">
            <v>자료없음</v>
          </cell>
          <cell r="I225" t="str">
            <v>자료없음</v>
          </cell>
          <cell r="J225" t="str">
            <v>자료없음</v>
          </cell>
          <cell r="K225" t="str">
            <v>자료없음</v>
          </cell>
          <cell r="L225" t="str">
            <v>자료없음</v>
          </cell>
          <cell r="M225" t="str">
            <v>해당없음</v>
          </cell>
          <cell r="N225" t="str">
            <v>자료없음</v>
          </cell>
          <cell r="O225" t="str">
            <v>자료없음</v>
          </cell>
          <cell r="P225" t="str">
            <v>자료없음</v>
          </cell>
          <cell r="Q225" t="str">
            <v>자료없음</v>
          </cell>
          <cell r="R225" t="str">
            <v>자료없음</v>
          </cell>
          <cell r="S225" t="str">
            <v>해당없음</v>
          </cell>
          <cell r="T225" t="str">
            <v>LC50 11.968 ㎎/ℓ 96 hr (Estimate)</v>
          </cell>
          <cell r="U225" t="str">
            <v>LC50 7.980 ㎎/ℓ 48 hr Daphnia magna (Estimate)</v>
          </cell>
          <cell r="V225" t="str">
            <v>EC50 6.196 ㎎/ℓ 96 hr (Estimate)</v>
          </cell>
          <cell r="W225" t="str">
            <v>log Kow 2.74 (exp, episuite)</v>
          </cell>
          <cell r="X225" t="str">
            <v>자료없음</v>
          </cell>
          <cell r="Y225" t="str">
            <v>BCF 29.84 (Estimate)</v>
          </cell>
          <cell r="Z225" t="str">
            <v>자료없음</v>
          </cell>
          <cell r="AA225" t="str">
            <v>Koc 223.9</v>
          </cell>
          <cell r="AB225" t="str">
            <v>해당없음</v>
          </cell>
          <cell r="AC225"/>
        </row>
        <row r="226">
          <cell r="A226" t="str">
            <v>68901-15-5</v>
          </cell>
          <cell r="B226" t="str">
            <v>CYCLOGALBANATE</v>
          </cell>
          <cell r="C226" t="str">
            <v>해당없음</v>
          </cell>
          <cell r="D226" t="str">
            <v>해당없음</v>
          </cell>
          <cell r="E226" t="str">
            <v>해당없음</v>
          </cell>
          <cell r="F226" t="str">
            <v>자료없음</v>
          </cell>
          <cell r="G226" t="str">
            <v>자료없음</v>
          </cell>
          <cell r="H226" t="str">
            <v>자료없음</v>
          </cell>
          <cell r="I226" t="str">
            <v>자료없음</v>
          </cell>
          <cell r="J226" t="str">
            <v>자료없음</v>
          </cell>
          <cell r="K226" t="str">
            <v>자료없음</v>
          </cell>
          <cell r="L226" t="str">
            <v>자료없음</v>
          </cell>
          <cell r="M226" t="str">
            <v>해당없음</v>
          </cell>
          <cell r="N226" t="str">
            <v>자료없음</v>
          </cell>
          <cell r="O226" t="str">
            <v>자료없음</v>
          </cell>
          <cell r="P226" t="str">
            <v>자료없음</v>
          </cell>
          <cell r="Q226" t="str">
            <v>자료없음</v>
          </cell>
          <cell r="R226" t="str">
            <v>자료없음</v>
          </cell>
          <cell r="S226" t="str">
            <v>해당없음</v>
          </cell>
          <cell r="T226" t="str">
            <v>LC50 1.101 ㎎/ℓ 96 hr (Estimate)</v>
          </cell>
          <cell r="U226" t="str">
            <v>LC50 7.308 ㎎/ℓ 48 hr (Estimate)</v>
          </cell>
          <cell r="V226" t="str">
            <v>EC50 1.849 ㎎/ℓ 96 hr (Estimate)</v>
          </cell>
          <cell r="W226" t="str">
            <v>log Kow 2.72 (Estimate)</v>
          </cell>
          <cell r="X226" t="str">
            <v>자료없음</v>
          </cell>
          <cell r="Y226" t="str">
            <v>BCF 29.08 (Estimate)</v>
          </cell>
          <cell r="Z226" t="str">
            <v>자료없음</v>
          </cell>
          <cell r="AA226" t="str">
            <v>자료없음</v>
          </cell>
          <cell r="AB226" t="str">
            <v>해당없음</v>
          </cell>
        </row>
        <row r="227">
          <cell r="A227" t="str">
            <v>68916-60-9</v>
          </cell>
          <cell r="B227" t="str">
            <v>CYPRIOL ESS OIL</v>
          </cell>
          <cell r="C227" t="str">
            <v>해당없음</v>
          </cell>
          <cell r="D227" t="str">
            <v>해당없음</v>
          </cell>
          <cell r="E227" t="str">
            <v>해당없음</v>
          </cell>
          <cell r="F227" t="str">
            <v>자료없음</v>
          </cell>
          <cell r="G227" t="str">
            <v>자료없음</v>
          </cell>
          <cell r="H227" t="str">
            <v>자료없음</v>
          </cell>
          <cell r="I227" t="str">
            <v>자료없음</v>
          </cell>
          <cell r="J227" t="str">
            <v>자료없음</v>
          </cell>
          <cell r="K227" t="str">
            <v>자료없음</v>
          </cell>
          <cell r="L227" t="str">
            <v>자료없음</v>
          </cell>
          <cell r="M227" t="str">
            <v>해당없음</v>
          </cell>
          <cell r="N227" t="str">
            <v>자료없음</v>
          </cell>
          <cell r="O227" t="str">
            <v>자료없음</v>
          </cell>
          <cell r="P227" t="str">
            <v>자료없음</v>
          </cell>
          <cell r="Q227" t="str">
            <v>자료없음</v>
          </cell>
          <cell r="R227" t="str">
            <v>자료없음</v>
          </cell>
          <cell r="S227" t="str">
            <v>해당없음</v>
          </cell>
          <cell r="T227" t="str">
            <v>자료없음</v>
          </cell>
          <cell r="U227" t="str">
            <v>자료없음</v>
          </cell>
          <cell r="V227" t="str">
            <v>자료없음</v>
          </cell>
          <cell r="W227" t="str">
            <v>자료없음</v>
          </cell>
          <cell r="X227" t="str">
            <v>자료없음</v>
          </cell>
          <cell r="Y227" t="str">
            <v>자료없음</v>
          </cell>
          <cell r="Z227" t="str">
            <v>자료없음</v>
          </cell>
          <cell r="AA227" t="str">
            <v>자료없음</v>
          </cell>
          <cell r="AB227" t="str">
            <v>해당없음</v>
          </cell>
          <cell r="AC227"/>
        </row>
        <row r="228">
          <cell r="A228" t="str">
            <v>68917-18-0</v>
          </cell>
          <cell r="B228" t="str">
            <v>PEPPERMINT OIL</v>
          </cell>
          <cell r="C228" t="str">
            <v>해당없음</v>
          </cell>
          <cell r="D228" t="str">
            <v>해당없음</v>
          </cell>
          <cell r="E228" t="str">
            <v>해당없음</v>
          </cell>
          <cell r="F228" t="str">
            <v>LD50 1,240 ㎎/㎏ (Rat) (ECHA)</v>
          </cell>
          <cell r="G228" t="str">
            <v>LD50 &gt;5  (Rabbit) (ECHA)</v>
          </cell>
          <cell r="H228" t="str">
            <v>자료없음</v>
          </cell>
          <cell r="I228" t="str">
            <v>자료없음</v>
          </cell>
          <cell r="J228" t="str">
            <v>자료없음</v>
          </cell>
          <cell r="K228" t="str">
            <v>자료없음</v>
          </cell>
          <cell r="L228" t="str">
            <v>자료없음</v>
          </cell>
          <cell r="M228" t="str">
            <v>해당없음</v>
          </cell>
          <cell r="N228" t="str">
            <v>자료없음</v>
          </cell>
          <cell r="O228" t="str">
            <v>자료없음</v>
          </cell>
          <cell r="P228" t="str">
            <v>자료없음</v>
          </cell>
          <cell r="Q228" t="str">
            <v>자료없음</v>
          </cell>
          <cell r="R228" t="str">
            <v>자료없음</v>
          </cell>
          <cell r="S228" t="str">
            <v>해당없음</v>
          </cell>
          <cell r="T228" t="str">
            <v>LC50 3.01 ㎎/ℓ 96 hr (ECHA)</v>
          </cell>
          <cell r="U228" t="str">
            <v>EC50 2.43 ㎎/ℓ 48 hr  (Daphnia magna) (ECHA)</v>
          </cell>
          <cell r="V228" t="str">
            <v>EC50 2.63 ㎎/ℓ 96 hr  (Scenedesmus subspicatus) (ECHA)</v>
          </cell>
          <cell r="W228" t="str">
            <v>자료없음</v>
          </cell>
          <cell r="X228" t="str">
            <v>자료없음</v>
          </cell>
          <cell r="Y228" t="str">
            <v>자료없음</v>
          </cell>
          <cell r="Z228" t="str">
            <v>자료없음</v>
          </cell>
          <cell r="AA228" t="str">
            <v>자료없음</v>
          </cell>
          <cell r="AB228" t="str">
            <v>해당없음</v>
          </cell>
          <cell r="AC228"/>
        </row>
        <row r="229">
          <cell r="A229" t="str">
            <v>68990-83-0</v>
          </cell>
          <cell r="B229" t="str">
            <v>CEDAR WOOD OIL TEXAS</v>
          </cell>
          <cell r="C229" t="str">
            <v>해당없음</v>
          </cell>
          <cell r="D229" t="str">
            <v>해당없음</v>
          </cell>
          <cell r="E229" t="str">
            <v>해당없음</v>
          </cell>
          <cell r="F229" t="str">
            <v>자료없음</v>
          </cell>
          <cell r="G229" t="str">
            <v>자료없음</v>
          </cell>
          <cell r="H229" t="str">
            <v>자료없음</v>
          </cell>
          <cell r="I229" t="str">
            <v>자료없음</v>
          </cell>
          <cell r="J229" t="str">
            <v>자료없음</v>
          </cell>
          <cell r="K229" t="str">
            <v>자료없음</v>
          </cell>
          <cell r="L229" t="str">
            <v>자료없음</v>
          </cell>
          <cell r="M229" t="str">
            <v>해당없음</v>
          </cell>
          <cell r="N229" t="str">
            <v>자료없음</v>
          </cell>
          <cell r="O229" t="str">
            <v>자료없음</v>
          </cell>
          <cell r="P229" t="str">
            <v>자료없음</v>
          </cell>
          <cell r="Q229" t="str">
            <v>자료없음</v>
          </cell>
          <cell r="R229" t="str">
            <v>자료없음</v>
          </cell>
          <cell r="S229" t="str">
            <v>해당없음</v>
          </cell>
          <cell r="T229" t="str">
            <v>자료없음</v>
          </cell>
          <cell r="U229" t="str">
            <v>자료없음</v>
          </cell>
          <cell r="V229" t="str">
            <v>자료없음</v>
          </cell>
          <cell r="W229" t="str">
            <v>log Kow 5.74 (est) (Estimate)</v>
          </cell>
          <cell r="X229" t="str">
            <v>자료없음</v>
          </cell>
          <cell r="Y229" t="str">
            <v>BCF 2859 (Estimate)</v>
          </cell>
          <cell r="Z229" t="str">
            <v>자료없음</v>
          </cell>
          <cell r="AA229" t="str">
            <v>Koc 95800  (Estimates)</v>
          </cell>
          <cell r="AB229" t="str">
            <v>해당없음</v>
          </cell>
          <cell r="AC229"/>
        </row>
        <row r="230">
          <cell r="A230" t="str">
            <v>68991-20-8</v>
          </cell>
          <cell r="B230" t="str">
            <v>ARTEMISIA VULGARIS HERB OIL</v>
          </cell>
          <cell r="C230" t="str">
            <v>해당없음</v>
          </cell>
          <cell r="D230" t="str">
            <v>해당없음</v>
          </cell>
          <cell r="E230" t="str">
            <v>해당없음</v>
          </cell>
          <cell r="F230" t="str">
            <v>자료없음</v>
          </cell>
          <cell r="G230" t="str">
            <v>자료없음</v>
          </cell>
          <cell r="H230" t="str">
            <v>자료없음</v>
          </cell>
          <cell r="I230" t="str">
            <v>자료없음</v>
          </cell>
          <cell r="J230" t="str">
            <v>자료없음</v>
          </cell>
          <cell r="K230" t="str">
            <v>자료없음</v>
          </cell>
          <cell r="L230" t="str">
            <v>자료없음</v>
          </cell>
          <cell r="M230" t="str">
            <v>해당없음</v>
          </cell>
          <cell r="N230" t="str">
            <v>자료없음</v>
          </cell>
          <cell r="O230" t="str">
            <v>자료없음</v>
          </cell>
          <cell r="P230" t="str">
            <v>자료없음</v>
          </cell>
          <cell r="Q230" t="str">
            <v>자료없음</v>
          </cell>
          <cell r="R230" t="str">
            <v>자료없음</v>
          </cell>
          <cell r="S230" t="str">
            <v>해당없음</v>
          </cell>
          <cell r="T230" t="str">
            <v>자료없음</v>
          </cell>
          <cell r="U230" t="str">
            <v>자료없음</v>
          </cell>
          <cell r="V230" t="str">
            <v>자료없음</v>
          </cell>
          <cell r="W230" t="str">
            <v>자료없음</v>
          </cell>
          <cell r="X230" t="str">
            <v>자료없음</v>
          </cell>
          <cell r="Y230" t="str">
            <v>자료없음</v>
          </cell>
          <cell r="Z230" t="str">
            <v>자료없음</v>
          </cell>
          <cell r="AA230" t="str">
            <v>자료없음</v>
          </cell>
          <cell r="AB230" t="str">
            <v>해당없음</v>
          </cell>
          <cell r="AC230"/>
        </row>
        <row r="231">
          <cell r="A231" t="str">
            <v>69834-10-2</v>
          </cell>
          <cell r="B231" t="str">
            <v>SANDEL</v>
          </cell>
          <cell r="C231" t="str">
            <v>해당없음</v>
          </cell>
          <cell r="D231" t="str">
            <v>해당없음</v>
          </cell>
          <cell r="E231" t="str">
            <v>해당없음</v>
          </cell>
          <cell r="F231" t="str">
            <v>자료없음</v>
          </cell>
          <cell r="G231" t="str">
            <v>자료없음</v>
          </cell>
          <cell r="H231" t="str">
            <v>자료없음</v>
          </cell>
          <cell r="I231" t="str">
            <v>자료없음</v>
          </cell>
          <cell r="J231" t="str">
            <v>자료없음</v>
          </cell>
          <cell r="K231" t="str">
            <v>자료없음</v>
          </cell>
          <cell r="L231" t="str">
            <v>자료없음</v>
          </cell>
          <cell r="M231" t="str">
            <v>해당없음</v>
          </cell>
          <cell r="N231" t="str">
            <v>자료없음</v>
          </cell>
          <cell r="O231" t="str">
            <v>자료없음</v>
          </cell>
          <cell r="P231" t="str">
            <v>자료없음</v>
          </cell>
          <cell r="Q231" t="str">
            <v>자료없음</v>
          </cell>
          <cell r="R231" t="str">
            <v>자료없음</v>
          </cell>
          <cell r="S231" t="str">
            <v>해당없음</v>
          </cell>
          <cell r="T231" t="str">
            <v>자료없음</v>
          </cell>
          <cell r="U231" t="str">
            <v>자료없음</v>
          </cell>
          <cell r="V231" t="str">
            <v>자료없음</v>
          </cell>
          <cell r="W231" t="str">
            <v>자료없음</v>
          </cell>
          <cell r="X231" t="str">
            <v>자료없음</v>
          </cell>
          <cell r="Y231" t="str">
            <v>자료없음</v>
          </cell>
          <cell r="Z231" t="str">
            <v>자료없음</v>
          </cell>
          <cell r="AA231" t="str">
            <v>자료없음</v>
          </cell>
          <cell r="AB231" t="str">
            <v>해당없음</v>
          </cell>
          <cell r="AC231"/>
        </row>
        <row r="232">
          <cell r="A232" t="str">
            <v>706-14-9</v>
          </cell>
          <cell r="B232" t="str">
            <v>GAMMA-DECALACTONE</v>
          </cell>
          <cell r="C232" t="str">
            <v>해당없음</v>
          </cell>
          <cell r="D232" t="str">
            <v>해당없음</v>
          </cell>
          <cell r="E232" t="str">
            <v>해당없음</v>
          </cell>
          <cell r="F232" t="str">
            <v>자료없음</v>
          </cell>
          <cell r="G232" t="str">
            <v>자료없음</v>
          </cell>
          <cell r="H232" t="str">
            <v>자료없음</v>
          </cell>
          <cell r="I232" t="str">
            <v>자료없음</v>
          </cell>
          <cell r="J232" t="str">
            <v>자료없음</v>
          </cell>
          <cell r="K232" t="str">
            <v>자료없음</v>
          </cell>
          <cell r="L232" t="str">
            <v>자료없음</v>
          </cell>
          <cell r="M232" t="str">
            <v>해당없음</v>
          </cell>
          <cell r="N232" t="str">
            <v>자료없음</v>
          </cell>
          <cell r="O232" t="str">
            <v>자료없음</v>
          </cell>
          <cell r="P232" t="str">
            <v>자료없음</v>
          </cell>
          <cell r="Q232" t="str">
            <v>자료없음</v>
          </cell>
          <cell r="R232" t="str">
            <v>자료없음</v>
          </cell>
          <cell r="S232" t="str">
            <v>해당없음</v>
          </cell>
          <cell r="T232" t="str">
            <v>LC50 10.971 ㎎/ℓ 96 hr (Estimate)</v>
          </cell>
          <cell r="U232" t="str">
            <v>EC50 20.957 ㎎/ℓ 48 hr (Estimate)</v>
          </cell>
          <cell r="V232" t="str">
            <v>EC50 8.404 ㎎/ℓ 96 hr (Estimate)</v>
          </cell>
          <cell r="W232" t="str">
            <v>log Kow 2.57(Degraded rapidly and has a low potential to accumulate in vivo)  (Estimate)</v>
          </cell>
          <cell r="X232" t="str">
            <v>Degraded well and has a low potential to accumulate in vivo</v>
          </cell>
          <cell r="Y232" t="str">
            <v>BCF 28.95 (Estimate)</v>
          </cell>
          <cell r="Z232" t="str">
            <v>0 %, 0 day, (Cut-off value 0.8488; Rapidly biodegradable(BIOWIN 5)) (Estimate)</v>
          </cell>
          <cell r="AA232" t="str">
            <v>Koc 2.364 (estimate)</v>
          </cell>
          <cell r="AB232" t="str">
            <v>해당없음</v>
          </cell>
        </row>
        <row r="233">
          <cell r="A233" t="str">
            <v>70788-30-6</v>
          </cell>
          <cell r="B233" t="str">
            <v>TIMBEROL</v>
          </cell>
          <cell r="C233" t="str">
            <v>해당없음</v>
          </cell>
          <cell r="D233" t="str">
            <v>해당없음</v>
          </cell>
          <cell r="E233" t="str">
            <v>해당없음</v>
          </cell>
          <cell r="F233" t="str">
            <v>자료없음</v>
          </cell>
          <cell r="G233" t="str">
            <v>자료없음</v>
          </cell>
          <cell r="H233" t="str">
            <v>자료없음</v>
          </cell>
          <cell r="I233" t="str">
            <v>자료없음</v>
          </cell>
          <cell r="J233" t="str">
            <v>자료없음</v>
          </cell>
          <cell r="K233" t="str">
            <v>자료없음</v>
          </cell>
          <cell r="L233" t="str">
            <v>자료없음</v>
          </cell>
          <cell r="M233" t="str">
            <v>해당없음</v>
          </cell>
          <cell r="N233" t="str">
            <v>자료없음</v>
          </cell>
          <cell r="O233" t="str">
            <v>자료없음</v>
          </cell>
          <cell r="P233" t="str">
            <v>자료없음</v>
          </cell>
          <cell r="Q233" t="str">
            <v>자료없음</v>
          </cell>
          <cell r="R233" t="str">
            <v>자료없음</v>
          </cell>
          <cell r="S233" t="str">
            <v>해당없음</v>
          </cell>
          <cell r="T233" t="str">
            <v>자료없음</v>
          </cell>
          <cell r="U233" t="str">
            <v>자료없음</v>
          </cell>
          <cell r="V233" t="str">
            <v>자료없음</v>
          </cell>
          <cell r="W233" t="str">
            <v>자료없음</v>
          </cell>
          <cell r="X233" t="str">
            <v>자료없음</v>
          </cell>
          <cell r="Y233" t="str">
            <v>자료없음</v>
          </cell>
          <cell r="Z233" t="str">
            <v>자료없음</v>
          </cell>
          <cell r="AA233" t="str">
            <v>자료없음</v>
          </cell>
          <cell r="AB233" t="str">
            <v>해당없음</v>
          </cell>
        </row>
        <row r="234">
          <cell r="A234" t="str">
            <v>70955-71-4</v>
          </cell>
          <cell r="B234" t="str">
            <v>2-Methoxyphenol reaction products with 2,2-dimethyl-3- methylenebicyclo[2.2.1]heptane, hydrogenated</v>
          </cell>
          <cell r="C234" t="str">
            <v>해당없음</v>
          </cell>
          <cell r="D234" t="str">
            <v>해당없음</v>
          </cell>
          <cell r="E234" t="str">
            <v>해당없음</v>
          </cell>
          <cell r="F234" t="str">
            <v>자료없음</v>
          </cell>
          <cell r="G234" t="str">
            <v>자료없음</v>
          </cell>
          <cell r="H234" t="str">
            <v>자료없음</v>
          </cell>
          <cell r="I234" t="str">
            <v>자료없음</v>
          </cell>
          <cell r="J234" t="str">
            <v>자료없음</v>
          </cell>
          <cell r="K234" t="str">
            <v>자료없음</v>
          </cell>
          <cell r="L234" t="str">
            <v>자료없음</v>
          </cell>
          <cell r="M234" t="str">
            <v>해당없음</v>
          </cell>
          <cell r="N234" t="str">
            <v>자료없음</v>
          </cell>
          <cell r="O234" t="str">
            <v>자료없음</v>
          </cell>
          <cell r="P234" t="str">
            <v>자료없음</v>
          </cell>
          <cell r="Q234" t="str">
            <v>자료없음</v>
          </cell>
          <cell r="R234" t="str">
            <v>자료없음</v>
          </cell>
          <cell r="S234" t="str">
            <v>해당없음</v>
          </cell>
          <cell r="T234" t="str">
            <v>자료없음</v>
          </cell>
          <cell r="U234" t="str">
            <v>자료없음</v>
          </cell>
          <cell r="V234" t="str">
            <v>자료없음</v>
          </cell>
          <cell r="W234" t="str">
            <v>자료없음</v>
          </cell>
          <cell r="X234" t="str">
            <v>자료없음</v>
          </cell>
          <cell r="Y234" t="str">
            <v>자료없음</v>
          </cell>
          <cell r="Z234" t="str">
            <v>자료없음</v>
          </cell>
          <cell r="AA234" t="str">
            <v>자료없음</v>
          </cell>
          <cell r="AB234" t="str">
            <v>해당없음</v>
          </cell>
        </row>
        <row r="235">
          <cell r="A235" t="str">
            <v>71-36-3</v>
          </cell>
          <cell r="B235" t="str">
            <v>BUTYL ALCOHOL</v>
          </cell>
          <cell r="C235" t="str">
            <v>TWA : 20 ppm</v>
          </cell>
          <cell r="D235" t="str">
            <v>해당없음</v>
          </cell>
          <cell r="E235" t="str">
            <v>해당없음</v>
          </cell>
          <cell r="F235" t="str">
            <v>LD50 790 ㎎/㎏ rabbit (SIDS)</v>
          </cell>
          <cell r="G235" t="str">
            <v>LD50 3400 ㎎/㎏ rabbit (HSDB)</v>
          </cell>
          <cell r="H235" t="str">
            <v>Steam LC50 24.25 mg/L/4 hr Rat (HSDB)</v>
          </cell>
          <cell r="I235" t="str">
            <v>토끼에서 피부 자극성 시험 결과 중정도 자극성 (NITE)</v>
          </cell>
          <cell r="J235" t="str">
            <v>토끼실험결과 눈에 심한 손상을 일으킴 (ECHA)</v>
          </cell>
          <cell r="K235" t="str">
            <v>자료없음</v>
          </cell>
          <cell r="L235" t="str">
            <v>자료없음</v>
          </cell>
          <cell r="M235" t="str">
            <v>해당없음</v>
          </cell>
          <cell r="N235" t="str">
            <v>시험관 내 포유류 배양세포를 이용한 유전자돌연변이 시험 결과, 대사활성계의 유무와 관계없이 음성
OECD TG 476, GLP 생체 내 마우스를 대상으로 포유류 적혈구를 이용한 소핵시험 결과, 음성 OECD TG 474, GLP 물질은 자매염색분체 교환 또는 염색체 파손, 소행 형성을 유발하지 않았음 (ECHA, HSDB)</v>
          </cell>
          <cell r="O235" t="str">
            <v>랫드를 대상으로 흡입독성 시험 결과, 몸무게의 변화나 음식 소비에는 변화가 있었으나 생식독성은 없음 read-across CAS No. 123-86-4 OECD TG 416 랫드를 대상으로 경구독성 시험 결과, NOAEL &gt; 500 mg/kg bw/day 랫드를 대상으로 흡입독성 시험 결과, NOAEL 24.7 mg/L air teratogenicity, 10.8 mg/L airmaternal toxicity/fetotoxicity 배양에 앞서 수정란의 난황에 물질을 주입해 독성을 측정한 결과, 눈, 신장, 신경의 손상과 병아리 태아의 기형을 발생시킴 (ECHA, HSDB)</v>
          </cell>
          <cell r="P235" t="str">
            <v>사람에서 흡입 노출에 의해 두통 및 인두에 자극이 나타남. 동물실험에서는 마취 작용 또는 중추신경계 억제가 나타남 표적장기 : 중추신경, 마우스를 대상으로 흡입 노출 시험 결과, 3000 ppm 이상의 물질의 흡입은 폐 수용체의 활성화때문에 호흡율이 감소되게 함  (NLM,HSDB)</v>
          </cell>
          <cell r="Q235" t="str">
            <v>사람에서 현기증이나 두통, 청력 손실이 나타남. 흡입경로 표적장기: 중추신경계, 청각기관 (NITE)</v>
          </cell>
          <cell r="R235" t="str">
            <v>탄소원자가 3-13개인 n-알코올류 (NITE)</v>
          </cell>
          <cell r="S235" t="str">
            <v>해당없음</v>
          </cell>
          <cell r="T235" t="str">
            <v>LC50 1376 ㎎/ℓ 96 hr Pimephales promelas(OECD TG 203, GLP) (ECHA)</v>
          </cell>
          <cell r="U235" t="str">
            <v>EC50 1983 ㎎/ℓ 48 hr Daphnia magna (DIN 38412 Part 11) (ECHA/ECOTOX)</v>
          </cell>
          <cell r="V235" t="str">
            <v>자료없음</v>
          </cell>
          <cell r="W235" t="str">
            <v>log Kow 1 (OECD TG 117) (ECHA)</v>
          </cell>
          <cell r="X235" t="str">
            <v>자료없음</v>
          </cell>
          <cell r="Y235" t="str">
            <v>BCF 3.16 (ECHA)</v>
          </cell>
          <cell r="Z235" t="str">
            <v>92% 20 days  (O2) (ECHA)</v>
          </cell>
          <cell r="AA235" t="str">
            <v>자료없음</v>
          </cell>
          <cell r="AB235" t="str">
            <v>해당없음</v>
          </cell>
        </row>
        <row r="236">
          <cell r="A236" t="str">
            <v>713-95-1</v>
          </cell>
          <cell r="B236" t="str">
            <v>Delta-DODECALACTONE</v>
          </cell>
          <cell r="C236" t="str">
            <v>해당없음</v>
          </cell>
          <cell r="D236" t="str">
            <v>해당없음</v>
          </cell>
          <cell r="E236" t="str">
            <v>해당없음</v>
          </cell>
          <cell r="F236" t="str">
            <v>LD50 5,000 ㎎/㎏ (Rat) (ChemIDPlus)</v>
          </cell>
          <cell r="G236" t="str">
            <v>LD50 5,000 ㎎/㎏  (Rabbit) (ChemIDPlus)</v>
          </cell>
          <cell r="H236" t="str">
            <v>LC50 31 ㎎/ℓ (Rat) (RIFM Database)</v>
          </cell>
          <cell r="I236" t="str">
            <v>자료없음</v>
          </cell>
          <cell r="J236" t="str">
            <v>자료없음</v>
          </cell>
          <cell r="K236" t="str">
            <v>자료없음</v>
          </cell>
          <cell r="L236" t="str">
            <v>자료없음</v>
          </cell>
          <cell r="M236" t="str">
            <v>자료없음</v>
          </cell>
          <cell r="N236" t="str">
            <v>자료없음</v>
          </cell>
          <cell r="O236" t="str">
            <v>자료없음</v>
          </cell>
          <cell r="P236" t="str">
            <v>자료없음</v>
          </cell>
          <cell r="Q236" t="str">
            <v>자료없음</v>
          </cell>
          <cell r="R236" t="str">
            <v>자료없음</v>
          </cell>
          <cell r="S236" t="str">
            <v>해당없음</v>
          </cell>
          <cell r="T236" t="str">
            <v>LC50 3.507 ㎎/ℓ 96 hr (EPISUITE)</v>
          </cell>
          <cell r="U236" t="str">
            <v>LC50 5.903 ㎎/ℓ 48 hr (Estimated) (EPISUITE)</v>
          </cell>
          <cell r="V236" t="str">
            <v>EC50 2.130 ㎎/ℓ 96 hr (Estimated) (EPISUITE)</v>
          </cell>
          <cell r="W236" t="str">
            <v>자료없음</v>
          </cell>
          <cell r="X236" t="str">
            <v>자료없음</v>
          </cell>
          <cell r="Y236" t="str">
            <v>자료없음</v>
          </cell>
          <cell r="Z236" t="str">
            <v>자료없음</v>
          </cell>
          <cell r="AA236" t="str">
            <v>자료없음</v>
          </cell>
          <cell r="AB236" t="str">
            <v>해당없음</v>
          </cell>
          <cell r="AC236"/>
        </row>
        <row r="237">
          <cell r="A237" t="str">
            <v>72089-08-8</v>
          </cell>
          <cell r="B237" t="str">
            <v>3-Cyclopentene-1-butanol,.beta.,2,2,3-tetramethyl-</v>
          </cell>
          <cell r="C237" t="str">
            <v>해당없음</v>
          </cell>
          <cell r="D237" t="str">
            <v>해당없음</v>
          </cell>
          <cell r="E237" t="str">
            <v>해당없음</v>
          </cell>
          <cell r="F237" t="str">
            <v>자료없음</v>
          </cell>
          <cell r="G237" t="str">
            <v>자료없음</v>
          </cell>
          <cell r="H237" t="str">
            <v>자료없음</v>
          </cell>
          <cell r="I237" t="str">
            <v>자료없음</v>
          </cell>
          <cell r="J237" t="str">
            <v>자료없음</v>
          </cell>
          <cell r="K237" t="str">
            <v>자료없음</v>
          </cell>
          <cell r="L237" t="str">
            <v>자료없음</v>
          </cell>
          <cell r="M237" t="str">
            <v>해당없음</v>
          </cell>
          <cell r="N237" t="str">
            <v>자료없음</v>
          </cell>
          <cell r="O237" t="str">
            <v>자료없음</v>
          </cell>
          <cell r="P237" t="str">
            <v>자료없음</v>
          </cell>
          <cell r="Q237" t="str">
            <v>자료없음</v>
          </cell>
          <cell r="R237" t="str">
            <v>자료없음</v>
          </cell>
          <cell r="S237" t="str">
            <v>해당없음</v>
          </cell>
          <cell r="T237" t="str">
            <v>자료없음</v>
          </cell>
          <cell r="U237" t="str">
            <v>자료없음</v>
          </cell>
          <cell r="V237" t="str">
            <v>자료없음</v>
          </cell>
          <cell r="W237" t="str">
            <v>자료없음</v>
          </cell>
          <cell r="X237" t="str">
            <v>자료없음</v>
          </cell>
          <cell r="Y237" t="str">
            <v>자료없음</v>
          </cell>
          <cell r="Z237" t="str">
            <v>자료없음</v>
          </cell>
          <cell r="AA237" t="str">
            <v>자료없음</v>
          </cell>
          <cell r="AB237" t="str">
            <v>해당없음</v>
          </cell>
          <cell r="AC237"/>
        </row>
        <row r="238">
          <cell r="A238" t="str">
            <v>7212-44-4</v>
          </cell>
          <cell r="B238" t="str">
            <v>NEROLIDOL SYNTHETIC</v>
          </cell>
          <cell r="C238" t="str">
            <v>해당없음</v>
          </cell>
          <cell r="D238" t="str">
            <v>해당없음</v>
          </cell>
          <cell r="E238" t="str">
            <v>해당없음</v>
          </cell>
          <cell r="F238" t="str">
            <v>LD50 2610 ㎎/㎏ Rat (ECHA)</v>
          </cell>
          <cell r="G238" t="str">
            <v>LD50 &gt; 5000 ㎎/㎏ Rabbit (NLM)</v>
          </cell>
          <cell r="H238" t="str">
            <v>자료없음</v>
          </cell>
          <cell r="I238" t="str">
            <v>토끼를 이용한 시험에서 모든 동물의 자극이 8일 이내 완전회 회복 (ECHA)</v>
          </cell>
          <cell r="J238" t="str">
            <v>토끼를 시험에서 자극이 8일 이내 완전회 회복 (ECHA)</v>
          </cell>
          <cell r="K238" t="str">
            <v>자료없음</v>
          </cell>
          <cell r="L238" t="str">
            <v>자료없음</v>
          </cell>
          <cell r="M238" t="str">
            <v>해당없음</v>
          </cell>
          <cell r="N238" t="str">
            <v>bacterial reverse mutation assay (in vitro) 음성 (Echa) mouse (척수) micronucleus assay (in vivo) 음성 (Echa) (ECHA)</v>
          </cell>
          <cell r="O238" t="str">
            <v>생식독성 랫드를 이용한 시험 (GLP, OECD Guideline 422 (Combined Repeated Dose Toxicity
Study with the Reproduction / Developmental Toxicity Screening Test) , 시험기간 수컷 37일, 암컷 58일) 에서 부모 동물에 임상 증상, 교미, 임신, 출산에 영향 없음 새끼 동물의 생존률, 임상 증상에 영향 없음 (Echa) 발달독성/최기형성 랫드를 이용한 시험(GLP, OECD Guideline 422 (Combined Repeated Dose Toxicity Study with the Reproduction / Developmental Toxicity
Screening Test) , 시험기간 수컷 37일, 암컷 58일) 에서 부모 동물의 음식 소비, 체중, 병리학적 변이, 간무게 증가 등 일반독성에
따른 새끼 동물의 2차적인 발달 독성 관찰 (Echa) (ECHA)</v>
          </cell>
          <cell r="P238" t="str">
            <v>자료없음</v>
          </cell>
          <cell r="Q238" t="str">
            <v>랫드를 이용한 37 ~ 58일 경구 노출 시험 (GLP, OECD Guideline 422 (Combined Repeated Dose Toxicity Study with the Reproduction / Developmental Toxicity Screening Test)에서 0 1500 4000 12000 ppm (음식에 혼합)의농도로 시험한 결과, NOAEL=4000 ppm (270 ㎎/㎏ bw/d) (ECHA)</v>
          </cell>
          <cell r="R238" t="str">
            <v>40 °C에서 동점도가 20.5mm2/s 이하인 탄화수소</v>
          </cell>
          <cell r="S238" t="str">
            <v>해당없음</v>
          </cell>
          <cell r="T238" t="str">
            <v>LC50 1.43 ㎎/ℓ 96 hr Pimephales promelas (ECHA)</v>
          </cell>
          <cell r="U238" t="str">
            <v>EC50 0.5103 ㎎/ℓ 48 hr Daphnia magna (ECHA)</v>
          </cell>
          <cell r="V238" t="str">
            <v>EC50 2 ㎎/ℓ 72 hr (Desmodesmus subspicatus) (ECHA)</v>
          </cell>
          <cell r="W238" t="str">
            <v>log Kow 4.5 (24°C) (ECHA)</v>
          </cell>
          <cell r="X238" t="str">
            <v>(28 day O2 consumption 70 ~ 80%) (ECHA)</v>
          </cell>
          <cell r="Y238" t="str">
            <v>자료없음</v>
          </cell>
          <cell r="Z238" t="str">
            <v>자료없음</v>
          </cell>
          <cell r="AA238" t="str">
            <v>자료없음</v>
          </cell>
          <cell r="AB238" t="str">
            <v>해당없음</v>
          </cell>
          <cell r="AC238"/>
        </row>
        <row r="239">
          <cell r="A239" t="str">
            <v>72968-50-4</v>
          </cell>
          <cell r="B239" t="str">
            <v>CITRUS AURANTIUM AMARA LEAF/TWIG OIL
(PETITGRAIN)</v>
          </cell>
          <cell r="C239" t="str">
            <v>해당없음</v>
          </cell>
          <cell r="D239" t="str">
            <v>해당없음</v>
          </cell>
          <cell r="E239" t="str">
            <v>해당없음</v>
          </cell>
          <cell r="F239" t="str">
            <v>자료없음</v>
          </cell>
          <cell r="G239" t="str">
            <v>자료없음</v>
          </cell>
          <cell r="H239" t="str">
            <v>자료없음</v>
          </cell>
          <cell r="I239" t="str">
            <v>자료없음</v>
          </cell>
          <cell r="J239" t="str">
            <v>자료없음</v>
          </cell>
          <cell r="K239" t="str">
            <v>자료없음</v>
          </cell>
          <cell r="L239" t="str">
            <v>자료없음</v>
          </cell>
          <cell r="M239" t="str">
            <v>해당없음</v>
          </cell>
          <cell r="N239" t="str">
            <v>자료없음</v>
          </cell>
          <cell r="O239" t="str">
            <v>자료없음</v>
          </cell>
          <cell r="P239" t="str">
            <v>자료없음</v>
          </cell>
          <cell r="Q239" t="str">
            <v>자료없음</v>
          </cell>
          <cell r="R239" t="str">
            <v>자료없음</v>
          </cell>
          <cell r="S239" t="str">
            <v>해당없음</v>
          </cell>
          <cell r="T239" t="str">
            <v>자료없음</v>
          </cell>
          <cell r="U239" t="str">
            <v>자료없음</v>
          </cell>
          <cell r="V239" t="str">
            <v>자료없음</v>
          </cell>
          <cell r="W239" t="str">
            <v>자료없음</v>
          </cell>
          <cell r="X239" t="str">
            <v>자료없음</v>
          </cell>
          <cell r="Y239" t="str">
            <v>자료없음</v>
          </cell>
          <cell r="Z239" t="str">
            <v>자료없음</v>
          </cell>
          <cell r="AA239" t="str">
            <v>자료없음</v>
          </cell>
          <cell r="AB239" t="str">
            <v>해당없음</v>
          </cell>
          <cell r="AC239"/>
        </row>
        <row r="240">
          <cell r="A240" t="str">
            <v>7452-79-1</v>
          </cell>
          <cell r="B240" t="str">
            <v>E2MB</v>
          </cell>
          <cell r="C240" t="str">
            <v>해당없음</v>
          </cell>
          <cell r="D240" t="str">
            <v>해당없음</v>
          </cell>
          <cell r="E240" t="str">
            <v>해당없음</v>
          </cell>
          <cell r="F240" t="str">
            <v>자료없음</v>
          </cell>
          <cell r="G240" t="str">
            <v>자료없음</v>
          </cell>
          <cell r="H240" t="str">
            <v>자료없음</v>
          </cell>
          <cell r="I240" t="str">
            <v>자료없음</v>
          </cell>
          <cell r="J240" t="str">
            <v>자료없음</v>
          </cell>
          <cell r="K240" t="str">
            <v>자료없음</v>
          </cell>
          <cell r="L240" t="str">
            <v>자료없음</v>
          </cell>
          <cell r="M240" t="str">
            <v>해당없음</v>
          </cell>
          <cell r="N240" t="str">
            <v>자료없음</v>
          </cell>
          <cell r="O240" t="str">
            <v>자료없음</v>
          </cell>
          <cell r="P240" t="str">
            <v>자료없음</v>
          </cell>
          <cell r="Q240" t="str">
            <v>자료없음</v>
          </cell>
          <cell r="R240" t="str">
            <v>자료없음</v>
          </cell>
          <cell r="S240" t="str">
            <v>해당없음</v>
          </cell>
          <cell r="T240" t="str">
            <v>LC50 14.303 ㎎/ℓ 96 hr (Estimate)</v>
          </cell>
          <cell r="U240" t="str">
            <v>LC50 59.975 ㎎/ℓ 48 hr (Estimate)</v>
          </cell>
          <cell r="V240" t="str">
            <v>EC50 1.150 ㎎/ℓ 96 hr (Estimate)</v>
          </cell>
          <cell r="W240" t="str">
            <v>log Kow 2.26 (Estimate)</v>
          </cell>
          <cell r="X240" t="str">
            <v>자료없음</v>
          </cell>
          <cell r="Y240" t="str">
            <v>BCF 11.05 (Estimate)</v>
          </cell>
          <cell r="Z240" t="str">
            <v>자료없음</v>
          </cell>
          <cell r="AA240" t="str">
            <v>Koc 36.12 (estimate)</v>
          </cell>
          <cell r="AB240" t="str">
            <v>해당없음</v>
          </cell>
          <cell r="AC240"/>
        </row>
        <row r="241">
          <cell r="A241" t="str">
            <v>75-07-0</v>
          </cell>
          <cell r="B241" t="str">
            <v>ACETALDEHYDE</v>
          </cell>
          <cell r="C241" t="str">
            <v>TWA : 50 ppm, STEL : 150 ppm</v>
          </cell>
          <cell r="D241" t="str">
            <v>해당없음</v>
          </cell>
          <cell r="E241" t="str">
            <v>해당없음</v>
          </cell>
          <cell r="F241" t="str">
            <v>LD50 660 ㎎/㎏ Rat</v>
          </cell>
          <cell r="G241" t="str">
            <v>LD50 3540 ㎎/㎏ Rabbit</v>
          </cell>
          <cell r="H241" t="str">
            <v>LC50 24 ㎎/ℓ 4 hr Rat</v>
          </cell>
          <cell r="I241" t="str">
            <v>토끼를 대상으로 피부자극성/부식성 시험 결과, 자극성 없음 OECD TG 404 (ECHA)</v>
          </cell>
          <cell r="J241" t="str">
            <v>토끼를 이용한 안 자극성 시험 결과 심한 자극성 (ACGIH, HSDB)</v>
          </cell>
          <cell r="K241" t="str">
            <v>자료없음</v>
          </cell>
          <cell r="L241" t="str">
            <v>사람을 대상으로 피부과민성 시험 결과, 홍반이 발견되었으나, 물질의 과민성 잠재력을 평가하기에 불충분(ECHA)</v>
          </cell>
          <cell r="M241" t="str">
            <v>IARC : Group 1
ACGIH : A2
NTP : R
EU CLP : Carc 2</v>
          </cell>
          <cell r="N241" t="str">
            <v>마우스의 정령 모세포를 이용한 소핵시험 음성, 생체내 소핵시험 양성, 생체내 염색체이상시험 양성 시험관 내 세균역돌연변이를 이용한 유전자 돌연변이 시험 결과, 음성 (ECHA)</v>
          </cell>
          <cell r="O241" t="str">
            <v>자료없음</v>
          </cell>
          <cell r="P241" t="str">
            <v>사람에서 기침이나, 비강, 인후, 목에 작열통을 일으킴. 두통, 혼수, 눈, 피부, 호흡기, 목의 자극, 기관지염, 폐수종, 운동 마비, 사망을 일으킴, 전신적으로는 마취 작용 및 의식 혼탁, 기관지염, 폐부종 등을 일으킴</v>
          </cell>
          <cell r="Q241" t="str">
            <v>자료없음</v>
          </cell>
          <cell r="R241" t="str">
            <v>자료없음</v>
          </cell>
          <cell r="S241" t="str">
            <v>해당없음</v>
          </cell>
          <cell r="T241" t="str">
            <v>LC50 30.8 ㎎/ℓ 96 hr Pimephales promelas(OECD Guideline 203)(ECHA)</v>
          </cell>
          <cell r="U241" t="str">
            <v>EC50 48.3 ㎎/ℓ 48 hr Daphnia magna (ECHA)</v>
          </cell>
          <cell r="V241" t="str">
            <v>자료없음</v>
          </cell>
          <cell r="W241" t="str">
            <v>log Kow -0.34 (NITE)</v>
          </cell>
          <cell r="X241" t="str">
            <v>자료없음</v>
          </cell>
          <cell r="Y241" t="str">
            <v>자료없음</v>
          </cell>
          <cell r="Z241" t="str">
            <v>Biodegradability 80 (%) (existing chemical safety inspections data)</v>
          </cell>
          <cell r="AA241" t="str">
            <v>자료없음</v>
          </cell>
          <cell r="AB241" t="str">
            <v>해당없음</v>
          </cell>
        </row>
        <row r="242">
          <cell r="A242" t="str">
            <v>76-22-2</v>
          </cell>
          <cell r="B242" t="str">
            <v>CAMPHOR</v>
          </cell>
          <cell r="C242" t="str">
            <v>CAMPHOR : TWA : 2ppm STEL : 3ppm</v>
          </cell>
          <cell r="D242" t="str">
            <v>해당없음</v>
          </cell>
          <cell r="E242" t="str">
            <v>해당없음</v>
          </cell>
          <cell r="F242" t="str">
            <v>LD50 1,310 ㎎/㎏ (OECD TG 420) (Rat) (ECHA)</v>
          </cell>
          <cell r="G242" t="str">
            <v>LD50 &gt;2,000 ㎎/㎏ (OECD TG402) (Rat ) (ECHA)</v>
          </cell>
          <cell r="H242" t="str">
            <v>Dust LC50 &gt;5 ㎎/ℓ 4 hr (OECD TG 403) (Rat )</v>
          </cell>
          <cell r="I242" t="str">
            <v>노출에 의해 유아에 2도의 화상이 생겼다고 보고됨.</v>
          </cell>
          <cell r="J242" t="str">
            <v>인간의 눈을 자극함</v>
          </cell>
          <cell r="K242" t="str">
            <v>자료없음</v>
          </cell>
          <cell r="L242" t="str">
            <v>인간에서 피부에 만성 폭로에 의해 알레르기 반응이 일어난다고 보고됨.</v>
          </cell>
          <cell r="M242" t="str">
            <v>해당없음</v>
          </cell>
          <cell r="N242" t="str">
            <v>자료없음</v>
          </cell>
          <cell r="O242" t="str">
            <v>임산부에서 유산된 보고가 있음.</v>
          </cell>
          <cell r="P242" t="str">
            <v>자극, 기도 자극성, 경련, 간질, 혼수, 호흡 억제, 두통, 착란, 시력 장애 등의 중추 신경계에 영향. 심하면 사망. (ECHA)</v>
          </cell>
          <cell r="Q242" t="str">
            <v>자료없음</v>
          </cell>
          <cell r="R242" t="str">
            <v>자료없음</v>
          </cell>
          <cell r="S242" t="str">
            <v>해당없음</v>
          </cell>
          <cell r="T242" t="str">
            <v>LC50 35 ㎎/ℓ 96 hr Zebrafish (NITE: HSDB, 2005) LC50 35~50 ㎎/ℓ  96 hr Brachydanio rerio(OECD TG203) (ECHA)</v>
          </cell>
          <cell r="U242" t="str">
            <v>LC50 9.303 ㎎/ℓ  48 hr Other(Water Flea) (estimate) (ECHA)</v>
          </cell>
          <cell r="V242" t="str">
            <v>EC50 6.951 ㎎/ℓ  96 hr Other (estimate) (ECHA)</v>
          </cell>
          <cell r="W242" t="str">
            <v>log Kow 2.36 (NITE: PHYSPROP Database, 2009) log Kow 2.414 (OECD TG 107)</v>
          </cell>
          <cell r="X242" t="str">
            <v>자료없음</v>
          </cell>
          <cell r="Y242" t="str">
            <v>Low Bioaccumulation</v>
          </cell>
          <cell r="Z242" t="str">
            <v>BOD : 94% (NITE: Existing Chemical Substances under the Chemical Substances Control Law, 1994) 77 %  28 day (readily biodegradable, OECD TG 301F, GLP) (ECHA)</v>
          </cell>
          <cell r="AA242" t="str">
            <v>자료없음</v>
          </cell>
          <cell r="AB242" t="str">
            <v>해당없음</v>
          </cell>
          <cell r="AC242"/>
        </row>
        <row r="243">
          <cell r="A243" t="str">
            <v>77-53-2</v>
          </cell>
          <cell r="B243" t="str">
            <v>CEDROL</v>
          </cell>
          <cell r="C243" t="str">
            <v>해당없음</v>
          </cell>
          <cell r="D243" t="str">
            <v>해당없음</v>
          </cell>
          <cell r="E243" t="str">
            <v>해당없음</v>
          </cell>
          <cell r="F243" t="str">
            <v>자료없음</v>
          </cell>
          <cell r="G243" t="str">
            <v>LD50 5,000 ㎎/㎏ (Rabbit) (ChemIDPlus)</v>
          </cell>
          <cell r="H243" t="str">
            <v>자료없음</v>
          </cell>
          <cell r="I243" t="str">
            <v>자료없음</v>
          </cell>
          <cell r="J243" t="str">
            <v>자료없음</v>
          </cell>
          <cell r="K243" t="str">
            <v>자료없음</v>
          </cell>
          <cell r="L243" t="str">
            <v>자료없음</v>
          </cell>
          <cell r="M243" t="str">
            <v>해당없음</v>
          </cell>
          <cell r="N243" t="str">
            <v>자료없음</v>
          </cell>
          <cell r="O243" t="str">
            <v>자료없음</v>
          </cell>
          <cell r="P243" t="str">
            <v>자료없음</v>
          </cell>
          <cell r="Q243" t="str">
            <v>자료없음</v>
          </cell>
          <cell r="R243" t="str">
            <v>자료없음</v>
          </cell>
          <cell r="S243" t="str">
            <v>해당없음</v>
          </cell>
          <cell r="T243" t="str">
            <v>LC50 1.54 ㎎/ℓ 96 hr (Estimate)</v>
          </cell>
          <cell r="U243" t="str">
            <v>LC50 1.225 ㎎/ℓ 48 hr Daphnia magna (Estimate)</v>
          </cell>
          <cell r="V243" t="str">
            <v>EC50 1.596 ㎎/ℓ 96 hr (Estimate)</v>
          </cell>
          <cell r="W243" t="str">
            <v>log Kow 4.330 (ChemIDPlus)</v>
          </cell>
          <cell r="X243" t="str">
            <v>자료없음</v>
          </cell>
          <cell r="Y243" t="str">
            <v>BCF 332 (Estimate)</v>
          </cell>
          <cell r="Z243" t="str">
            <v>자료없음</v>
          </cell>
          <cell r="AA243" t="str">
            <v>Koc 810.4 (Estimates)</v>
          </cell>
          <cell r="AB243" t="str">
            <v>해당없음</v>
          </cell>
          <cell r="AC243"/>
        </row>
        <row r="244">
          <cell r="A244" t="str">
            <v>77-54-3</v>
          </cell>
          <cell r="B244" t="str">
            <v>CEDRYL ACETATE</v>
          </cell>
          <cell r="C244" t="str">
            <v>해당없음</v>
          </cell>
          <cell r="D244" t="str">
            <v>해당없음</v>
          </cell>
          <cell r="E244" t="str">
            <v>해당없음</v>
          </cell>
          <cell r="F244" t="str">
            <v>LD50 44,750 ㎎/㎏ (Rat) (National Library of Medicine, Registry of Toxic Effects of Chemical)</v>
          </cell>
          <cell r="G244" t="str">
            <v>LD50 &gt;5,000 ㎎/㎏  (Rabbit) (National Library of Medicine, Registry of Toxic Effects of Chemical)</v>
          </cell>
          <cell r="H244" t="str">
            <v>자료없음</v>
          </cell>
          <cell r="I244" t="str">
            <v>래빗의 피부 드레이즈 테스트 결과 중자극(500 mg/24H)임</v>
          </cell>
          <cell r="J244" t="str">
            <v>피부 부식성 물질이므로 눈자극성 고려</v>
          </cell>
          <cell r="K244" t="str">
            <v>자료없음</v>
          </cell>
          <cell r="L244" t="str">
            <v>자료없음</v>
          </cell>
          <cell r="M244" t="str">
            <v>해당없음</v>
          </cell>
          <cell r="N244" t="str">
            <v>자료없음</v>
          </cell>
          <cell r="O244" t="str">
            <v>자료없음</v>
          </cell>
          <cell r="P244" t="str">
            <v>RTECS 검색 시, 랫드에 경구 투여한 결과 LD50은 44750mg/kg이며, 일반적으로 침체된 활동, 머리카락에 영향이 있다.</v>
          </cell>
          <cell r="Q244" t="str">
            <v>자료없음</v>
          </cell>
          <cell r="R244" t="str">
            <v>자료없음</v>
          </cell>
          <cell r="S244" t="str">
            <v>해당없음</v>
          </cell>
          <cell r="T244" t="str">
            <v>자료없음</v>
          </cell>
          <cell r="U244" t="str">
            <v>자료없음</v>
          </cell>
          <cell r="V244" t="str">
            <v>자료없음</v>
          </cell>
          <cell r="W244" t="str">
            <v>log Kow 5.33 (Estimate)</v>
          </cell>
          <cell r="X244" t="str">
            <v>자료없음</v>
          </cell>
          <cell r="Y244" t="str">
            <v>BCF 1529 (Possibility of bioaccumulation) (Estimate)</v>
          </cell>
          <cell r="Z244" t="str">
            <v>(Cut-off value 0.1375: non-degradable(BIOWIN 2)) (Estimate)</v>
          </cell>
          <cell r="AA244" t="str">
            <v>Koc 6422 (Can be adsorbed in the soil) (estimate)</v>
          </cell>
          <cell r="AB244" t="str">
            <v>해당없음</v>
          </cell>
          <cell r="AC244"/>
        </row>
        <row r="245">
          <cell r="A245" t="str">
            <v>7775-39-5</v>
          </cell>
          <cell r="B245" t="str">
            <v>STYRALYL ISOBUTYRATE</v>
          </cell>
          <cell r="C245" t="str">
            <v>해당없음</v>
          </cell>
          <cell r="D245" t="str">
            <v>해당없음</v>
          </cell>
          <cell r="E245" t="str">
            <v>해당없음</v>
          </cell>
          <cell r="F245" t="str">
            <v>자료없음</v>
          </cell>
          <cell r="G245" t="str">
            <v>자료없음</v>
          </cell>
          <cell r="H245" t="str">
            <v>자료없음</v>
          </cell>
          <cell r="I245" t="str">
            <v>자료없음</v>
          </cell>
          <cell r="J245" t="str">
            <v>자료없음</v>
          </cell>
          <cell r="K245" t="str">
            <v>자료없음</v>
          </cell>
          <cell r="L245" t="str">
            <v>자료없음</v>
          </cell>
          <cell r="M245" t="str">
            <v>해당없음</v>
          </cell>
          <cell r="N245" t="str">
            <v>자료없음</v>
          </cell>
          <cell r="O245" t="str">
            <v>자료없음</v>
          </cell>
          <cell r="P245" t="str">
            <v>자료없음</v>
          </cell>
          <cell r="Q245" t="str">
            <v>자료없음</v>
          </cell>
          <cell r="R245" t="str">
            <v>자료없음</v>
          </cell>
          <cell r="S245" t="str">
            <v>해당없음</v>
          </cell>
          <cell r="T245" t="str">
            <v>자료없음</v>
          </cell>
          <cell r="U245" t="str">
            <v>자료없음</v>
          </cell>
          <cell r="V245" t="str">
            <v>자료없음</v>
          </cell>
          <cell r="W245" t="str">
            <v>자료없음</v>
          </cell>
          <cell r="X245" t="str">
            <v>자료없음</v>
          </cell>
          <cell r="Y245" t="str">
            <v>자료없음</v>
          </cell>
          <cell r="Z245" t="str">
            <v>자료없음</v>
          </cell>
          <cell r="AA245" t="str">
            <v>자료없음</v>
          </cell>
          <cell r="AB245" t="str">
            <v>해당없음</v>
          </cell>
        </row>
        <row r="246">
          <cell r="A246" t="str">
            <v>7779-50-2</v>
          </cell>
          <cell r="B246" t="str">
            <v>HEXADEC-7-EN-16-OLIDE</v>
          </cell>
          <cell r="C246" t="str">
            <v>해당없음</v>
          </cell>
          <cell r="D246" t="str">
            <v>해당없음</v>
          </cell>
          <cell r="E246" t="str">
            <v>해당없음</v>
          </cell>
          <cell r="F246" t="str">
            <v>자료없음</v>
          </cell>
          <cell r="G246" t="str">
            <v>자료없음</v>
          </cell>
          <cell r="H246" t="str">
            <v>자료없음</v>
          </cell>
          <cell r="I246" t="str">
            <v>자료없음</v>
          </cell>
          <cell r="J246" t="str">
            <v>자료없음</v>
          </cell>
          <cell r="K246" t="str">
            <v>자료없음</v>
          </cell>
          <cell r="L246" t="str">
            <v>자료없음</v>
          </cell>
          <cell r="M246" t="str">
            <v>해당없음</v>
          </cell>
          <cell r="N246" t="str">
            <v>자료없음</v>
          </cell>
          <cell r="O246" t="str">
            <v>자료없음</v>
          </cell>
          <cell r="P246" t="str">
            <v>자료없음</v>
          </cell>
          <cell r="Q246" t="str">
            <v>자료없음</v>
          </cell>
          <cell r="R246" t="str">
            <v>자료없음</v>
          </cell>
          <cell r="S246" t="str">
            <v>해당없음</v>
          </cell>
          <cell r="T246" t="str">
            <v>자료없음</v>
          </cell>
          <cell r="U246" t="str">
            <v>자료없음</v>
          </cell>
          <cell r="V246" t="str">
            <v>자료없음</v>
          </cell>
          <cell r="W246" t="str">
            <v>자료없음</v>
          </cell>
          <cell r="X246" t="str">
            <v>자료없음</v>
          </cell>
          <cell r="Y246" t="str">
            <v>자료없음</v>
          </cell>
          <cell r="Z246" t="str">
            <v>자료없음</v>
          </cell>
          <cell r="AA246" t="str">
            <v>자료없음</v>
          </cell>
          <cell r="AB246" t="str">
            <v>해당없음</v>
          </cell>
          <cell r="AC246"/>
        </row>
        <row r="247">
          <cell r="A247" t="str">
            <v>77-83-8</v>
          </cell>
          <cell r="B247" t="str">
            <v>ALD C16</v>
          </cell>
          <cell r="C247" t="str">
            <v>해당없음</v>
          </cell>
          <cell r="D247" t="str">
            <v>해당없음</v>
          </cell>
          <cell r="E247" t="str">
            <v>해당없음</v>
          </cell>
          <cell r="F247" t="str">
            <v>LD50 5470 ㎎/㎏ Rat</v>
          </cell>
          <cell r="G247" t="str">
            <v>자료없음</v>
          </cell>
          <cell r="H247" t="str">
            <v>자료없음</v>
          </cell>
          <cell r="I247" t="str">
            <v>48시간 사람에게 패치 테스트 결과 자극성 없음</v>
          </cell>
          <cell r="J247" t="str">
            <v>자료없음</v>
          </cell>
          <cell r="K247" t="str">
            <v>자료없음</v>
          </cell>
          <cell r="L247" t="str">
            <v>사람에게 패치 테스트결과 민감화 반응없음</v>
          </cell>
          <cell r="M247" t="str">
            <v>해당없음</v>
          </cell>
          <cell r="N247" t="str">
            <v>미생물(살모넬라) 변이원성 시험관 내 시험 음성, 햄스터 난소세포 양성(통계적으로 유의한 증가이나, 용량관계는 아님)</v>
          </cell>
          <cell r="O247" t="str">
            <v>자료없음</v>
          </cell>
          <cell r="P247" t="str">
            <v>RTECS 검색 시, 랫드에 경구 투여한 결과 LD50은 5470mg/kg이며, 감각기관행동에서는 일반적으로 침체되었다. 또한 머리카락에 영향이 있었음.</v>
          </cell>
          <cell r="Q247" t="str">
            <v>RTECS 검색 시, 랫드에 182g/kg의 농도로 2년 동안 계속적인 경구 투여 하였을 때, 혈청구성에 변화, 아미노기 전달효소의 생화학적인 영향, 무게 감소의 영향을 나타내었다.</v>
          </cell>
          <cell r="R247" t="str">
            <v>자료없음</v>
          </cell>
          <cell r="S247" t="str">
            <v>해당없음</v>
          </cell>
          <cell r="T247" t="str">
            <v>LC50 6.232 ㎎/ℓ 96 hr (Estimate)</v>
          </cell>
          <cell r="U247" t="str">
            <v>LC50 5.599 ㎎/ℓ 48 hr (Estimate)</v>
          </cell>
          <cell r="V247" t="str">
            <v>EC50 5.194 ㎎/ℓ 96 hr (Estimate)</v>
          </cell>
          <cell r="W247" t="str">
            <v>log Kow 3 (NLM)</v>
          </cell>
          <cell r="X247" t="str">
            <v>자료없음</v>
          </cell>
          <cell r="Y247" t="str">
            <v>BCF 44.34 (Estimate)</v>
          </cell>
          <cell r="Z247" t="str">
            <v>(Cut-off value = 0.4203  : non-degradable (BIOWIN 1))(estimate)</v>
          </cell>
          <cell r="AA247" t="str">
            <v>Koc 268.1 (Low potential for soil adsorption) (estimate)</v>
          </cell>
          <cell r="AB247" t="str">
            <v>해당없음</v>
          </cell>
          <cell r="AC247"/>
        </row>
        <row r="248">
          <cell r="A248" t="str">
            <v>7785-26-4</v>
          </cell>
          <cell r="B248" t="str">
            <v>L-ALPHA-PINENE</v>
          </cell>
          <cell r="C248" t="str">
            <v>해당없음</v>
          </cell>
          <cell r="D248" t="str">
            <v>해당없음</v>
          </cell>
          <cell r="E248" t="str">
            <v>해당없음</v>
          </cell>
          <cell r="F248" t="str">
            <v>자료없음</v>
          </cell>
          <cell r="G248" t="str">
            <v>자료없음</v>
          </cell>
          <cell r="H248" t="str">
            <v>자료없음</v>
          </cell>
          <cell r="I248" t="str">
            <v>자료없음</v>
          </cell>
          <cell r="J248" t="str">
            <v>자료없음</v>
          </cell>
          <cell r="K248" t="str">
            <v>자료없음</v>
          </cell>
          <cell r="L248" t="str">
            <v>자료없음</v>
          </cell>
          <cell r="M248" t="str">
            <v>해당없음</v>
          </cell>
          <cell r="N248" t="str">
            <v>자료없음</v>
          </cell>
          <cell r="O248" t="str">
            <v>자료없음</v>
          </cell>
          <cell r="P248" t="str">
            <v>자료없음</v>
          </cell>
          <cell r="Q248" t="str">
            <v>자료없음</v>
          </cell>
          <cell r="R248" t="str">
            <v>동적점도 :2.46 mm²/s ; 점도 : 2.11 mPa s (dynamic)  밀도: 0.858 g/ml (ECHA) C10H16</v>
          </cell>
          <cell r="S248" t="str">
            <v>해당없음</v>
          </cell>
          <cell r="T248" t="str">
            <v>Danio rerio 96hr LC50=0.303 mg/L OECD 203 GLP  (ECHA)</v>
          </cell>
          <cell r="U248" t="str">
            <v>Daphnia magna 48hr EC50=0.475 mg/L OECD 202 GLP (ECHA)</v>
          </cell>
          <cell r="V248" t="str">
            <v>자료없음</v>
          </cell>
          <cell r="W248" t="str">
            <v>log Kow 4.48 at 37 °C (ECHA)</v>
          </cell>
          <cell r="X248" t="str">
            <v>자료없음</v>
          </cell>
          <cell r="Y248" t="str">
            <v>BCF 1248 (ECHA)</v>
          </cell>
          <cell r="Z248" t="str">
            <v>76%, 28 days (read across: β-pinene) (ECHA)</v>
          </cell>
          <cell r="AA248" t="str">
            <v>Koc 7130 (estimate)</v>
          </cell>
          <cell r="AB248" t="str">
            <v>해당없음</v>
          </cell>
          <cell r="AC248"/>
        </row>
        <row r="249">
          <cell r="A249" t="str">
            <v>77-93-0</v>
          </cell>
          <cell r="B249" t="str">
            <v>TRIETHYL CITRATE</v>
          </cell>
          <cell r="C249" t="str">
            <v>해당없음</v>
          </cell>
          <cell r="D249" t="str">
            <v>해당없음</v>
          </cell>
          <cell r="E249" t="str">
            <v>해당없음</v>
          </cell>
          <cell r="F249" t="str">
            <v>LD50 5,900 ㎎/㎏  (Rat) (Corporate Solution From Thomson)</v>
          </cell>
          <cell r="G249" t="str">
            <v>LD50 &gt;5,000 ㎎/㎏  (Rabbit) (Corporate Solution From Thomson Micromedex)</v>
          </cell>
          <cell r="H249" t="str">
            <v>Steam LC50 140.897 ㎎/ℓ 4 hr  (Rat) (Corporate Solution From Thomson Micromedex)</v>
          </cell>
          <cell r="I249" t="str">
            <v>자료없음</v>
          </cell>
          <cell r="J249" t="str">
            <v>눈에 자극성이 있음. (IPCS/ICSC)</v>
          </cell>
          <cell r="K249" t="str">
            <v>자료없음</v>
          </cell>
          <cell r="L249" t="str">
            <v>자료없음</v>
          </cell>
          <cell r="M249" t="str">
            <v>해당없음</v>
          </cell>
          <cell r="N249" t="str">
            <v>자료없음</v>
          </cell>
          <cell r="O249" t="str">
            <v>자료없음</v>
          </cell>
          <cell r="P249" t="str">
            <v>호흡기에 자극성이 있음. (IPCS/ICSC)</v>
          </cell>
          <cell r="Q249" t="str">
            <v>자료없음</v>
          </cell>
          <cell r="R249" t="str">
            <v>자료없음</v>
          </cell>
          <cell r="S249" t="str">
            <v>해당없음</v>
          </cell>
          <cell r="T249" t="str">
            <v>LC50 327.200 ㎎/ℓ 96 hr (Estimate)</v>
          </cell>
          <cell r="U249" t="str">
            <v>LC50 7,262.123 ㎎/ℓ 48 hr (Ecological Structure Activity Relationships (ECOSAR))</v>
          </cell>
          <cell r="V249" t="str">
            <v>EC50 24.496 ㎎/ℓ 96 hr (Estimate)</v>
          </cell>
          <cell r="W249" t="str">
            <v>log Kow 1.1 (IPCS INCHEM)</v>
          </cell>
          <cell r="X249" t="str">
            <v>자료없음</v>
          </cell>
          <cell r="Y249" t="str">
            <v>자료없음</v>
          </cell>
          <cell r="Z249" t="str">
            <v>자료없음</v>
          </cell>
          <cell r="AA249" t="str">
            <v>자료없음</v>
          </cell>
          <cell r="AB249" t="str">
            <v>해당없음</v>
          </cell>
        </row>
        <row r="250">
          <cell r="A250" t="str">
            <v>78-69-3</v>
          </cell>
          <cell r="B250" t="str">
            <v>TETRAHYDROLIANLOOL</v>
          </cell>
          <cell r="C250" t="str">
            <v>해당없음</v>
          </cell>
          <cell r="D250" t="str">
            <v>해당없음</v>
          </cell>
          <cell r="E250" t="str">
            <v>해당없음</v>
          </cell>
          <cell r="F250" t="str">
            <v>LD50 &gt;5,000 ㎎/㎏  (Rat) (National Library of Medicine, Registry of Toxic Effects of Chemical Substances)</v>
          </cell>
          <cell r="G250" t="str">
            <v>LD50 &gt;5,000 ㎎/㎏  (Rabbit) (National Library of Medicine, Registry of Toxic Effects of Chemical Substances)</v>
          </cell>
          <cell r="H250" t="str">
            <v>LC50 1 ㎎/ℓ (Rat) (RIFM Database)</v>
          </cell>
          <cell r="I250" t="str">
            <v>래빗의 드레이즈 테스트 결과 중자극임</v>
          </cell>
          <cell r="J250" t="str">
            <v>피부 부식성이므로 눈 자극성 고려</v>
          </cell>
          <cell r="K250" t="str">
            <v>자료없음</v>
          </cell>
          <cell r="L250" t="str">
            <v>자료없음</v>
          </cell>
          <cell r="M250" t="str">
            <v>해당없음</v>
          </cell>
          <cell r="N250" t="str">
            <v>자료없음</v>
          </cell>
          <cell r="O250" t="str">
            <v>자료없음</v>
          </cell>
          <cell r="P250" t="str">
            <v>자료없음</v>
          </cell>
          <cell r="Q250" t="str">
            <v>자료없음</v>
          </cell>
          <cell r="R250" t="str">
            <v>자료없음</v>
          </cell>
          <cell r="S250" t="str">
            <v>해당없음</v>
          </cell>
          <cell r="T250" t="str">
            <v>LC50 4.741 ㎎/ℓ 96 hr (ECOSAR Class Neutral Organics)</v>
          </cell>
          <cell r="U250" t="str">
            <v>LC50 3.388 ㎎/ℓ 48 hr (Estimate)</v>
          </cell>
          <cell r="V250" t="str">
            <v>EC50 3.226 ㎎/ℓ 96 hr (Estimate)</v>
          </cell>
          <cell r="W250" t="str">
            <v>log Kow 3.60 (Estimate)</v>
          </cell>
          <cell r="X250" t="str">
            <v>자료없음</v>
          </cell>
          <cell r="Y250" t="str">
            <v>BCF 110.7 (Estimate)</v>
          </cell>
          <cell r="Z250" t="str">
            <v>(Cut-off value  0.2764 : non-degradable (BIOWIN 2)) (estimate)</v>
          </cell>
          <cell r="AA250" t="str">
            <v>Koc 319.8 (Low potential for soil adsorption) (estimate)</v>
          </cell>
          <cell r="AB250" t="str">
            <v>해당없음</v>
          </cell>
          <cell r="AC250"/>
        </row>
        <row r="251">
          <cell r="A251" t="str">
            <v>78-70-6</v>
          </cell>
          <cell r="B251" t="str">
            <v>LINALOOL</v>
          </cell>
          <cell r="C251" t="str">
            <v>해당없음</v>
          </cell>
          <cell r="D251" t="str">
            <v>해당없음</v>
          </cell>
          <cell r="E251" t="str">
            <v>해당없음</v>
          </cell>
          <cell r="F251" t="str">
            <v>LD50 3,000 ㎎/㎏ (Rat) (OECD Screening Information)</v>
          </cell>
          <cell r="G251" t="str">
            <v>LD50 ≥2,000 ㎎/㎏  (Rabbit) (OECD Screening Information Data Set)</v>
          </cell>
          <cell r="H251" t="str">
            <v>LC50 3 ㎎/ℓ (Mouse) (RIFM Database)</v>
          </cell>
          <cell r="I251" t="str">
            <v>피부자극성 물질이며 동물실험자료에 근거하여 인체에 약간의 자극성을 띰 (SIDS)</v>
          </cell>
          <cell r="J251" t="str">
            <v>중간이상의 눈 자극성을 일으킴. 충혈, 고통 (SIDS, IPCS)</v>
          </cell>
          <cell r="K251" t="str">
            <v>호흡기 과민성 없다고 보고됨. 기니피기 호흡기과민성 없다고 보고됨. (SIDS, IUCLID)</v>
          </cell>
          <cell r="L251" t="str">
            <v>피부과민성 없다고 보고됨. 기니피기 피부과민성 없다고 보고됨. (SIDS, IUCLID)</v>
          </cell>
          <cell r="M251" t="str">
            <v>해당없음</v>
          </cell>
          <cell r="N251" t="str">
            <v>이 물질은 박테리아시험의 8개 중 7개 시험에서, 그리고 포유류 시험(in vivo, in vitro)에서 두시험 모두 돌연변이가 없었다. 박테리아시험에서 한개의 양성결과는 우연히 생긴결과라고 예측됨. (SIDS)</v>
          </cell>
          <cell r="O251" t="str">
            <v>출생시 감소한 새끼크기와 그 후의 새끼 질병률과 사망률에 근거하여 생식독성과 발달독성의NOAEL은 500mg/kg bw/d 이다. (SIDS)</v>
          </cell>
          <cell r="P251" t="str">
            <v>흡입시 기도를 자극함</v>
          </cell>
          <cell r="Q251" t="str">
            <v>래트 28일간 NOAEL=160mg/kg(3주기준) NOAEL 이상의 용량에서 간과 신장 무게 증가, 두꺼운 간 로브 신장의 창백한 부분과 단지 여성의 간세포의 세포질 조직을 발견하였음. 간에 영향을 줄 수 있다는 보고가 있음. (SIDS, IPCS)</v>
          </cell>
          <cell r="R251" t="str">
            <v>자료없음</v>
          </cell>
          <cell r="S251" t="str">
            <v>해당없음</v>
          </cell>
          <cell r="T251" t="str">
            <v>LC50 22 ㎎/ℓ 96 hr Leuciscus idus (IUCLID)</v>
          </cell>
          <cell r="U251" t="str">
            <v>EC50 20 ㎎/ℓ 48 hr Daphnia magna (OECD Screening Information Data Set, IUCLID)</v>
          </cell>
          <cell r="V251" t="str">
            <v>EC50 88.3 ㎎/ℓ 96 hr Scenedesmus subspicatus (IUCLID)</v>
          </cell>
          <cell r="W251" t="str">
            <v>log Kow 2.97 (ICSC)</v>
          </cell>
          <cell r="X251" t="str">
            <v>BOD5/COD =0.55 ( OECD Screening Information Data Set)</v>
          </cell>
          <cell r="Y251" t="str">
            <v>BCF 39 (HSDB)</v>
          </cell>
          <cell r="Z251" t="str">
            <v>60 ~ 70 (%) 28 day (IUCLID)</v>
          </cell>
          <cell r="AA251" t="str">
            <v>Koc 76 (HSDB)</v>
          </cell>
          <cell r="AB251" t="str">
            <v>해당없음</v>
          </cell>
          <cell r="AC251"/>
        </row>
        <row r="252">
          <cell r="A252" t="str">
            <v>78-83-1</v>
          </cell>
          <cell r="B252" t="str">
            <v>2-METHYLPROPANOL</v>
          </cell>
          <cell r="C252" t="str">
            <v>TWA : 50 ppm</v>
          </cell>
          <cell r="D252" t="str">
            <v>TWA, 50 ppm (152 mg/m3)</v>
          </cell>
          <cell r="E252" t="str">
            <v>해당없음</v>
          </cell>
          <cell r="F252" t="str">
            <v>LD50 &gt;2830 ㎎/㎏ Rat (OECD Guideline 401, EPA OTS 798.1175, GLP)</v>
          </cell>
          <cell r="G252" t="str">
            <v>LD50 &gt;2000 ㎎/㎏ Rabbit (LD50= 2460mg/kg bw, No death, OECD Guideline 402, EPA OTS
798.1100, GLP)</v>
          </cell>
          <cell r="H252" t="str">
            <v>자료없음</v>
          </cell>
          <cell r="I252" t="str">
            <v>토끼를 대상으로 피부 자극성/부식성 실험 결과, 비가역적 자극성 (OECD Guideline 404, EPA OTS 798.4470, GLP)</v>
          </cell>
          <cell r="J252" t="str">
            <v>토끼를 대상으로 눈 자극성시험 결과, 심각한 안구자극. 비가역적 (EPA OTS 798.4500, OECD Guideline 405, GLP)</v>
          </cell>
          <cell r="K252" t="str">
            <v>자료없음</v>
          </cell>
          <cell r="L252" t="str">
            <v>기니피그를 대상으로 피부과민성 시험 결과 민감성을 나타내지 않음 (OECD Guideline 406 (Skin Sensitisation))</v>
          </cell>
          <cell r="M252" t="str">
            <v>해당없음</v>
          </cell>
          <cell r="N252" t="str">
            <v>마우스(암/수)를 대상으로 생체내 포유류 적혈구 소핵 시험 결과, 음성(OECD Guideline 474,GLP)</v>
          </cell>
          <cell r="O252" t="str">
            <v>랫드(암컷)의 발달독성 시험 결과 아무런 영향이 없음, NOAEL : 10 mg/L air (OECD Guideline 414 (Prenatal Developmental Toxicity Study),GLP)</v>
          </cell>
          <cell r="P252" t="str">
            <v>6 시간 노출 중 중. 고 선량에서 마취, 호흡 곤란, 구토 및 눈물 흘림 (CMA (1994)), 랫드 6000 및 3000
ppm으로 노출의 6 시간 중 중추 신경계의 일반화 우울증의 명백한 증거, OECD TG 403과 유사한 GLP 적합 흡입 유해성 시험에
서, 5 마리의 수컷 쥐와 5 마리의 암컷 쥐의 그룹을 정적 조건 (UCC 1993) 하에서 6 시간 동안 공기 중 이소 부탄올 (99.9 % 순
도)의 포화 증기 6000ppm에 노출 후 7 일과 14 일 후 모든 쥐에게서 노출 동안, 동물은 활동저하, 눈물, 마취, 피로감, 비정상적
인 호흡 (짧고 얕은 호흡)과 눈 주위의 모피의 젖음을 보였다. 발작, 마취 및 부정적인 반사(표면 정위 및 발가락 및 꼬리 핀치)는
노출 후 관찰 (ECHA)</v>
          </cell>
          <cell r="Q252" t="str">
            <v>랫드(암/수)를 대상으로 90일 간 반복노출 경구독성 시험 결과 시험 결과 명백한 효과 없음, NOAEL &gt; 1450 mg/kg bw/day (OECD TG 408,GLP)</v>
          </cell>
          <cell r="R252" t="str">
            <v>점도 4 mPa s (dynamic) 20 °C, 분자구조 C4H10O (KOSHA)</v>
          </cell>
          <cell r="S252" t="str">
            <v>해당없음</v>
          </cell>
          <cell r="T252" t="str">
            <v>LC50 1000 ㎎/ℓ 96 hr LC50 1430 ㎎/ℓ 96 hr Pimephales promelas (ECHA)</v>
          </cell>
          <cell r="U252" t="str">
            <v>EC50 1250 ㎎/ℓ 24 hr Daphnia magna (NITE: EHC65, 1987) EC50 1100 ㎎/ℓ 48 hr Daphnia magna (ECHA)</v>
          </cell>
          <cell r="V252" t="str">
            <v>EC50 593 ㎎/ℓ 72 hr Selenastrum capricornutum (ECHA)</v>
          </cell>
          <cell r="W252" t="str">
            <v>log Kow 0.8 (ISCS) log Kow 10 (ECHA)</v>
          </cell>
          <cell r="X252" t="str">
            <v>자료없음</v>
          </cell>
          <cell r="Y252" t="str">
            <v>자료없음</v>
          </cell>
          <cell r="Z252" t="str">
            <v>70%~80% 28day (ECHA)</v>
          </cell>
          <cell r="AA252" t="str">
            <v>log Kow = 0.8 (1)</v>
          </cell>
          <cell r="AB252" t="str">
            <v>해당없음</v>
          </cell>
          <cell r="AC252"/>
        </row>
        <row r="253">
          <cell r="A253" t="str">
            <v>79-09-4</v>
          </cell>
          <cell r="B253" t="str">
            <v>PROPIONIC ACID</v>
          </cell>
          <cell r="C253" t="str">
            <v>TWA : 10 ppm, STEL : 15 ppm</v>
          </cell>
          <cell r="D253" t="str">
            <v>TWA 10 ppm (30 mg/m3)</v>
          </cell>
          <cell r="E253" t="str">
            <v>해당없음</v>
          </cell>
          <cell r="F253" t="str">
            <v>LD50 2600 ㎎/㎏ Rat</v>
          </cell>
          <cell r="G253" t="str">
            <v>LD50 496 ㎎/㎏ rabbit</v>
          </cell>
          <cell r="H253" t="str">
            <v>LC50 19.9 mg/L/4 hr Rat</v>
          </cell>
          <cell r="I253" t="str">
            <v>토끼에서 강한 자극성, 피부 괴사, 부식성이 보고됨.</v>
          </cell>
          <cell r="J253" t="str">
            <v>토끼에서 강한 자극성이 보고됨.</v>
          </cell>
          <cell r="K253" t="str">
            <v>자료없음</v>
          </cell>
          <cell r="L253" t="str">
            <v>자료없음</v>
          </cell>
          <cell r="M253" t="str">
            <v>해당없음</v>
          </cell>
          <cell r="N253" t="str">
            <v>흰쥐 변이원성 우성 치사 시험 및 흰쥐골수 세포 염색체 이상 시험 음성</v>
          </cell>
          <cell r="O253" t="str">
            <v>흰쥐，마우스，기니피그 및 토끼의 임신 기간중 어미동물 및 새끼 동물의 생존에 영향을 주지 않고，태아 이상도 증가하지 않았다고 보고됨.</v>
          </cell>
          <cell r="P253" t="str">
            <v>자료없음</v>
          </cell>
          <cell r="Q253" t="str">
            <v>자료없음</v>
          </cell>
          <cell r="R253" t="str">
            <v>자료없음</v>
          </cell>
          <cell r="S253" t="str">
            <v>해당없음</v>
          </cell>
          <cell r="T253" t="str">
            <v>LC50 51 ㎎/ℓ 96 hr LC50 &gt;10000 ㎎/ℓ  96 hr Leuciscus idus (read-across: CAS No. 4075-81-4, DIN 38412) (ECHA)</v>
          </cell>
          <cell r="U253" t="str">
            <v>EC50 22.7 ㎎/ℓ 48 hr Daphnia magna (NITE: AQUIRE, 2003) EC50 &gt;500 ㎎/ℓ  48 hr Daphniamagna(read-across: CAS No.4075-81-4 , EU Method C.2 ) (ECHA)</v>
          </cell>
          <cell r="V253" t="str">
            <v>EbC50 &gt;500 ㎎/ℓ  72 hr Scenedesmus subspicatus((read-across: CAS No.4075-81-4 ,OECD Guideline 201)) (ECHA)</v>
          </cell>
          <cell r="W253" t="str">
            <v>log Kow 0.33 (NITE: PHYSPROP Database, 2005/HSDB)</v>
          </cell>
          <cell r="X253" t="str">
            <v>자료없음</v>
          </cell>
          <cell r="Y253" t="str">
            <v>BCF 3.2 (HSDB)</v>
          </cell>
          <cell r="Z253" t="str">
            <v>69.1 (%) 5 day 93 %  20 day (readily biodegradable, EU Method C.5) (ECHA)</v>
          </cell>
          <cell r="AA253" t="str">
            <v>자료없음</v>
          </cell>
          <cell r="AB253" t="str">
            <v>해당없음</v>
          </cell>
          <cell r="AC253"/>
        </row>
        <row r="254">
          <cell r="A254" t="str">
            <v>79-77-6</v>
          </cell>
          <cell r="B254" t="str">
            <v>BETA-IONONE</v>
          </cell>
          <cell r="C254" t="str">
            <v>해당없음</v>
          </cell>
          <cell r="D254" t="str">
            <v>해당없음</v>
          </cell>
          <cell r="E254" t="str">
            <v>해당없음</v>
          </cell>
          <cell r="F254" t="str">
            <v>LD50 4590 ㎎/㎏ Rat</v>
          </cell>
          <cell r="G254" t="str">
            <v>자료없음</v>
          </cell>
          <cell r="H254" t="str">
            <v>자료없음</v>
          </cell>
          <cell r="I254" t="str">
            <v>토끼 자극 없음(OECD TG 404, GLP)</v>
          </cell>
          <cell r="J254" t="str">
            <v>토끼 자극없음(OECD TG 405, GLP)</v>
          </cell>
          <cell r="K254" t="str">
            <v>자료없음</v>
          </cell>
          <cell r="L254" t="str">
            <v>과민성 없음 (기니피그); LOAEL=720-801(랫드)</v>
          </cell>
          <cell r="M254" t="str">
            <v>해당없음</v>
          </cell>
          <cell r="N254" t="str">
            <v>in vivo: 유전독성없음.</v>
          </cell>
          <cell r="O254" t="str">
            <v>생식독성 없음</v>
          </cell>
          <cell r="P254" t="str">
            <v>자료없음</v>
          </cell>
          <cell r="Q254" t="str">
            <v>OECD TG408 표적장기: 간, 신장 및 갑상선, NOAEL72-83 mg/Kg bw/day</v>
          </cell>
          <cell r="R254" t="str">
            <v>자료없음</v>
          </cell>
          <cell r="S254" t="str">
            <v>해당없음</v>
          </cell>
          <cell r="T254" t="str">
            <v>LC50 4.6 ㎎/ℓ 96 hr Leuciscus idus (IUCLID)</v>
          </cell>
          <cell r="U254" t="str">
            <v>EC50 1 ㎎/ℓ 48 hr Daphnia magna (IUCLID)</v>
          </cell>
          <cell r="V254" t="str">
            <v>EC50 12.2 ㎎/ℓ 96 hr Selenastrum capricornutum (IUCLID)</v>
          </cell>
          <cell r="W254" t="str">
            <v>log Kow 4 (IUCLID)</v>
          </cell>
          <cell r="X254" t="str">
            <v>자료없음</v>
          </cell>
          <cell r="Y254" t="str">
            <v>BCF 383 (Estimate)</v>
          </cell>
          <cell r="Z254" t="str">
            <v>non-degradable; not degraded and has a high potential to accumulate in vivo (estimate)</v>
          </cell>
          <cell r="AA254" t="str">
            <v>Koc 666.7 (Low potential for soil adsorption) (Estimates)</v>
          </cell>
          <cell r="AB254" t="str">
            <v>해당없음</v>
          </cell>
        </row>
        <row r="255">
          <cell r="A255" t="str">
            <v>79-92-5</v>
          </cell>
          <cell r="B255" t="str">
            <v>CAMPHENE</v>
          </cell>
          <cell r="C255" t="str">
            <v>해당없음</v>
          </cell>
          <cell r="D255" t="str">
            <v>해당없음</v>
          </cell>
          <cell r="E255" t="str">
            <v>해당없음</v>
          </cell>
          <cell r="F255" t="str">
            <v>LD50 &gt;5,000 ㎎/㎏ (Rat) (NLM)</v>
          </cell>
          <cell r="G255" t="str">
            <v>LD50 &gt;2,500 ㎎/㎏  (Rabbit) ( NLM)</v>
          </cell>
          <cell r="H255" t="str">
            <v>dust LC50 8.55 ㎎/L/4 hr Rat</v>
          </cell>
          <cell r="I255" t="str">
            <v>피부에 자극이 없음</v>
          </cell>
          <cell r="J255" t="str">
            <v>자료없음</v>
          </cell>
          <cell r="K255" t="str">
            <v>자료없음</v>
          </cell>
          <cell r="L255" t="str">
            <v>자료없음</v>
          </cell>
          <cell r="M255" t="str">
            <v>해당없음</v>
          </cell>
          <cell r="N255" t="str">
            <v>자료없음</v>
          </cell>
          <cell r="O255" t="str">
            <v>자료없음</v>
          </cell>
          <cell r="P255" t="str">
            <v>자료없음</v>
          </cell>
          <cell r="Q255" t="str">
            <v>자료없음</v>
          </cell>
          <cell r="R255" t="str">
            <v>자료없음</v>
          </cell>
          <cell r="S255" t="str">
            <v>해당없음</v>
          </cell>
          <cell r="T255" t="str">
            <v>LC50 0.72 ㎎/ℓ 96 hr  (Brachydanio rerio) ( IUCLID)</v>
          </cell>
          <cell r="U255" t="str">
            <v>LC50 22 ㎎/ℓ 48 hr  (Daphnia magna) ( ECOTOX)</v>
          </cell>
          <cell r="V255" t="str">
            <v>EC50 214 ㎎/ℓ 96 hr  (Skeletonema costatum) ( ECOTOX)</v>
          </cell>
          <cell r="W255" t="str">
            <v>log Kow 4.22 (HSDB)</v>
          </cell>
          <cell r="X255" t="str">
            <v>자료없음</v>
          </cell>
          <cell r="Y255" t="str">
            <v>BCF 432 ~ 1290 (IUCLID)</v>
          </cell>
          <cell r="Z255" t="str">
            <v>Biodegradability 1 ~ 4 (%) 28 day (IUCLID)</v>
          </cell>
          <cell r="AA255" t="str">
            <v>자료없음</v>
          </cell>
          <cell r="AB255" t="str">
            <v>해당없음</v>
          </cell>
        </row>
        <row r="256">
          <cell r="A256" t="str">
            <v>8000-25-7</v>
          </cell>
          <cell r="B256" t="str">
            <v>ROSMARINUS OFFICINALIS (ROSEMARY) LEAF OIL</v>
          </cell>
          <cell r="C256" t="str">
            <v>해당없음</v>
          </cell>
          <cell r="D256" t="str">
            <v>해당없음</v>
          </cell>
          <cell r="E256" t="str">
            <v>해당없음</v>
          </cell>
          <cell r="F256" t="str">
            <v>LD50 5,000 ㎎/㎏ (Rat) (Corporate Solution From Thomson Micromedex)</v>
          </cell>
          <cell r="G256" t="str">
            <v>LD50 &gt;10,000 ㎎/㎏  (Rabbit) (Corporate Solution From Thomson Micromedex )</v>
          </cell>
          <cell r="H256" t="str">
            <v>자료없음</v>
          </cell>
          <cell r="I256" t="str">
            <v>자료없음</v>
          </cell>
          <cell r="J256" t="str">
            <v>자료없음</v>
          </cell>
          <cell r="K256" t="str">
            <v>자료없음</v>
          </cell>
          <cell r="L256" t="str">
            <v>자료없음</v>
          </cell>
          <cell r="M256" t="str">
            <v>해당없음</v>
          </cell>
          <cell r="N256" t="str">
            <v>자료없음</v>
          </cell>
          <cell r="O256" t="str">
            <v>자료없음</v>
          </cell>
          <cell r="P256" t="str">
            <v>자료없음</v>
          </cell>
          <cell r="Q256" t="str">
            <v>자료없음</v>
          </cell>
          <cell r="R256" t="str">
            <v>자료없음</v>
          </cell>
          <cell r="S256" t="str">
            <v>해당없음</v>
          </cell>
          <cell r="T256" t="str">
            <v>자료없음</v>
          </cell>
          <cell r="U256" t="str">
            <v>자료없음</v>
          </cell>
          <cell r="V256" t="str">
            <v>자료없음</v>
          </cell>
          <cell r="W256" t="str">
            <v>자료없음</v>
          </cell>
          <cell r="X256" t="str">
            <v>자료없음</v>
          </cell>
          <cell r="Y256" t="str">
            <v>자료없음</v>
          </cell>
          <cell r="Z256" t="str">
            <v>자료없음</v>
          </cell>
          <cell r="AA256" t="str">
            <v>자료없음</v>
          </cell>
          <cell r="AB256" t="str">
            <v>해당없음</v>
          </cell>
          <cell r="AC256"/>
        </row>
        <row r="257">
          <cell r="A257" t="str">
            <v>8000-27-9</v>
          </cell>
          <cell r="B257" t="str">
            <v>JUNIPERUS VIRGINIANA OIL</v>
          </cell>
          <cell r="C257" t="str">
            <v>해당없음</v>
          </cell>
          <cell r="D257" t="str">
            <v>해당없음</v>
          </cell>
          <cell r="E257" t="str">
            <v>해당없음</v>
          </cell>
          <cell r="F257" t="str">
            <v>LD50 &gt; 5000 ㎎/㎏ Rat</v>
          </cell>
          <cell r="G257" t="str">
            <v>LD50 &gt; 5000 ㎎/㎏ Rabbit</v>
          </cell>
          <cell r="H257" t="str">
            <v>자료없음</v>
          </cell>
          <cell r="I257" t="str">
            <v>토끼를 이용한 피부 자극성 시험 결과 보통 자극을 일으킴</v>
          </cell>
          <cell r="J257" t="str">
            <v>눈 자극을 일으킴</v>
          </cell>
          <cell r="K257" t="str">
            <v>자료없음</v>
          </cell>
          <cell r="L257" t="str">
            <v>자료없음</v>
          </cell>
          <cell r="M257" t="str">
            <v>해당없음</v>
          </cell>
          <cell r="N257" t="str">
            <v>Genetic Toxicity Studies In-Vivo Assay: Micronucleus/ In-Vitro Study Type: Salmonella Negative</v>
          </cell>
          <cell r="O257" t="str">
            <v>자료없음</v>
          </cell>
          <cell r="P257" t="str">
            <v>자료없음</v>
          </cell>
          <cell r="Q257" t="str">
            <v>자료없음</v>
          </cell>
          <cell r="R257" t="str">
            <v>자료없음</v>
          </cell>
          <cell r="S257" t="str">
            <v>해당없음</v>
          </cell>
          <cell r="T257" t="str">
            <v>LC50 0.046 ㎎/ℓ 96 hr (Estimate)</v>
          </cell>
          <cell r="U257" t="str">
            <v>LC50 0.064 ㎎/ℓ 48 hr (Estimate)</v>
          </cell>
          <cell r="V257" t="str">
            <v>EC50 0.050 ㎎/ℓ 96 hr (Estimate)</v>
          </cell>
          <cell r="W257" t="str">
            <v>log Kow 5.74 (Estimate)</v>
          </cell>
          <cell r="X257" t="str">
            <v>자료없음</v>
          </cell>
          <cell r="Y257" t="str">
            <v>BCF 5273 (Estimate)</v>
          </cell>
          <cell r="Z257" t="str">
            <v>자료없음</v>
          </cell>
          <cell r="AA257" t="str">
            <v>자료없음</v>
          </cell>
          <cell r="AB257" t="str">
            <v>해당없음</v>
          </cell>
          <cell r="AC257"/>
        </row>
        <row r="258">
          <cell r="A258" t="str">
            <v>8000-29-1</v>
          </cell>
          <cell r="B258" t="str">
            <v>Citronella oil</v>
          </cell>
          <cell r="C258" t="str">
            <v>해당없음</v>
          </cell>
          <cell r="D258" t="str">
            <v>해당없음</v>
          </cell>
          <cell r="E258" t="str">
            <v>해당없음</v>
          </cell>
          <cell r="F258" t="str">
            <v>LD50 7,200 ㎎/㎏ (Rat) (National Library of Medicine (NLM))</v>
          </cell>
          <cell r="G258" t="str">
            <v>LD50 4,700 ㎎/㎏  (Rabbit ) (National Library of Medicine (NLM))</v>
          </cell>
          <cell r="H258" t="str">
            <v>자료없음</v>
          </cell>
          <cell r="I258" t="str">
            <v>생쥐를 이용한 피부 자극성 시험 결과 약한 자극을 일으킴</v>
          </cell>
          <cell r="J258" t="str">
            <v>토끼를 이용한 눈 자극성 시험 결과 심한 자극을 일으킴</v>
          </cell>
          <cell r="K258" t="str">
            <v>자료없음</v>
          </cell>
          <cell r="L258" t="str">
            <v>자료없음</v>
          </cell>
          <cell r="M258" t="str">
            <v>해당없음</v>
          </cell>
          <cell r="N258" t="str">
            <v>자료없음</v>
          </cell>
          <cell r="O258" t="str">
            <v>자료없음</v>
          </cell>
          <cell r="P258" t="str">
            <v>단기간 노출에 의해 자극, 호흡곤란, 불규칙 심장박동, 현기증, 폐 울혈, 경련을 일으킴</v>
          </cell>
          <cell r="Q258" t="str">
            <v>자료없음</v>
          </cell>
          <cell r="R258" t="str">
            <v>자료없음</v>
          </cell>
          <cell r="S258" t="str">
            <v>해당없음</v>
          </cell>
          <cell r="T258" t="str">
            <v>LC50 17.3 ㎎/ℓ 96 hr Rainbow trout (ECOTOX)</v>
          </cell>
          <cell r="U258" t="str">
            <v>EC50 26.4 ㎎/ℓ 48 hr Daphnia magna (ECOTOX)</v>
          </cell>
          <cell r="V258" t="str">
            <v>EC50 3.390 ㎎/ℓ 96 hr (Aldehydes / Water Solubility at 25 deg C (mg/L): 38.94) (Estimate)</v>
          </cell>
          <cell r="W258" t="str">
            <v>log Kow 3.53 (Estimate)</v>
          </cell>
          <cell r="X258" t="str">
            <v>자료없음</v>
          </cell>
          <cell r="Y258" t="str">
            <v>BCF 177.5 (Estimate)</v>
          </cell>
          <cell r="Z258" t="str">
            <v>자료없음</v>
          </cell>
          <cell r="AA258" t="str">
            <v>자료없음</v>
          </cell>
          <cell r="AB258" t="str">
            <v>해당없음</v>
          </cell>
          <cell r="AC258"/>
        </row>
        <row r="259">
          <cell r="A259" t="str">
            <v>8000-34-8</v>
          </cell>
          <cell r="B259" t="str">
            <v>CLOVE LEAF OIL</v>
          </cell>
          <cell r="C259" t="str">
            <v>해당없음</v>
          </cell>
          <cell r="D259" t="str">
            <v>해당없음</v>
          </cell>
          <cell r="E259" t="str">
            <v>해당없음</v>
          </cell>
          <cell r="F259" t="str">
            <v>LD50 1370 ㎎/㎏ Rat</v>
          </cell>
          <cell r="G259" t="str">
            <v>LD50 1200 ㎎/㎏ rabbit</v>
          </cell>
          <cell r="H259" t="str">
            <v>자료없음</v>
          </cell>
          <cell r="I259" t="str">
            <v>토끼를 이용한 시험결과 심한 피부자극을 일으킴(RTECS), 뉴질랜드 (6.3A)</v>
          </cell>
          <cell r="J259" t="str">
            <v>단기간 노출시 눈에 자극을 일으킴</v>
          </cell>
          <cell r="K259" t="str">
            <v>자료없음</v>
          </cell>
          <cell r="L259" t="str">
            <v>자료없음</v>
          </cell>
          <cell r="M259" t="str">
            <v>해당없음</v>
          </cell>
          <cell r="N259" t="str">
            <v>GENE-TOX Evaluation A (pre-1980): Negative</v>
          </cell>
          <cell r="O259" t="str">
            <v>자료없음</v>
          </cell>
          <cell r="P259" t="str">
            <v>호흡기계 자극을 일으킴, 현기증, 폐 울혈, 경련을 일으킴</v>
          </cell>
          <cell r="Q259" t="str">
            <v>자료없음</v>
          </cell>
          <cell r="R259" t="str">
            <v>자료없음</v>
          </cell>
          <cell r="S259" t="str">
            <v>해당없음</v>
          </cell>
          <cell r="T259" t="str">
            <v>LC50 8.565 ㎎/ℓ 96 hr (Estimate)</v>
          </cell>
          <cell r="U259" t="str">
            <v>LC50 4.444 ㎎/ℓ 48 hr (Estimate)</v>
          </cell>
          <cell r="V259" t="str">
            <v>EC50 18.442 ㎎/ℓ 96 hr (Estimate)</v>
          </cell>
          <cell r="W259" t="str">
            <v>log Kow 2.73 (Estimate)</v>
          </cell>
          <cell r="X259" t="str">
            <v>자료없음</v>
          </cell>
          <cell r="Y259" t="str">
            <v>BCF 11.17 (Estimate)</v>
          </cell>
          <cell r="Z259" t="str">
            <v>자료없음</v>
          </cell>
          <cell r="AA259" t="str">
            <v>자료없음</v>
          </cell>
          <cell r="AB259" t="str">
            <v>해당없음</v>
          </cell>
        </row>
        <row r="260">
          <cell r="A260" t="str">
            <v>8000-41-7</v>
          </cell>
          <cell r="B260" t="str">
            <v>TERPINEOL</v>
          </cell>
          <cell r="C260" t="str">
            <v>해당없음</v>
          </cell>
          <cell r="D260" t="str">
            <v>해당없음</v>
          </cell>
          <cell r="E260" t="str">
            <v>해당없음</v>
          </cell>
          <cell r="F260" t="str">
            <v>LD50 4300 ㎎/㎏ rabbit (IUCLID)</v>
          </cell>
          <cell r="G260" t="str">
            <v>LD50 &gt; 3000 ㎎/㎏ Rabbit (IUCLID)</v>
          </cell>
          <cell r="H260" t="str">
            <v>자료없음</v>
          </cell>
          <cell r="I260" t="str">
            <v>토끼를 이용한 피부자극성 시험결과 중자극을 일으킴 (IUCLID)</v>
          </cell>
          <cell r="J260" t="str">
            <v>토끼를 이용한 자극성 시험 결과 중자극을 일으킴 (IUCLID)</v>
          </cell>
          <cell r="K260" t="str">
            <v>자료없음</v>
          </cell>
          <cell r="L260" t="str">
            <v>피부 과민성 없음 (IUCLID)</v>
          </cell>
          <cell r="M260" t="str">
            <v>해당없음</v>
          </cell>
          <cell r="N260" t="str">
            <v>자료없음</v>
          </cell>
          <cell r="O260" t="str">
            <v>자료없음</v>
          </cell>
          <cell r="P260" t="str">
            <v>자료없음</v>
          </cell>
          <cell r="Q260" t="str">
            <v>자료없음</v>
          </cell>
          <cell r="R260" t="str">
            <v>자료없음</v>
          </cell>
          <cell r="S260" t="str">
            <v>해당없음</v>
          </cell>
          <cell r="T260" t="str">
            <v>자료없음</v>
          </cell>
          <cell r="U260" t="str">
            <v>자료없음</v>
          </cell>
          <cell r="V260" t="str">
            <v>EC50 5.069 ㎎/ℓ 96 hr (Estimate)</v>
          </cell>
          <cell r="W260" t="str">
            <v>자료없음</v>
          </cell>
          <cell r="X260" t="str">
            <v>자료없음</v>
          </cell>
          <cell r="Y260" t="str">
            <v>자료없음</v>
          </cell>
          <cell r="Z260" t="str">
            <v>자료없음</v>
          </cell>
          <cell r="AA260" t="str">
            <v>자료없음</v>
          </cell>
          <cell r="AB260" t="str">
            <v>해당없음</v>
          </cell>
        </row>
        <row r="261">
          <cell r="A261" t="str">
            <v>8000-46-2</v>
          </cell>
          <cell r="B261" t="str">
            <v>PELARGONIUM GRACEOLENS FLOWER OIL</v>
          </cell>
          <cell r="C261" t="str">
            <v>해당없음</v>
          </cell>
          <cell r="D261" t="str">
            <v>해당없음</v>
          </cell>
          <cell r="E261" t="str">
            <v>해당없음</v>
          </cell>
          <cell r="F261" t="str">
            <v>자료없음</v>
          </cell>
          <cell r="G261" t="str">
            <v>자료없음</v>
          </cell>
          <cell r="H261" t="str">
            <v>자료없음</v>
          </cell>
          <cell r="I261" t="str">
            <v>피부에 경미한 자극을 일으킴</v>
          </cell>
          <cell r="J261" t="str">
            <v>눈에 자극을 일으킴</v>
          </cell>
          <cell r="K261" t="str">
            <v>자료없음</v>
          </cell>
          <cell r="L261" t="str">
            <v>자료없음</v>
          </cell>
          <cell r="M261" t="str">
            <v>해당없음</v>
          </cell>
          <cell r="N261" t="str">
            <v>자료없음</v>
          </cell>
          <cell r="O261" t="str">
            <v>자료없음</v>
          </cell>
          <cell r="P261" t="str">
            <v>자료없음</v>
          </cell>
          <cell r="Q261" t="str">
            <v>자료없음</v>
          </cell>
          <cell r="R261" t="str">
            <v>자료없음</v>
          </cell>
          <cell r="S261" t="str">
            <v>해당없음</v>
          </cell>
          <cell r="T261" t="str">
            <v>LC50 0.061 ㎎/ℓ 96 hr (Methacrylates / Water Solubility at 25 deg C ( ㎎/ℓ) 0.3194) (Ecological Structure Activity Relationships (ECOSAR), Quantitative Structure Activity Relation (QSAR))</v>
          </cell>
          <cell r="U261" t="str">
            <v>자료없음</v>
          </cell>
          <cell r="V261" t="str">
            <v>자료없음</v>
          </cell>
          <cell r="W261" t="str">
            <v>log Kow 5.79 (Estimate)</v>
          </cell>
          <cell r="X261" t="str">
            <v>자료없음</v>
          </cell>
          <cell r="Y261" t="str">
            <v>자료없음</v>
          </cell>
          <cell r="Z261" t="str">
            <v>자료없음</v>
          </cell>
          <cell r="AA261" t="str">
            <v>자료없음</v>
          </cell>
          <cell r="AB261" t="str">
            <v>해당없음</v>
          </cell>
          <cell r="AC261"/>
        </row>
        <row r="262">
          <cell r="A262" t="str">
            <v>8000-48-4</v>
          </cell>
          <cell r="B262" t="str">
            <v>EUCALYPTUS GLOBULUS LEAF OIL</v>
          </cell>
          <cell r="C262" t="str">
            <v>해당없음</v>
          </cell>
          <cell r="D262" t="str">
            <v>해당없음</v>
          </cell>
          <cell r="E262" t="str">
            <v>해당없음</v>
          </cell>
          <cell r="F262" t="str">
            <v>LD50 2,480 ㎎/㎏ (Rat) (National Library of Medicine (NLM))</v>
          </cell>
          <cell r="G262" t="str">
            <v>LD50 2,480 ㎎/㎏  (Rabbit) (National Library of Medicine (NLM))</v>
          </cell>
          <cell r="H262" t="str">
            <v>자료없음</v>
          </cell>
          <cell r="I262" t="str">
            <v>토끼를 이용한 피부 자극성 시험 결과 중정도의 자극을 일으킴 (TOMES; RTECS)</v>
          </cell>
          <cell r="J262" t="str">
            <v>눈에 자극을 일으킬 수 있음 (ICSC)</v>
          </cell>
          <cell r="K262" t="str">
            <v>자료없음</v>
          </cell>
          <cell r="L262" t="str">
            <v>자료없음</v>
          </cell>
          <cell r="M262" t="str">
            <v>해당없음</v>
          </cell>
          <cell r="N262" t="str">
            <v>자료없음</v>
          </cell>
          <cell r="O262" t="str">
            <v>자료없음</v>
          </cell>
          <cell r="P262" t="str">
            <v>자료없음</v>
          </cell>
          <cell r="Q262" t="str">
            <v>자료없음</v>
          </cell>
          <cell r="R262" t="str">
            <v>자료없음</v>
          </cell>
          <cell r="S262" t="str">
            <v>해당없음</v>
          </cell>
          <cell r="T262" t="str">
            <v>LC50 9.909 ㎎/ℓ 96 hr (Estimate)</v>
          </cell>
          <cell r="U262" t="str">
            <v>LC50 11.480 ㎎/ℓ 48 hr (Estimate)</v>
          </cell>
          <cell r="V262" t="str">
            <v>EC50 7.659 ㎎/ℓ 96 hr (Estimate)</v>
          </cell>
          <cell r="W262" t="str">
            <v>log Kow 3.13 (Estimate)</v>
          </cell>
          <cell r="X262" t="str">
            <v>자료없음</v>
          </cell>
          <cell r="Y262" t="str">
            <v>자료없음</v>
          </cell>
          <cell r="Z262" t="str">
            <v>자료없음</v>
          </cell>
          <cell r="AA262" t="str">
            <v>자료없음</v>
          </cell>
          <cell r="AB262" t="str">
            <v>해당없음</v>
          </cell>
          <cell r="AC262"/>
        </row>
        <row r="263">
          <cell r="A263" t="str">
            <v>8001-21-6</v>
          </cell>
          <cell r="B263" t="str">
            <v>HELIANTHUS ANNUUS (SUNFLOWER) SEED OIL</v>
          </cell>
          <cell r="C263" t="str">
            <v>해당없음</v>
          </cell>
          <cell r="D263" t="str">
            <v>해당없음</v>
          </cell>
          <cell r="E263" t="str">
            <v>해당없음</v>
          </cell>
          <cell r="F263" t="str">
            <v>자료없음</v>
          </cell>
          <cell r="G263" t="str">
            <v>자료없음</v>
          </cell>
          <cell r="H263" t="str">
            <v>자료없음</v>
          </cell>
          <cell r="I263" t="str">
            <v>자료없음</v>
          </cell>
          <cell r="J263" t="str">
            <v>자료없음</v>
          </cell>
          <cell r="K263" t="str">
            <v>자료없음</v>
          </cell>
          <cell r="L263" t="str">
            <v>자료없음</v>
          </cell>
          <cell r="M263" t="str">
            <v>해당없음</v>
          </cell>
          <cell r="N263" t="str">
            <v>자료없음</v>
          </cell>
          <cell r="O263" t="str">
            <v>자료없음</v>
          </cell>
          <cell r="P263" t="str">
            <v>자료없음</v>
          </cell>
          <cell r="Q263" t="str">
            <v>자료없음</v>
          </cell>
          <cell r="R263" t="str">
            <v>자료없음</v>
          </cell>
          <cell r="S263" t="str">
            <v>해당없음</v>
          </cell>
          <cell r="T263" t="str">
            <v>자료없음</v>
          </cell>
          <cell r="U263" t="str">
            <v>자료없음</v>
          </cell>
          <cell r="V263" t="str">
            <v>자료없음</v>
          </cell>
          <cell r="W263" t="str">
            <v>자료없음</v>
          </cell>
          <cell r="X263" t="str">
            <v>자료없음</v>
          </cell>
          <cell r="Y263" t="str">
            <v>자료없음</v>
          </cell>
          <cell r="Z263" t="str">
            <v>자료없음</v>
          </cell>
          <cell r="AA263" t="str">
            <v>자료없음</v>
          </cell>
          <cell r="AB263" t="str">
            <v>해당없음</v>
          </cell>
          <cell r="AC263"/>
        </row>
        <row r="264">
          <cell r="A264" t="str">
            <v>8001-25-0</v>
          </cell>
          <cell r="B264" t="str">
            <v>OLIVE OIL</v>
          </cell>
          <cell r="C264" t="str">
            <v>해당없음</v>
          </cell>
          <cell r="D264" t="str">
            <v>해당없음</v>
          </cell>
          <cell r="E264" t="str">
            <v>해당없음</v>
          </cell>
          <cell r="F264" t="str">
            <v>자료없음</v>
          </cell>
          <cell r="G264" t="str">
            <v>자료없음</v>
          </cell>
          <cell r="H264" t="str">
            <v>자료없음</v>
          </cell>
          <cell r="I264" t="str">
            <v>토끼를 이용한 피부 자극성 시험 결과 약한 자극을 일으킴</v>
          </cell>
          <cell r="J264" t="str">
            <v>자료없음</v>
          </cell>
          <cell r="K264" t="str">
            <v>자료없음</v>
          </cell>
          <cell r="L264" t="str">
            <v>자료없음</v>
          </cell>
          <cell r="M264" t="str">
            <v>해당없음</v>
          </cell>
          <cell r="N264" t="str">
            <v>흰쥐를 이용한 염색체 이상시험 결과 음성</v>
          </cell>
          <cell r="O264" t="str">
            <v>자료없음</v>
          </cell>
          <cell r="P264" t="str">
            <v>자료없음</v>
          </cell>
          <cell r="Q264" t="str">
            <v>자료없음</v>
          </cell>
          <cell r="R264" t="str">
            <v>자료없음</v>
          </cell>
          <cell r="S264" t="str">
            <v>해당없음</v>
          </cell>
          <cell r="T264" t="str">
            <v>LC50 0.000000000546 ㎎/ℓ 96 hr (Estimate)</v>
          </cell>
          <cell r="U264" t="str">
            <v>LC50 0.0000000000000000297 ㎎/ℓ 48 hr (Estimate)</v>
          </cell>
          <cell r="V264" t="str">
            <v>EC50 0.0000000000952 ㎎/ℓ 96 hr (Estimate)</v>
          </cell>
          <cell r="W264" t="str">
            <v>log Kow 23.29 (Estimate)</v>
          </cell>
          <cell r="X264" t="str">
            <v>자료없음</v>
          </cell>
          <cell r="Y264" t="str">
            <v>자료없음</v>
          </cell>
          <cell r="Z264" t="str">
            <v>자료없음</v>
          </cell>
          <cell r="AA264" t="str">
            <v>자료없음</v>
          </cell>
          <cell r="AB264" t="str">
            <v>해당없음</v>
          </cell>
          <cell r="AC264"/>
        </row>
        <row r="265">
          <cell r="A265" t="str">
            <v>8006-81-3</v>
          </cell>
          <cell r="B265" t="str">
            <v>CANANGA ODORATA FLOWER OIL</v>
          </cell>
          <cell r="C265" t="str">
            <v>해당없음</v>
          </cell>
          <cell r="D265" t="str">
            <v>해당없음</v>
          </cell>
          <cell r="E265" t="str">
            <v>해당없음</v>
          </cell>
          <cell r="F265" t="str">
            <v>LD50 &gt;5,000 ㎎/㎏  (Rat ) (National Library of Medicine (NLM))</v>
          </cell>
          <cell r="G265" t="str">
            <v>LD50 &gt;5,000 ㎎/㎏  (Rabbit)(National Library of Medicine (NLM))</v>
          </cell>
          <cell r="H265" t="str">
            <v>자료없음</v>
          </cell>
          <cell r="I265" t="str">
            <v>자료없음</v>
          </cell>
          <cell r="J265" t="str">
            <v>자료없음</v>
          </cell>
          <cell r="K265" t="str">
            <v>자료없음</v>
          </cell>
          <cell r="L265" t="str">
            <v>자료없음</v>
          </cell>
          <cell r="M265" t="str">
            <v>해당없음</v>
          </cell>
          <cell r="N265" t="str">
            <v>자료없음</v>
          </cell>
          <cell r="O265" t="str">
            <v>자료없음</v>
          </cell>
          <cell r="P265" t="str">
            <v>자료없음</v>
          </cell>
          <cell r="Q265" t="str">
            <v>자료없음</v>
          </cell>
          <cell r="R265" t="str">
            <v>자료없음</v>
          </cell>
          <cell r="S265" t="str">
            <v>해당없음</v>
          </cell>
          <cell r="T265" t="str">
            <v>자료없음</v>
          </cell>
          <cell r="U265" t="str">
            <v>자료없음</v>
          </cell>
          <cell r="V265" t="str">
            <v>자료없음</v>
          </cell>
          <cell r="W265" t="str">
            <v>자료없음</v>
          </cell>
          <cell r="X265" t="str">
            <v>자료없음</v>
          </cell>
          <cell r="Y265" t="str">
            <v>자료없음</v>
          </cell>
          <cell r="Z265" t="str">
            <v>자료없음</v>
          </cell>
          <cell r="AA265" t="str">
            <v>자료없음</v>
          </cell>
          <cell r="AB265" t="str">
            <v>해당없음</v>
          </cell>
          <cell r="AC265"/>
        </row>
        <row r="266">
          <cell r="A266" t="str">
            <v>8006-84-6</v>
          </cell>
          <cell r="B266" t="str">
            <v>FOENICULUM VULGARE OIL (FENNEL)</v>
          </cell>
          <cell r="C266" t="str">
            <v>해당없음</v>
          </cell>
          <cell r="D266" t="str">
            <v>해당없음</v>
          </cell>
          <cell r="E266" t="str">
            <v>해당없음</v>
          </cell>
          <cell r="F266" t="str">
            <v>LD50 3120 ㎎/㎏ Rat</v>
          </cell>
          <cell r="G266" t="str">
            <v>LD50 &gt; 5000 ㎎/㎏ Rabbit</v>
          </cell>
          <cell r="H266" t="str">
            <v>자료없음</v>
          </cell>
          <cell r="I266" t="str">
            <v>피부 자극에 대한 드레이즈 테스트에서 마우스 실험결과 심한 자극이었음</v>
          </cell>
          <cell r="J266" t="str">
            <v>자료없음</v>
          </cell>
          <cell r="K266" t="str">
            <v>자료없음</v>
          </cell>
          <cell r="L266" t="str">
            <v>자료없음</v>
          </cell>
          <cell r="M266" t="str">
            <v>해당없음</v>
          </cell>
          <cell r="N266" t="str">
            <v>자료없음</v>
          </cell>
          <cell r="O266" t="str">
            <v>자료없음</v>
          </cell>
          <cell r="P266" t="str">
            <v>자료없음</v>
          </cell>
          <cell r="Q266" t="str">
            <v>자료없음</v>
          </cell>
          <cell r="R266" t="str">
            <v>자료없음</v>
          </cell>
          <cell r="S266" t="str">
            <v>해당없음</v>
          </cell>
          <cell r="T266" t="str">
            <v>LC50 6.857 ㎎/ℓ 96 hr (Estimate)</v>
          </cell>
          <cell r="U266" t="str">
            <v>LC50 4.747 ㎎/ℓ 48 hr (Estimate)</v>
          </cell>
          <cell r="V266" t="str">
            <v>EC50 4.118 ㎎/ℓ 96 hr (Estimate)</v>
          </cell>
          <cell r="W266" t="str">
            <v>log Kow 3.39 (Estimate)</v>
          </cell>
          <cell r="X266" t="str">
            <v>자료없음</v>
          </cell>
          <cell r="Y266" t="str">
            <v>BCF 79.92 (Estimate)</v>
          </cell>
          <cell r="Z266" t="str">
            <v>(Cut-off value 3.7110 ; Rapidly biodegradable(BIOWIN 4)) (estimate)</v>
          </cell>
          <cell r="AA266" t="str">
            <v>Koc 718 (Low potential for soil adsorption) (estimate)</v>
          </cell>
          <cell r="AB266" t="str">
            <v>해당없음</v>
          </cell>
          <cell r="AC266"/>
        </row>
        <row r="267">
          <cell r="A267" t="str">
            <v>8006-90-4</v>
          </cell>
          <cell r="B267" t="str">
            <v>MENTHA PIPERITA FLOWER/LEAF/STEM OIL</v>
          </cell>
          <cell r="C267" t="str">
            <v>해당없음</v>
          </cell>
          <cell r="D267" t="str">
            <v>해당없음</v>
          </cell>
          <cell r="E267" t="str">
            <v>해당없음</v>
          </cell>
          <cell r="F267" t="str">
            <v>LD50 2,426 ㎎/㎏ Rat</v>
          </cell>
          <cell r="G267" t="str">
            <v>자료없음</v>
          </cell>
          <cell r="H267" t="str">
            <v>자료없음</v>
          </cell>
          <cell r="I267" t="str">
            <v>피부에 자극을 일으킴</v>
          </cell>
          <cell r="J267" t="str">
            <v>각막표피,각막침수,착색 등 손상을 일으킴</v>
          </cell>
          <cell r="K267" t="str">
            <v>자료없음</v>
          </cell>
          <cell r="L267" t="str">
            <v>자료없음</v>
          </cell>
          <cell r="M267" t="str">
            <v>해당없음</v>
          </cell>
          <cell r="N267" t="str">
            <v>DNA REPAIR : Bacteria B Subtilis/DOSE: 5 uL/disc</v>
          </cell>
          <cell r="O267" t="str">
            <v>자료없음</v>
          </cell>
          <cell r="P267" t="str">
            <v>자료없음</v>
          </cell>
          <cell r="Q267" t="str">
            <v>자료없음</v>
          </cell>
          <cell r="R267" t="str">
            <v>자료없음</v>
          </cell>
          <cell r="S267" t="str">
            <v>해당없음</v>
          </cell>
          <cell r="T267" t="str">
            <v>LC50 5.844 ㎎/ℓ 96 hr (Estimate)</v>
          </cell>
          <cell r="U267" t="str">
            <v>EC50 6.888 ㎎/ℓ 48 hr (Estimate)</v>
          </cell>
          <cell r="V267" t="str">
            <v>EC50 4.662 ㎎/ℓ 96 hr (Estimate)</v>
          </cell>
          <cell r="W267" t="str">
            <v>log Kow 3.38 (Estimate)</v>
          </cell>
          <cell r="X267" t="str">
            <v>자료없음</v>
          </cell>
          <cell r="Y267" t="str">
            <v>자료없음</v>
          </cell>
          <cell r="Z267" t="str">
            <v>자료없음</v>
          </cell>
          <cell r="AA267" t="str">
            <v>자료없음</v>
          </cell>
          <cell r="AB267" t="str">
            <v>해당없음</v>
          </cell>
          <cell r="AC267"/>
        </row>
        <row r="268">
          <cell r="A268" t="str">
            <v>8007-02-1</v>
          </cell>
          <cell r="B268" t="str">
            <v>CYMBOPOGON CITRATUS LEAF OIL
(LEMONGRASS)</v>
          </cell>
          <cell r="C268" t="str">
            <v>해당없음</v>
          </cell>
          <cell r="D268" t="str">
            <v>해당없음</v>
          </cell>
          <cell r="E268" t="str">
            <v>해당없음</v>
          </cell>
          <cell r="F268" t="str">
            <v>LD50 &gt;5,000 ㎎/㎏ (Rat) (NLM, ChemIDplus, TOMES;LOLI)</v>
          </cell>
          <cell r="G268" t="str">
            <v>LD50 &gt;5,000 ㎎/㎏  (Rabbit ) (NLM, ChemIDplus, TOMES;LOLI)</v>
          </cell>
          <cell r="H268" t="str">
            <v>자료없음</v>
          </cell>
          <cell r="I268" t="str">
            <v>자료없음</v>
          </cell>
          <cell r="J268" t="str">
            <v>자료없음</v>
          </cell>
          <cell r="K268" t="str">
            <v>자료없음</v>
          </cell>
          <cell r="L268" t="str">
            <v>자료없음</v>
          </cell>
          <cell r="M268" t="str">
            <v>해당없음</v>
          </cell>
          <cell r="N268" t="str">
            <v>자료없음</v>
          </cell>
          <cell r="O268" t="str">
            <v>자료없음</v>
          </cell>
          <cell r="P268" t="str">
            <v>자료없음</v>
          </cell>
          <cell r="Q268" t="str">
            <v>자료없음</v>
          </cell>
          <cell r="R268" t="str">
            <v>자료없음</v>
          </cell>
          <cell r="S268" t="str">
            <v>해당없음</v>
          </cell>
          <cell r="T268" t="str">
            <v>LC50 0.162 ㎎/ℓ 96 hr (Estimate)</v>
          </cell>
          <cell r="U268" t="str">
            <v>EC50 5.794 ㎎/ℓ 48 hr (Estimate)</v>
          </cell>
          <cell r="V268" t="str">
            <v>EC50 5.143 ㎎/ℓ 96 hr (Estimate)</v>
          </cell>
          <cell r="W268" t="str">
            <v>log Kow 3.45 (Estimate)</v>
          </cell>
          <cell r="X268" t="str">
            <v>자료없음</v>
          </cell>
          <cell r="Y268" t="str">
            <v>BCF 87.14 (Estimate)</v>
          </cell>
          <cell r="Z268" t="str">
            <v>Non-degradable; not degraded and has a high potential to accumulate in vivo (estimate)</v>
          </cell>
          <cell r="AA268" t="str">
            <v>Koc 401.9  (Low potential for soil adsorption, Estimates)</v>
          </cell>
          <cell r="AB268" t="str">
            <v>해당없음</v>
          </cell>
          <cell r="AC268"/>
        </row>
        <row r="269">
          <cell r="A269" t="str">
            <v>8007-08-7</v>
          </cell>
          <cell r="B269" t="str">
            <v>ZINGIBER CASSUMUNAR ROOT OIL</v>
          </cell>
          <cell r="C269" t="str">
            <v>해당없음</v>
          </cell>
          <cell r="D269" t="str">
            <v>해당없음</v>
          </cell>
          <cell r="E269" t="str">
            <v>해당없음</v>
          </cell>
          <cell r="F269" t="str">
            <v>자료없음</v>
          </cell>
          <cell r="G269" t="str">
            <v>자료없음</v>
          </cell>
          <cell r="H269" t="str">
            <v>자료없음</v>
          </cell>
          <cell r="I269" t="str">
            <v>자료없음</v>
          </cell>
          <cell r="J269" t="str">
            <v>자료없음</v>
          </cell>
          <cell r="K269" t="str">
            <v>자료없음</v>
          </cell>
          <cell r="L269" t="str">
            <v>자료없음</v>
          </cell>
          <cell r="M269" t="str">
            <v>해당없음</v>
          </cell>
          <cell r="N269" t="str">
            <v>자료없음</v>
          </cell>
          <cell r="O269" t="str">
            <v>자료없음</v>
          </cell>
          <cell r="P269" t="str">
            <v>자료없음</v>
          </cell>
          <cell r="Q269" t="str">
            <v>자료없음</v>
          </cell>
          <cell r="R269" t="str">
            <v>자료없음</v>
          </cell>
          <cell r="S269" t="str">
            <v>해당없음</v>
          </cell>
          <cell r="T269" t="str">
            <v>자료없음</v>
          </cell>
          <cell r="U269" t="str">
            <v>자료없음</v>
          </cell>
          <cell r="V269" t="str">
            <v>자료없음</v>
          </cell>
          <cell r="W269" t="str">
            <v>자료없음</v>
          </cell>
          <cell r="X269" t="str">
            <v>자료없음</v>
          </cell>
          <cell r="Y269" t="str">
            <v>자료없음</v>
          </cell>
          <cell r="Z269" t="str">
            <v>자료없음</v>
          </cell>
          <cell r="AA269" t="str">
            <v>자료없음</v>
          </cell>
          <cell r="AB269" t="str">
            <v>해당없음</v>
          </cell>
          <cell r="AC269"/>
        </row>
        <row r="270">
          <cell r="A270" t="str">
            <v>8007-46-3</v>
          </cell>
          <cell r="B270" t="str">
            <v>THYME WHITE OIL</v>
          </cell>
          <cell r="C270" t="str">
            <v>해당없음</v>
          </cell>
          <cell r="D270" t="str">
            <v>해당없음</v>
          </cell>
          <cell r="E270" t="str">
            <v>해당없음</v>
          </cell>
          <cell r="F270" t="str">
            <v>자료없음</v>
          </cell>
          <cell r="G270" t="str">
            <v>자료없음</v>
          </cell>
          <cell r="H270" t="str">
            <v>자료없음</v>
          </cell>
          <cell r="I270" t="str">
            <v>자료없음</v>
          </cell>
          <cell r="J270" t="str">
            <v>자료없음</v>
          </cell>
          <cell r="K270" t="str">
            <v>자료없음</v>
          </cell>
          <cell r="L270" t="str">
            <v>자료없음</v>
          </cell>
          <cell r="M270" t="str">
            <v>해당없음</v>
          </cell>
          <cell r="N270" t="str">
            <v>자료없음</v>
          </cell>
          <cell r="O270" t="str">
            <v>자료없음</v>
          </cell>
          <cell r="P270" t="str">
            <v>자료없음</v>
          </cell>
          <cell r="Q270" t="str">
            <v>자료없음</v>
          </cell>
          <cell r="R270" t="str">
            <v>자료없음</v>
          </cell>
          <cell r="S270" t="str">
            <v>해당없음</v>
          </cell>
          <cell r="T270" t="str">
            <v>자료없음</v>
          </cell>
          <cell r="U270" t="str">
            <v>자료없음</v>
          </cell>
          <cell r="V270" t="str">
            <v>자료없음</v>
          </cell>
          <cell r="W270" t="str">
            <v>자료없음</v>
          </cell>
          <cell r="X270" t="str">
            <v>자료없음</v>
          </cell>
          <cell r="Y270" t="str">
            <v>자료없음</v>
          </cell>
          <cell r="Z270" t="str">
            <v>자료없음</v>
          </cell>
          <cell r="AA270" t="str">
            <v>자료없음</v>
          </cell>
          <cell r="AB270" t="str">
            <v>해당없음</v>
          </cell>
        </row>
        <row r="271">
          <cell r="A271" t="str">
            <v>8007-75-8</v>
          </cell>
          <cell r="B271" t="str">
            <v>BERGAMOT OIL</v>
          </cell>
          <cell r="C271" t="str">
            <v>해당없음</v>
          </cell>
          <cell r="D271" t="str">
            <v>해당없음</v>
          </cell>
          <cell r="E271" t="str">
            <v>해당없음</v>
          </cell>
          <cell r="F271" t="str">
            <v>LD50 11,520 ㎎/㎏  (Rat) (NLM, ChemIDPlus)</v>
          </cell>
          <cell r="G271" t="str">
            <v>자료없음</v>
          </cell>
          <cell r="H271" t="str">
            <v>자료없음</v>
          </cell>
          <cell r="I271" t="str">
            <v>자료없음</v>
          </cell>
          <cell r="J271" t="str">
            <v>자료없음</v>
          </cell>
          <cell r="K271" t="str">
            <v>자료없음</v>
          </cell>
          <cell r="L271" t="str">
            <v>인간, 광피부염, 포진성 습진, 색소 침착을 일으킬 수 있음 (NLM; HSDB)</v>
          </cell>
          <cell r="M271" t="str">
            <v>해당없음</v>
          </cell>
          <cell r="N271" t="str">
            <v>In vitro-미생물 복귀돌연변이시험 (Salmonella typhimurium TA 98,100, 1535, 1537, 1538): 음성 (NLM; CCRIS)</v>
          </cell>
          <cell r="O271" t="str">
            <v>자료없음</v>
          </cell>
          <cell r="P271" t="str">
            <v>인간, 피부 노출로 신경질적이고 소화기에 증상이 나타남 (NLM; HSDB)</v>
          </cell>
          <cell r="Q271" t="str">
            <v>자료없음</v>
          </cell>
          <cell r="R271" t="str">
            <v>자료없음</v>
          </cell>
          <cell r="S271" t="str">
            <v>해당없음</v>
          </cell>
          <cell r="T271" t="str">
            <v>LC50 0.572 ㎎/ℓ 96 hr (Estimate)</v>
          </cell>
          <cell r="U271" t="str">
            <v>EC50 1.997 ㎎/ℓ 48 hr (Estimate)</v>
          </cell>
          <cell r="V271" t="str">
            <v>EC50 0.437 ㎎/ℓ 96 hr (Estimate)</v>
          </cell>
          <cell r="W271" t="str">
            <v>log Kow 4.39 (Estimate)</v>
          </cell>
          <cell r="X271" t="str">
            <v>자료없음</v>
          </cell>
          <cell r="Y271" t="str">
            <v>BCF 182 (Estimate)</v>
          </cell>
          <cell r="Z271" t="str">
            <v>not degraded and has a high potential to accumulate in vivo (estimate)</v>
          </cell>
          <cell r="AA271" t="str">
            <v xml:space="preserve"> "Koc 1080 (Can be adsorbed in the soil, Estimates)"</v>
          </cell>
          <cell r="AB271" t="str">
            <v>해당없음</v>
          </cell>
        </row>
        <row r="272">
          <cell r="A272" t="str">
            <v>8007-80-5</v>
          </cell>
          <cell r="B272" t="str">
            <v>CINNAMOMUM CASSIA LEAF OIL</v>
          </cell>
          <cell r="C272" t="str">
            <v>해당없음</v>
          </cell>
          <cell r="D272" t="str">
            <v>해당없음</v>
          </cell>
          <cell r="E272" t="str">
            <v>해당없음</v>
          </cell>
          <cell r="F272" t="str">
            <v>LD50 2800 ㎎/㎏ Rat</v>
          </cell>
          <cell r="G272" t="str">
            <v>LD50 320 ㎎/㎏ rabbit</v>
          </cell>
          <cell r="H272" t="str">
            <v>자료없음</v>
          </cell>
          <cell r="I272" t="str">
            <v>토끼를 이용한 피부 자극성 시험 결과 심한 자극을 일으킴, 뉴질랜드(6.3A)</v>
          </cell>
          <cell r="J272" t="str">
            <v>눈 자극에 대한 자료는 없으나 피부자극성이므로 고려해야됨</v>
          </cell>
          <cell r="K272" t="str">
            <v>자료없음</v>
          </cell>
          <cell r="L272" t="str">
            <v>피부에 접촉시 알레르기, 발진 반응을 일으킬 수 있음, 뉴질랜드(6.5B)</v>
          </cell>
          <cell r="M272" t="str">
            <v>해당없음</v>
          </cell>
          <cell r="N272" t="str">
            <v>자료없음</v>
          </cell>
          <cell r="O272" t="str">
            <v>뉴질랜드(6.8B)</v>
          </cell>
          <cell r="P272" t="str">
            <v>단기간 흡입시, 호흡곤란, 불규칙 심장박동, 현기증, 폐울혈, 경련을 일으킬 수 있음</v>
          </cell>
          <cell r="Q272" t="str">
            <v>자료없음</v>
          </cell>
          <cell r="R272" t="str">
            <v>자료없음</v>
          </cell>
          <cell r="S272" t="str">
            <v>해당없음</v>
          </cell>
          <cell r="T272" t="str">
            <v>LC50 12.616 ㎎/ℓ 96 hr (Aldehydes / Water Solubility at 25 deg C (mg/L): 2150) (Estimate)</v>
          </cell>
          <cell r="U272" t="str">
            <v>LC50 9.065 ㎎/ℓ 48 hr (Aldehydes / Water Solubility at 25 deg C (mg/L): 2150) (Estimate)</v>
          </cell>
          <cell r="V272" t="str">
            <v>EC50 94.713 ㎎/ℓ 96 hr (Aldehydes / Water Solubility at 25 deg C (mg/L): 2150) (Estimate)</v>
          </cell>
          <cell r="W272" t="str">
            <v>log Kow 1.82 (Estimate)</v>
          </cell>
          <cell r="X272" t="str">
            <v>자료없음</v>
          </cell>
          <cell r="Y272" t="str">
            <v>BCF 5.794 (Estimate)</v>
          </cell>
          <cell r="Z272" t="str">
            <v>자료없음</v>
          </cell>
          <cell r="AA272" t="str">
            <v>자료없음</v>
          </cell>
          <cell r="AB272" t="str">
            <v>해당없음</v>
          </cell>
          <cell r="AC272" t="str">
            <v>(Crustaceans(Water flea): 21d-NOEC(Daphnia magna) 2.0 mg/L(NITE)</v>
          </cell>
        </row>
        <row r="273">
          <cell r="A273" t="str">
            <v>8008-26-2</v>
          </cell>
          <cell r="B273" t="str">
            <v>LIME OIL</v>
          </cell>
          <cell r="C273" t="str">
            <v>해당없음</v>
          </cell>
          <cell r="D273" t="str">
            <v>해당없음</v>
          </cell>
          <cell r="E273" t="str">
            <v>해당없음</v>
          </cell>
          <cell r="F273" t="str">
            <v>LD50 &gt; 5000 ㎎/㎏ Rat</v>
          </cell>
          <cell r="G273" t="str">
            <v>LD50 &gt; 5000 ㎎/㎏ Rabbit</v>
          </cell>
          <cell r="H273" t="str">
            <v>자료없음</v>
          </cell>
          <cell r="I273" t="str">
            <v>자료없음</v>
          </cell>
          <cell r="J273" t="str">
            <v>자료없음</v>
          </cell>
          <cell r="K273" t="str">
            <v>자료없음</v>
          </cell>
          <cell r="L273" t="str">
            <v>자료없음</v>
          </cell>
          <cell r="M273" t="str">
            <v>해당없음</v>
          </cell>
          <cell r="N273" t="str">
            <v>자료없음</v>
          </cell>
          <cell r="O273" t="str">
            <v>자료없음</v>
          </cell>
          <cell r="P273" t="str">
            <v>자료없음</v>
          </cell>
          <cell r="Q273" t="str">
            <v>자료없음</v>
          </cell>
          <cell r="R273" t="str">
            <v>자료없음</v>
          </cell>
          <cell r="S273" t="str">
            <v>해당없음</v>
          </cell>
          <cell r="T273" t="str">
            <v>LC50 9.798 ㎎/ℓ 96 hr (Estimate)</v>
          </cell>
          <cell r="U273" t="str">
            <v>LC50 4.225 ㎎/ℓ 48 hr Daphnia magna (Estimate)</v>
          </cell>
          <cell r="V273" t="str">
            <v>EC50 5.191 ㎎/ℓ 96 hr (Estimate)</v>
          </cell>
          <cell r="W273" t="str">
            <v>log Kow 3.66 (Estimate)</v>
          </cell>
          <cell r="X273" t="str">
            <v>자료없음</v>
          </cell>
          <cell r="Y273" t="str">
            <v>BCF 3.162 (Estimate)</v>
          </cell>
          <cell r="Z273" t="str">
            <v>자료없음</v>
          </cell>
          <cell r="AA273" t="str">
            <v>Koc 1397 (Estimates)</v>
          </cell>
          <cell r="AB273" t="str">
            <v>해당없음</v>
          </cell>
          <cell r="AC273"/>
        </row>
        <row r="274">
          <cell r="A274" t="str">
            <v>8008-31-9</v>
          </cell>
          <cell r="B274" t="str">
            <v>MANDARINE OIL</v>
          </cell>
          <cell r="C274" t="str">
            <v>해당없음</v>
          </cell>
          <cell r="D274" t="str">
            <v>해당없음</v>
          </cell>
          <cell r="E274" t="str">
            <v>해당없음</v>
          </cell>
          <cell r="F274" t="str">
            <v>LD50 &gt;5,000 ㎎/㎏ (Rat) (National Library of Medicine (NLM))</v>
          </cell>
          <cell r="G274" t="str">
            <v>LD50 &gt;5,000 ㎎/㎏  (Rabbit) (National Library of Medicine (NLM))</v>
          </cell>
          <cell r="H274" t="str">
            <v>자료없음</v>
          </cell>
          <cell r="I274" t="str">
            <v>자료없음</v>
          </cell>
          <cell r="J274" t="str">
            <v>자료없음</v>
          </cell>
          <cell r="K274" t="str">
            <v>자료없음</v>
          </cell>
          <cell r="L274" t="str">
            <v>자료없음</v>
          </cell>
          <cell r="M274" t="str">
            <v>해당없음</v>
          </cell>
          <cell r="N274" t="str">
            <v>자료없음</v>
          </cell>
          <cell r="O274" t="str">
            <v>자료없음</v>
          </cell>
          <cell r="P274" t="str">
            <v>자료없음</v>
          </cell>
          <cell r="Q274" t="str">
            <v>자료없음</v>
          </cell>
          <cell r="R274" t="str">
            <v>자료없음</v>
          </cell>
          <cell r="S274" t="str">
            <v>해당없음</v>
          </cell>
          <cell r="T274" t="str">
            <v>LC50 0.221 ㎎/ℓ 96 hr (Estimate)</v>
          </cell>
          <cell r="U274" t="str">
            <v>LC50 0.288 ㎎/ℓ 48 hr (Estimate)</v>
          </cell>
          <cell r="V274" t="str">
            <v>EC50 0.212 ㎎/ℓ 96 hr (Estimate)</v>
          </cell>
          <cell r="W274" t="str">
            <v>log Kow 4.83 (Estimate)</v>
          </cell>
          <cell r="X274" t="str">
            <v>자료없음</v>
          </cell>
          <cell r="Y274" t="str">
            <v>자료없음</v>
          </cell>
          <cell r="Z274" t="str">
            <v>자료없음</v>
          </cell>
          <cell r="AA274" t="str">
            <v>자료없음</v>
          </cell>
          <cell r="AB274" t="str">
            <v>해당없음</v>
          </cell>
        </row>
        <row r="275">
          <cell r="A275" t="str">
            <v>8008-45-5</v>
          </cell>
          <cell r="B275" t="str">
            <v>MYRISTICA FRAGRANS KERNEL OIL</v>
          </cell>
          <cell r="C275" t="str">
            <v>해당없음</v>
          </cell>
          <cell r="D275" t="str">
            <v>해당없음</v>
          </cell>
          <cell r="E275" t="str">
            <v>해당없음</v>
          </cell>
          <cell r="F275" t="str">
            <v>LD50 2600 ㎎/㎏ Rat</v>
          </cell>
          <cell r="G275" t="str">
            <v>LD50 10000 ㎎/㎏ rabbit</v>
          </cell>
          <cell r="H275" t="str">
            <v>자료없음</v>
          </cell>
          <cell r="I275" t="str">
            <v>토끼를 이용한 STANDARD DRAIZE TEST 결과 약한 자극 나타남</v>
          </cell>
          <cell r="J275" t="str">
            <v>자료없음</v>
          </cell>
          <cell r="K275" t="str">
            <v>자료없음</v>
          </cell>
          <cell r="L275" t="str">
            <v>자료없음</v>
          </cell>
          <cell r="M275" t="str">
            <v>해당없음</v>
          </cell>
          <cell r="N275" t="str">
            <v>자료없음</v>
          </cell>
          <cell r="O275" t="str">
            <v>자료없음</v>
          </cell>
          <cell r="P275" t="str">
            <v>자료없음</v>
          </cell>
          <cell r="Q275" t="str">
            <v>자료없음</v>
          </cell>
          <cell r="R275" t="str">
            <v>자료없음</v>
          </cell>
          <cell r="S275" t="str">
            <v>해당없음</v>
          </cell>
          <cell r="T275" t="str">
            <v>자료없음</v>
          </cell>
          <cell r="U275" t="str">
            <v>자료없음</v>
          </cell>
          <cell r="V275" t="str">
            <v>자료없음</v>
          </cell>
          <cell r="W275" t="str">
            <v>자료없음</v>
          </cell>
          <cell r="X275" t="str">
            <v>자료없음</v>
          </cell>
          <cell r="Y275" t="str">
            <v>자료없음</v>
          </cell>
          <cell r="Z275" t="str">
            <v>자료없음</v>
          </cell>
          <cell r="AA275" t="str">
            <v>자료없음</v>
          </cell>
          <cell r="AB275" t="str">
            <v>해당없음</v>
          </cell>
          <cell r="AC275"/>
        </row>
        <row r="276">
          <cell r="A276" t="str">
            <v>8008-52-4</v>
          </cell>
          <cell r="B276" t="str">
            <v>CORIANDRUM SATIVUM (CORIANDER) FRUIT OIL</v>
          </cell>
          <cell r="C276" t="str">
            <v>해당없음</v>
          </cell>
          <cell r="D276" t="str">
            <v>해당없음</v>
          </cell>
          <cell r="E276" t="str">
            <v>해당없음</v>
          </cell>
          <cell r="F276" t="str">
            <v>LD50 4,130 ㎎/㎏ (Rat) (National Library of Medicine)</v>
          </cell>
          <cell r="G276" t="str">
            <v>자료없음</v>
          </cell>
          <cell r="H276" t="str">
            <v>자료없음</v>
          </cell>
          <cell r="I276" t="str">
            <v>자료없음</v>
          </cell>
          <cell r="J276" t="str">
            <v>자료없음</v>
          </cell>
          <cell r="K276" t="str">
            <v>자료없음</v>
          </cell>
          <cell r="L276" t="str">
            <v>자료없음</v>
          </cell>
          <cell r="M276" t="str">
            <v>해당없음</v>
          </cell>
          <cell r="N276" t="str">
            <v>자료없음</v>
          </cell>
          <cell r="O276" t="str">
            <v>자료없음</v>
          </cell>
          <cell r="P276" t="str">
            <v>자료없음</v>
          </cell>
          <cell r="Q276" t="str">
            <v>자료없음</v>
          </cell>
          <cell r="R276" t="str">
            <v>자료없음</v>
          </cell>
          <cell r="S276" t="str">
            <v>해당없음</v>
          </cell>
          <cell r="T276" t="str">
            <v>LC50 8.113 ㎎/ℓ 96 hr (ECOSAR Class Neutral Organics) (Ecological Structure Activity Relationships (ECOSAR))</v>
          </cell>
          <cell r="U276" t="str">
            <v>EC50 5.565 ㎎/ℓ 48 hr (ECOSAR Class Neutral Organics) (Ecological Structure Activity Relationships (ECOSAR))</v>
          </cell>
          <cell r="V276" t="str">
            <v>EC50 4.696 ㎎/ℓ 96 hr (ECOSAR Class Neutral Organics) (Ecological Structure Activity Relationships (ECOSAR))</v>
          </cell>
          <cell r="W276" t="str">
            <v>자료없음</v>
          </cell>
          <cell r="X276" t="str">
            <v>자료없음</v>
          </cell>
          <cell r="Y276" t="str">
            <v>자료없음</v>
          </cell>
          <cell r="Z276" t="str">
            <v>자료없음</v>
          </cell>
          <cell r="AA276" t="str">
            <v>자료없음</v>
          </cell>
          <cell r="AB276" t="str">
            <v>해당없음</v>
          </cell>
          <cell r="AC276"/>
        </row>
        <row r="277">
          <cell r="A277" t="str">
            <v>8008-56-8</v>
          </cell>
          <cell r="B277" t="str">
            <v>LEMON OIL</v>
          </cell>
          <cell r="C277" t="str">
            <v>해당없음</v>
          </cell>
          <cell r="D277" t="str">
            <v>해당없음</v>
          </cell>
          <cell r="E277" t="str">
            <v>해당없음</v>
          </cell>
          <cell r="F277" t="str">
            <v>LD50 2,840 ㎎/㎏ (Rat)  (Corporate Solution From Thomson Micromedex)</v>
          </cell>
          <cell r="G277" t="str">
            <v>LD50 &gt;5,000 ㎎/㎏  (Rabbit) (Corporate Solution From Thomson Micromedex)</v>
          </cell>
          <cell r="H277" t="str">
            <v>자료없음</v>
          </cell>
          <cell r="I277" t="str">
            <v>드레이즈 테스트(쥐)에서 500mg을 24시간 투여시 중간정도의 자극을 일으킴</v>
          </cell>
          <cell r="J277" t="str">
            <v>드레이즈 테스트(쥐)에서 500mg을 24시간 투여시 중간정도의 자극을 일으킴</v>
          </cell>
          <cell r="K277" t="str">
            <v>자료없음</v>
          </cell>
          <cell r="L277" t="str">
            <v>자료없음</v>
          </cell>
          <cell r="M277" t="str">
            <v>해당없음</v>
          </cell>
          <cell r="N277" t="str">
            <v>자료없음</v>
          </cell>
          <cell r="O277" t="str">
            <v>자료없음</v>
          </cell>
          <cell r="P277" t="str">
            <v>자료없음</v>
          </cell>
          <cell r="Q277" t="str">
            <v>자료없음</v>
          </cell>
          <cell r="R277" t="str">
            <v>자료없음</v>
          </cell>
          <cell r="S277" t="str">
            <v>해당없음</v>
          </cell>
          <cell r="T277" t="str">
            <v>LC50 0.221 ㎎/ℓ 96 hr (Estimate)</v>
          </cell>
          <cell r="U277" t="str">
            <v>LC50 0.288 ㎎/ℓ 48 hr (Estimate)</v>
          </cell>
          <cell r="V277" t="str">
            <v>EC50 0.212 ㎎/ℓ 96 hr (Estimate)</v>
          </cell>
          <cell r="W277" t="str">
            <v>log Kow 4.83 (Estimate)</v>
          </cell>
          <cell r="X277" t="str">
            <v>자료없음</v>
          </cell>
          <cell r="Y277" t="str">
            <v>BCF 659 (Estimate)</v>
          </cell>
          <cell r="Z277" t="str">
            <v>자료없음</v>
          </cell>
          <cell r="AA277" t="str">
            <v>자료없음</v>
          </cell>
          <cell r="AB277" t="str">
            <v>해당없음</v>
          </cell>
        </row>
        <row r="278">
          <cell r="A278" t="str">
            <v>8008-57-9</v>
          </cell>
          <cell r="B278" t="str">
            <v>ORANGE OIL</v>
          </cell>
          <cell r="C278" t="str">
            <v>해당없음</v>
          </cell>
          <cell r="D278" t="str">
            <v>해당없음</v>
          </cell>
          <cell r="E278" t="str">
            <v>해당없음</v>
          </cell>
          <cell r="F278" t="str">
            <v>LD50 &gt; 5000 ㎎/㎏ Rat</v>
          </cell>
          <cell r="G278" t="str">
            <v>LD50 &gt; 5000 ㎎/㎏ (Rabbit)</v>
          </cell>
          <cell r="H278" t="str">
            <v>자료없음</v>
          </cell>
          <cell r="I278" t="str">
            <v>토끼를 이용한 피부 자극성 시험 결과 중정도의 자극을 일으킴</v>
          </cell>
          <cell r="J278" t="str">
            <v>단기간 접촉 시 눈에 자극을 일으킴</v>
          </cell>
          <cell r="K278" t="str">
            <v>자료없음</v>
          </cell>
          <cell r="L278" t="str">
            <v>자료없음</v>
          </cell>
          <cell r="M278" t="str">
            <v>해당없음</v>
          </cell>
          <cell r="N278" t="str">
            <v>해당없음</v>
          </cell>
          <cell r="O278" t="str">
            <v>자료없음</v>
          </cell>
          <cell r="P278" t="str">
            <v>단기간 노출시 호흡곤란, 불규칙 심장박동, 현기증, 폐 울혈, 경련을 일으킴</v>
          </cell>
          <cell r="Q278" t="str">
            <v>자료없음</v>
          </cell>
          <cell r="R278" t="str">
            <v>자료없음</v>
          </cell>
          <cell r="S278" t="str">
            <v>해당없음</v>
          </cell>
          <cell r="T278" t="str">
            <v>LC50 0.221 ㎎/ℓ 96 hr (Estimate)</v>
          </cell>
          <cell r="U278" t="str">
            <v>LC50 0.288 ㎎/ℓ 48 hr (Estimate)</v>
          </cell>
          <cell r="V278" t="str">
            <v>EC50 0.212 ㎎/ℓ 96 hr (Estimate)</v>
          </cell>
          <cell r="W278" t="str">
            <v>log Kow 4.83 (Estimate)</v>
          </cell>
          <cell r="X278" t="str">
            <v>자료없음</v>
          </cell>
          <cell r="Y278" t="str">
            <v>BCF 470.5 (Estimate)</v>
          </cell>
          <cell r="Z278" t="str">
            <v>자료없음</v>
          </cell>
          <cell r="AA278" t="str">
            <v>자료없음</v>
          </cell>
          <cell r="AB278" t="str">
            <v>해당없음</v>
          </cell>
        </row>
        <row r="279">
          <cell r="A279" t="str">
            <v>8008-79-5</v>
          </cell>
          <cell r="B279" t="str">
            <v>MENTHA VIRIDIS LEAF OIL (SPEARMINT)</v>
          </cell>
          <cell r="C279" t="str">
            <v>해당없음</v>
          </cell>
          <cell r="D279" t="str">
            <v>해당없음</v>
          </cell>
          <cell r="E279" t="str">
            <v>해당없음</v>
          </cell>
          <cell r="F279" t="str">
            <v>LD50 5,000 ㎎/㎏ (Rat) (National Library of Medicine (NLM))</v>
          </cell>
          <cell r="G279" t="str">
            <v>자료없음</v>
          </cell>
          <cell r="H279" t="str">
            <v>자료없음</v>
          </cell>
          <cell r="I279" t="str">
            <v>토끼를 이용한 피부 자극성 시험 결과 중정도의 자극을 일으킴</v>
          </cell>
          <cell r="J279" t="str">
            <v>눈 자극에 대한 자료는 없으나 피부자극성이므로 고려해야됨</v>
          </cell>
          <cell r="K279" t="str">
            <v>자료없음</v>
          </cell>
          <cell r="L279" t="str">
            <v>자료없음</v>
          </cell>
          <cell r="M279" t="str">
            <v>해당없음</v>
          </cell>
          <cell r="N279" t="str">
            <v>미생물복귀돌연변이시험에서 음성</v>
          </cell>
          <cell r="O279" t="str">
            <v>자료없음</v>
          </cell>
          <cell r="P279" t="str">
            <v>단기간 노출 시, 호흡곤란, 불규칙 심장박동, 현지증, 폐 울혈, 경련.</v>
          </cell>
          <cell r="Q279" t="str">
            <v>자료없음</v>
          </cell>
          <cell r="R279" t="str">
            <v>자료없음</v>
          </cell>
          <cell r="S279" t="str">
            <v>해당없음</v>
          </cell>
          <cell r="T279" t="str">
            <v>LC50 20.271 ㎎/ℓ 96 hr (Estimate)</v>
          </cell>
          <cell r="U279" t="str">
            <v>LC50 9.585 ㎎/ℓ 48 hr (Estimate)</v>
          </cell>
          <cell r="V279" t="str">
            <v>EC50 4.575 ㎎/ℓ 96 hr (Estimate)</v>
          </cell>
          <cell r="W279" t="str">
            <v>log Kow 3.07 (Estimate)</v>
          </cell>
          <cell r="X279" t="str">
            <v>자료없음</v>
          </cell>
          <cell r="Y279" t="str">
            <v>BCF 12.86 (Estimate)</v>
          </cell>
          <cell r="Z279" t="str">
            <v>자료없음</v>
          </cell>
          <cell r="AA279" t="str">
            <v>자료없음</v>
          </cell>
          <cell r="AB279" t="str">
            <v>해당없음</v>
          </cell>
          <cell r="AC279"/>
        </row>
        <row r="280">
          <cell r="A280" t="str">
            <v>8014-09-3</v>
          </cell>
          <cell r="B280" t="str">
            <v>PATCHOULI LIGHT OIL</v>
          </cell>
          <cell r="C280" t="str">
            <v>해당없음</v>
          </cell>
          <cell r="D280" t="str">
            <v>해당없음</v>
          </cell>
          <cell r="E280" t="str">
            <v>해당없음</v>
          </cell>
          <cell r="F280" t="str">
            <v>LD50 &gt;5,000 (Rat)(NLM, ChemIDplus)</v>
          </cell>
          <cell r="G280" t="str">
            <v>LD50 &gt;5,000  (Rabbit)(NLM, ChemIDplus)</v>
          </cell>
          <cell r="H280" t="str">
            <v>자료없음</v>
          </cell>
          <cell r="I280" t="str">
            <v>자료없음</v>
          </cell>
          <cell r="J280" t="str">
            <v>자료없음</v>
          </cell>
          <cell r="K280" t="str">
            <v>자료없음</v>
          </cell>
          <cell r="L280" t="str">
            <v>자료없음</v>
          </cell>
          <cell r="M280" t="str">
            <v>해당없음</v>
          </cell>
          <cell r="N280" t="str">
            <v>자료없음</v>
          </cell>
          <cell r="O280" t="str">
            <v>자료없음</v>
          </cell>
          <cell r="P280" t="str">
            <v>자료없음</v>
          </cell>
          <cell r="Q280" t="str">
            <v>자료없음</v>
          </cell>
          <cell r="R280" t="str">
            <v>자료없음</v>
          </cell>
          <cell r="S280" t="str">
            <v>해당없음</v>
          </cell>
          <cell r="T280" t="str">
            <v>LC50 3.08 ㎎/ℓ 96 hr (Estimate)</v>
          </cell>
          <cell r="U280" t="str">
            <v>LC50 2.329 ㎎/ℓ 48 hr (Estimate)</v>
          </cell>
          <cell r="V280" t="str">
            <v>EC50 2.616 ㎎/ℓ 96 hr (Estimate)</v>
          </cell>
          <cell r="W280" t="str">
            <v>log Kow 3.98 (Non-degradable) (Estimate)</v>
          </cell>
          <cell r="X280" t="str">
            <v>자료없음</v>
          </cell>
          <cell r="Y280" t="str">
            <v>BCF 197.4 (Estimate)</v>
          </cell>
          <cell r="Z280" t="str">
            <v>자료없음</v>
          </cell>
          <cell r="AA280" t="str">
            <v>Koc 518.9   (Low potential for soil adsorption) (estimate)</v>
          </cell>
          <cell r="AB280" t="str">
            <v>해당없음</v>
          </cell>
        </row>
        <row r="281">
          <cell r="A281" t="str">
            <v>8014-17-3</v>
          </cell>
          <cell r="B281" t="str">
            <v>CITRUS RETICULATA (TANGERINE) LEAF OIL</v>
          </cell>
          <cell r="C281" t="str">
            <v>해당없음</v>
          </cell>
          <cell r="D281" t="str">
            <v>해당없음</v>
          </cell>
          <cell r="E281" t="str">
            <v>해당없음</v>
          </cell>
          <cell r="F281" t="str">
            <v>LD50 &gt;5 (Rat) (ChemIDplus)</v>
          </cell>
          <cell r="G281" t="str">
            <v>LD50 &gt;2  (Rat) (ChemIDplus)</v>
          </cell>
          <cell r="H281" t="str">
            <v>자료없음</v>
          </cell>
          <cell r="I281" t="str">
            <v>자료없음</v>
          </cell>
          <cell r="J281" t="str">
            <v>자료없음</v>
          </cell>
          <cell r="K281" t="str">
            <v>자료없음</v>
          </cell>
          <cell r="L281" t="str">
            <v>자료없음</v>
          </cell>
          <cell r="M281" t="str">
            <v>해당없음</v>
          </cell>
          <cell r="N281" t="str">
            <v>자료없음</v>
          </cell>
          <cell r="O281" t="str">
            <v>자료없음</v>
          </cell>
          <cell r="P281" t="str">
            <v>자료없음</v>
          </cell>
          <cell r="Q281" t="str">
            <v>자료없음</v>
          </cell>
          <cell r="R281" t="str">
            <v>자료없음</v>
          </cell>
          <cell r="S281" t="str">
            <v>해당없음</v>
          </cell>
          <cell r="T281" t="str">
            <v>LC50 &gt; 12.3 ㎎/ℓ 96 hr (ECHA)</v>
          </cell>
          <cell r="U281" t="str">
            <v>자료없음</v>
          </cell>
          <cell r="V281" t="str">
            <v>자료없음</v>
          </cell>
          <cell r="W281" t="str">
            <v>자료없음</v>
          </cell>
          <cell r="X281" t="str">
            <v>자료없음</v>
          </cell>
          <cell r="Y281" t="str">
            <v>자료없음</v>
          </cell>
          <cell r="Z281" t="str">
            <v>자료없음</v>
          </cell>
          <cell r="AA281" t="str">
            <v>자료없음</v>
          </cell>
          <cell r="AB281" t="str">
            <v>해당없음</v>
          </cell>
          <cell r="AC281"/>
        </row>
        <row r="282">
          <cell r="A282" t="str">
            <v>8015-73-4</v>
          </cell>
          <cell r="B282" t="str">
            <v>OCIMUM BASILICUM OIL</v>
          </cell>
          <cell r="C282" t="str">
            <v>해당없음</v>
          </cell>
          <cell r="D282" t="str">
            <v>해당없음</v>
          </cell>
          <cell r="E282" t="str">
            <v>해당없음</v>
          </cell>
          <cell r="F282" t="str">
            <v>LD50 1400 ㎎/㎏ Rat</v>
          </cell>
          <cell r="G282" t="str">
            <v>LD50 &gt; 5000 ㎎/㎏ Rabbit</v>
          </cell>
          <cell r="H282" t="str">
            <v>자료없음</v>
          </cell>
          <cell r="I282" t="str">
            <v>자극 ChemIDPlus</v>
          </cell>
          <cell r="J282" t="str">
            <v>자극 ChemIDPlus</v>
          </cell>
          <cell r="K282" t="str">
            <v>자료없음</v>
          </cell>
          <cell r="L282" t="str">
            <v>자료없음</v>
          </cell>
          <cell r="M282" t="str">
            <v>해당없음</v>
          </cell>
          <cell r="N282" t="str">
            <v>IN VITRO, UDS RAT HEPATOCYTES: 양성</v>
          </cell>
          <cell r="O282" t="str">
            <v>자료없음</v>
          </cell>
          <cell r="P282" t="str">
            <v>자료없음</v>
          </cell>
          <cell r="Q282" t="str">
            <v>자료없음</v>
          </cell>
          <cell r="R282" t="str">
            <v>자료없음</v>
          </cell>
          <cell r="S282" t="str">
            <v>해당없음</v>
          </cell>
          <cell r="T282" t="str">
            <v>LC50 1.968 ㎎/ℓ 96 hr (Estimate)</v>
          </cell>
          <cell r="U282" t="str">
            <v>LC50 7.980 ㎎/ℓ 48 hr (Estimate)</v>
          </cell>
          <cell r="V282" t="str">
            <v>EC50 6.196 ㎎/ℓ 96 hr (Estimate)</v>
          </cell>
          <cell r="W282" t="str">
            <v>log Kow 3.13 (Estimate)</v>
          </cell>
          <cell r="X282" t="str">
            <v>자료없음</v>
          </cell>
          <cell r="Y282" t="str">
            <v>BCF 54 (Estimate)</v>
          </cell>
          <cell r="Z282" t="str">
            <v>Non-degradable; not degraded and has a high potential to accumulate in vivo (estimate)</v>
          </cell>
          <cell r="AA282" t="str">
            <v>Koc 221.2 (Estimates)</v>
          </cell>
          <cell r="AB282" t="str">
            <v>해당없음</v>
          </cell>
          <cell r="AC282"/>
        </row>
        <row r="283">
          <cell r="A283" t="str">
            <v>8016-03-3</v>
          </cell>
          <cell r="B283" t="str">
            <v>DAVANA OIL</v>
          </cell>
          <cell r="C283" t="str">
            <v>해당없음</v>
          </cell>
          <cell r="D283" t="str">
            <v>해당없음</v>
          </cell>
          <cell r="E283" t="str">
            <v>해당없음</v>
          </cell>
          <cell r="F283" t="str">
            <v>자료없음</v>
          </cell>
          <cell r="G283" t="str">
            <v>자료없음</v>
          </cell>
          <cell r="H283" t="str">
            <v>자료없음</v>
          </cell>
          <cell r="I283" t="str">
            <v>Standard draize test: 토끼의 피부를 500mg에 24시간 동안 노출시킨 결과, 중간 정도의 자극을 일으켰음</v>
          </cell>
          <cell r="J283" t="str">
            <v>자료없음</v>
          </cell>
          <cell r="K283" t="str">
            <v>자료없음</v>
          </cell>
          <cell r="L283" t="str">
            <v>자료없음</v>
          </cell>
          <cell r="M283" t="str">
            <v>해당없음</v>
          </cell>
          <cell r="N283" t="str">
            <v>자료없음</v>
          </cell>
          <cell r="O283" t="str">
            <v>자료없음</v>
          </cell>
          <cell r="P283" t="str">
            <v>자료없음</v>
          </cell>
          <cell r="Q283" t="str">
            <v>자료없음</v>
          </cell>
          <cell r="R283" t="str">
            <v>자료없음</v>
          </cell>
          <cell r="S283" t="str">
            <v>해당없음</v>
          </cell>
          <cell r="T283" t="str">
            <v>자료없음</v>
          </cell>
          <cell r="U283" t="str">
            <v>자료없음</v>
          </cell>
          <cell r="V283" t="str">
            <v>자료없음</v>
          </cell>
          <cell r="W283" t="str">
            <v>log Kow 6.13 (BIOWIN 1,2,5,6,7) (Estimate)</v>
          </cell>
          <cell r="X283" t="str">
            <v>자료없음</v>
          </cell>
          <cell r="Y283" t="str">
            <v>자료없음</v>
          </cell>
          <cell r="Z283" t="str">
            <v>자료없음</v>
          </cell>
          <cell r="AA283" t="str">
            <v>자료없음</v>
          </cell>
          <cell r="AB283" t="str">
            <v>해당없음</v>
          </cell>
          <cell r="AC283"/>
        </row>
        <row r="284">
          <cell r="A284" t="str">
            <v>8016-20-4</v>
          </cell>
          <cell r="B284" t="str">
            <v>CITRUS PARADISI (GRAPEFRUIT) PEEL OIL</v>
          </cell>
          <cell r="C284" t="str">
            <v>해당없음</v>
          </cell>
          <cell r="D284" t="str">
            <v>해당없음</v>
          </cell>
          <cell r="E284" t="str">
            <v>해당없음</v>
          </cell>
          <cell r="F284" t="str">
            <v>LD50 &gt;5,000 ㎎/㎏ (Rat) (Registry of Toxic Effects of Chemical Substances, National Library of) Medicine</v>
          </cell>
          <cell r="G284" t="str">
            <v>LD50 &gt;5,000 ㎎/㎏  (Rabbit) (Registry of Toxic Effects of Chemical Substances, National Library of Medicine)</v>
          </cell>
          <cell r="H284" t="str">
            <v>자료없음</v>
          </cell>
          <cell r="I284" t="str">
            <v>사람에게 피부자극, 토끼에게 500㎎ / 24h 반응은 경자극 (HSDB)</v>
          </cell>
          <cell r="J284" t="str">
            <v>자료없음</v>
          </cell>
          <cell r="K284" t="str">
            <v>자료없음</v>
          </cell>
          <cell r="L284" t="str">
            <v>자료없음</v>
          </cell>
          <cell r="M284" t="str">
            <v>해당없음</v>
          </cell>
          <cell r="N284" t="str">
            <v>자료없음</v>
          </cell>
          <cell r="O284" t="str">
            <v>자료없음</v>
          </cell>
          <cell r="P284" t="str">
            <v>자료없음</v>
          </cell>
          <cell r="Q284" t="str">
            <v>자료없음</v>
          </cell>
          <cell r="R284" t="str">
            <v>자료없음</v>
          </cell>
          <cell r="S284" t="str">
            <v>해당없음</v>
          </cell>
          <cell r="T284" t="str">
            <v>LC50 0.341 ㎎/ℓ 96 hr (Estimate)</v>
          </cell>
          <cell r="U284" t="str">
            <v>LC50 0.292 ㎎/ℓ 48 hr (Estimate)</v>
          </cell>
          <cell r="V284" t="str">
            <v>EC50 0.474 ㎎/ℓ 96 hr (Estimate)</v>
          </cell>
          <cell r="W284" t="str">
            <v>log Kow 4.38 (Estimate)</v>
          </cell>
          <cell r="X284" t="str">
            <v>자료없음</v>
          </cell>
          <cell r="Y284" t="str">
            <v>BCF 360.5 (Estimate)</v>
          </cell>
          <cell r="Z284" t="str">
            <v>(Cut-off value 0.3312 ;Non-degradable(BIOWIN 6)) (estimate)</v>
          </cell>
          <cell r="AA284" t="str">
            <v>Koc 6324 (Can be adsorbed in the soil) (estimate)</v>
          </cell>
          <cell r="AB284" t="str">
            <v>해당없음</v>
          </cell>
          <cell r="AC284"/>
        </row>
        <row r="285">
          <cell r="A285" t="str">
            <v>8016-23-7</v>
          </cell>
          <cell r="B285" t="str">
            <v>GUAIAC WOOD OIL</v>
          </cell>
          <cell r="C285" t="str">
            <v>해당없음</v>
          </cell>
          <cell r="D285" t="str">
            <v>해당없음</v>
          </cell>
          <cell r="E285" t="str">
            <v>해당없음</v>
          </cell>
          <cell r="F285" t="str">
            <v>LD50 &gt; 5000 ㎎/㎏ Rat</v>
          </cell>
          <cell r="G285" t="str">
            <v>LD50 &gt; 5000 ㎎/㎏ Rabbit</v>
          </cell>
          <cell r="H285" t="str">
            <v>자료없음</v>
          </cell>
          <cell r="I285" t="str">
            <v>사람 자극, 토끼 보통자극</v>
          </cell>
          <cell r="J285" t="str">
            <v>눈 자극</v>
          </cell>
          <cell r="K285" t="str">
            <v>자료없음</v>
          </cell>
          <cell r="L285" t="str">
            <v>자료없음</v>
          </cell>
          <cell r="M285" t="str">
            <v>해당없음</v>
          </cell>
          <cell r="N285" t="str">
            <v>자료없음</v>
          </cell>
          <cell r="O285" t="str">
            <v>자료없음</v>
          </cell>
          <cell r="P285" t="str">
            <v>자료없음</v>
          </cell>
          <cell r="Q285" t="str">
            <v>랫드의 90일 경구투여연구에서 영향력없는 농도는 31.8mg/kg</v>
          </cell>
          <cell r="R285" t="str">
            <v>자료없음</v>
          </cell>
          <cell r="S285" t="str">
            <v>해당없음</v>
          </cell>
          <cell r="T285" t="str">
            <v>LC50 0.241 ㎎/ℓ 96 hr (Estimate)</v>
          </cell>
          <cell r="U285" t="str">
            <v>LC50 0.219 ㎎/ℓ 48 hr (Estimate)</v>
          </cell>
          <cell r="V285" t="str">
            <v>EC50 0.425 ㎎/ℓ 96 hr (Estimate)</v>
          </cell>
          <cell r="W285" t="str">
            <v>log Kow 5.24 (Estimate)</v>
          </cell>
          <cell r="X285" t="str">
            <v>자료없음</v>
          </cell>
          <cell r="Y285" t="str">
            <v>BCF 1340 (Possibility of bioaccumulation) (Estimate)</v>
          </cell>
          <cell r="Z285" t="str">
            <v>Non-degradable; not degraded and has a high potential to accumulate in vivo (estimate)</v>
          </cell>
          <cell r="AA285" t="str">
            <v>Koc 1367 (Can be adsorbed in the soil, Estimates)</v>
          </cell>
          <cell r="AB285" t="str">
            <v>해당없음</v>
          </cell>
        </row>
        <row r="286">
          <cell r="A286" t="str">
            <v>8016-63-5</v>
          </cell>
          <cell r="B286" t="str">
            <v>SALVIA SCLAREA (CLARY) OIL</v>
          </cell>
          <cell r="C286" t="str">
            <v>해당없음</v>
          </cell>
          <cell r="D286" t="str">
            <v>해당없음</v>
          </cell>
          <cell r="E286" t="str">
            <v>해당없음</v>
          </cell>
          <cell r="F286" t="str">
            <v>LD50 5,600 ㎎/㎏ (Rat) (National Library of Medicine)</v>
          </cell>
          <cell r="G286" t="str">
            <v>자료없음</v>
          </cell>
          <cell r="H286" t="str">
            <v>자료없음</v>
          </cell>
          <cell r="I286" t="str">
            <v>자료없음</v>
          </cell>
          <cell r="J286" t="str">
            <v>자료없음</v>
          </cell>
          <cell r="K286" t="str">
            <v>자료없음</v>
          </cell>
          <cell r="L286" t="str">
            <v>자료없음</v>
          </cell>
          <cell r="M286" t="str">
            <v>해당없음</v>
          </cell>
          <cell r="N286" t="str">
            <v>자료없음</v>
          </cell>
          <cell r="O286" t="str">
            <v>자료없음</v>
          </cell>
          <cell r="P286" t="str">
            <v>자료없음</v>
          </cell>
          <cell r="Q286" t="str">
            <v>자료없음</v>
          </cell>
          <cell r="R286" t="str">
            <v>자료없음</v>
          </cell>
          <cell r="S286" t="str">
            <v>해당없음</v>
          </cell>
          <cell r="T286" t="str">
            <v>LC50 8.113 ㎎/ℓ 96 hr (ECOSAR Class Neutral Organics SAR) (ECOSAR- Ecological Structure Activity Relationships (ECOSAR))</v>
          </cell>
          <cell r="U286" t="str">
            <v>EC50 5.565 ㎎/ℓ 48 hr (ECOSAR Class Neutral Organics SAR) (ECOSAR- Ecological Structure Activity Relationships (ECOSAR))</v>
          </cell>
          <cell r="V286" t="str">
            <v>EC50 4.696 ㎎/ℓ 96 hr (ECOSAR Class Neutral Organics SAR) (ECOSAR- Ecological Structure Activity Relationships (ECOSAR))</v>
          </cell>
          <cell r="W286" t="str">
            <v>자료없음</v>
          </cell>
          <cell r="X286" t="str">
            <v>자료없음</v>
          </cell>
          <cell r="Y286" t="str">
            <v>자료없음</v>
          </cell>
          <cell r="Z286" t="str">
            <v>자료없음</v>
          </cell>
          <cell r="AA286" t="str">
            <v>자료없음</v>
          </cell>
          <cell r="AB286" t="str">
            <v>해당없음</v>
          </cell>
          <cell r="AC286"/>
        </row>
        <row r="287">
          <cell r="A287" t="str">
            <v>8016-84-0</v>
          </cell>
          <cell r="B287" t="str">
            <v>TAGETTE OIL</v>
          </cell>
          <cell r="C287" t="str">
            <v>해당없음</v>
          </cell>
          <cell r="D287" t="str">
            <v>해당없음</v>
          </cell>
          <cell r="E287" t="str">
            <v>해당없음</v>
          </cell>
          <cell r="F287" t="str">
            <v>자료없음</v>
          </cell>
          <cell r="G287" t="str">
            <v>자료없음</v>
          </cell>
          <cell r="H287" t="str">
            <v>자료없음</v>
          </cell>
          <cell r="I287" t="str">
            <v>자료없음</v>
          </cell>
          <cell r="J287" t="str">
            <v>자료없음</v>
          </cell>
          <cell r="K287" t="str">
            <v>자료없음</v>
          </cell>
          <cell r="L287" t="str">
            <v>자료없음</v>
          </cell>
          <cell r="M287" t="str">
            <v>해당없음</v>
          </cell>
          <cell r="N287" t="str">
            <v>자료없음</v>
          </cell>
          <cell r="O287" t="str">
            <v>자료없음</v>
          </cell>
          <cell r="P287" t="str">
            <v>자료없음</v>
          </cell>
          <cell r="Q287" t="str">
            <v>자료없음</v>
          </cell>
          <cell r="R287" t="str">
            <v>자료없음</v>
          </cell>
          <cell r="S287" t="str">
            <v>해당없음</v>
          </cell>
          <cell r="T287" t="str">
            <v>자료없음</v>
          </cell>
          <cell r="U287" t="str">
            <v>자료없음</v>
          </cell>
          <cell r="V287" t="str">
            <v>자료없음</v>
          </cell>
          <cell r="W287" t="str">
            <v>자료없음</v>
          </cell>
          <cell r="X287" t="str">
            <v>자료없음</v>
          </cell>
          <cell r="Y287" t="str">
            <v>자료없음</v>
          </cell>
          <cell r="Z287" t="str">
            <v>자료없음</v>
          </cell>
          <cell r="AA287" t="str">
            <v>자료없음</v>
          </cell>
          <cell r="AB287" t="str">
            <v>해당없음</v>
          </cell>
          <cell r="AC287"/>
        </row>
        <row r="288">
          <cell r="A288" t="str">
            <v>8016-88-4</v>
          </cell>
          <cell r="B288" t="str">
            <v>ARTEMISIA DRACUNCULUS OIL (ESTRAGON)</v>
          </cell>
          <cell r="C288" t="str">
            <v>해당없음</v>
          </cell>
          <cell r="D288" t="str">
            <v>해당없음</v>
          </cell>
          <cell r="E288" t="str">
            <v>해당없음</v>
          </cell>
          <cell r="F288" t="str">
            <v>LD50 1900 ㎎/㎏ Rat</v>
          </cell>
          <cell r="G288" t="str">
            <v>LD50 &gt; 5000 ㎎/㎏ Rabbit</v>
          </cell>
          <cell r="H288" t="str">
            <v>자료없음</v>
          </cell>
          <cell r="I288" t="str">
            <v>토끼(100mg/24hr), 보고되지 않음, 자극없음</v>
          </cell>
          <cell r="J288" t="str">
            <v>자료없음</v>
          </cell>
          <cell r="K288" t="str">
            <v>자료없음</v>
          </cell>
          <cell r="L288" t="str">
            <v>자료없음</v>
          </cell>
          <cell r="M288" t="str">
            <v>해당없음</v>
          </cell>
          <cell r="N288" t="str">
            <v>자료없음</v>
          </cell>
          <cell r="O288" t="str">
            <v>자료없음</v>
          </cell>
          <cell r="P288" t="str">
            <v>자료없음</v>
          </cell>
          <cell r="Q288" t="str">
            <v>자료없음</v>
          </cell>
          <cell r="R288" t="str">
            <v>자료없음</v>
          </cell>
          <cell r="S288" t="str">
            <v>해당없음</v>
          </cell>
          <cell r="T288" t="str">
            <v>LC50 5.812 ㎎/ℓ 96 hr (Estimate)</v>
          </cell>
          <cell r="U288" t="str">
            <v>LC50 4.073 ㎎/ℓ 48 hr (Estimate)</v>
          </cell>
          <cell r="V288" t="str">
            <v>EC50 3.660 ㎎/ℓ 96 hr (Estimate)</v>
          </cell>
          <cell r="W288" t="str">
            <v>log Kow 3.47 (Estimate)</v>
          </cell>
          <cell r="X288" t="str">
            <v>자료없음</v>
          </cell>
          <cell r="Y288" t="str">
            <v>BCF 90.1 (Estimate)</v>
          </cell>
          <cell r="Z288" t="str">
            <v>Non-degradable; not degraded and has a high potential to accumulate in vivo</v>
          </cell>
          <cell r="AA288" t="str">
            <v>Koc 521 (Low potential for soil adsorption, Estimates)</v>
          </cell>
          <cell r="AB288" t="str">
            <v>해당없음</v>
          </cell>
          <cell r="AC288"/>
        </row>
        <row r="289">
          <cell r="A289" t="str">
            <v>8016-96-4</v>
          </cell>
          <cell r="B289" t="str">
            <v>VETIVERIA ZIZANOIDES ROOT OIL</v>
          </cell>
          <cell r="C289" t="str">
            <v>해당없음</v>
          </cell>
          <cell r="D289" t="str">
            <v>해당없음</v>
          </cell>
          <cell r="E289" t="str">
            <v>해당없음</v>
          </cell>
          <cell r="F289" t="str">
            <v>LD50 &gt; 5000 ㎎/㎏ Rat</v>
          </cell>
          <cell r="G289" t="str">
            <v>LD50 &gt; 5000 ㎎/㎏ Rabbit</v>
          </cell>
          <cell r="H289" t="str">
            <v>자료없음</v>
          </cell>
          <cell r="I289" t="str">
            <v>STANDARD DRAIZE TEST 결과 약한 자극 나타남</v>
          </cell>
          <cell r="J289" t="str">
            <v>자료없음</v>
          </cell>
          <cell r="K289" t="str">
            <v>자료없음</v>
          </cell>
          <cell r="L289" t="str">
            <v>자료없음</v>
          </cell>
          <cell r="M289" t="str">
            <v>해당없음</v>
          </cell>
          <cell r="N289" t="str">
            <v>자료없음</v>
          </cell>
          <cell r="O289" t="str">
            <v>자료없음</v>
          </cell>
          <cell r="P289" t="str">
            <v>자료없음</v>
          </cell>
          <cell r="Q289" t="str">
            <v>자료없음</v>
          </cell>
          <cell r="R289" t="str">
            <v>자료없음</v>
          </cell>
          <cell r="S289" t="str">
            <v>해당없음</v>
          </cell>
          <cell r="T289" t="str">
            <v>LC50 0.554 ㎎/ℓ 96 hr (Estimate)</v>
          </cell>
          <cell r="U289" t="str">
            <v>EC50 0.455 ㎎/ℓ 48 hr (Estimate)</v>
          </cell>
          <cell r="V289" t="str">
            <v>EC50 0.654 ㎎/ℓ 96 hr (Estimate)</v>
          </cell>
          <cell r="W289" t="str">
            <v>log Kow 4.93 (Estimate)</v>
          </cell>
          <cell r="X289" t="str">
            <v>자료없음</v>
          </cell>
          <cell r="Y289" t="str">
            <v>BCF 863.3 (Estimate)</v>
          </cell>
          <cell r="Z289" t="str">
            <v>(Cut-off value 0.0938 ; Non-degradable(BIOWIN 2)) (estimate)</v>
          </cell>
          <cell r="AA289" t="str">
            <v>Koc 3.848 (estimate)</v>
          </cell>
          <cell r="AB289" t="str">
            <v>해당없음</v>
          </cell>
        </row>
        <row r="290">
          <cell r="A290" t="str">
            <v>8022-15-9</v>
          </cell>
          <cell r="B290" t="str">
            <v>LAVANDIN GROSSO OIL</v>
          </cell>
          <cell r="C290" t="str">
            <v>해당없음</v>
          </cell>
          <cell r="D290" t="str">
            <v>해당없음</v>
          </cell>
          <cell r="E290" t="str">
            <v>해당없음</v>
          </cell>
          <cell r="F290" t="str">
            <v>LD50 &gt;5,000 ㎎/㎏ (Rat)(ChemIDPlus)</v>
          </cell>
          <cell r="G290" t="str">
            <v>LD50 &gt;5,000 ㎎/㎏  (Rabbit)(ChemIDPlus)</v>
          </cell>
          <cell r="H290" t="str">
            <v>자료없음</v>
          </cell>
          <cell r="I290" t="str">
            <v>피부 / 눈 자극</v>
          </cell>
          <cell r="J290" t="str">
            <v>피부 / 눈 자극</v>
          </cell>
          <cell r="K290" t="str">
            <v>자료없음</v>
          </cell>
          <cell r="L290" t="str">
            <v>자료없음</v>
          </cell>
          <cell r="M290" t="str">
            <v>해당없음</v>
          </cell>
          <cell r="N290" t="str">
            <v>자료없음</v>
          </cell>
          <cell r="O290" t="str">
            <v>자료없음</v>
          </cell>
          <cell r="P290" t="str">
            <v>자료없음</v>
          </cell>
          <cell r="Q290" t="str">
            <v>자료없음</v>
          </cell>
          <cell r="R290" t="str">
            <v>자료없음</v>
          </cell>
          <cell r="S290" t="str">
            <v>해당없음</v>
          </cell>
          <cell r="T290" t="str">
            <v>LC50 2.165 ㎎/ℓ 96 hr (Estimate)</v>
          </cell>
          <cell r="U290" t="str">
            <v>LC50 0.381 ㎎/ℓ 48 hr (Estimate)</v>
          </cell>
          <cell r="V290" t="str">
            <v>EC50 5.232 ㎎/ℓ 96 hr (Estimate)</v>
          </cell>
          <cell r="W290" t="str">
            <v>log Kow 2.97 (Exp) (EPI SIUTE)</v>
          </cell>
          <cell r="X290" t="str">
            <v>자료없음</v>
          </cell>
          <cell r="Y290" t="str">
            <v>BCF 42.33 (Estimate)</v>
          </cell>
          <cell r="Z290" t="str">
            <v>자료없음</v>
          </cell>
          <cell r="AA290" t="str">
            <v>Koc 143.4 (Estimates)</v>
          </cell>
          <cell r="AB290" t="str">
            <v>해당없음</v>
          </cell>
          <cell r="AC290"/>
        </row>
        <row r="291">
          <cell r="A291" t="str">
            <v>8022-56-8</v>
          </cell>
          <cell r="B291" t="str">
            <v>SALVIA OFFICINALIS OIL</v>
          </cell>
          <cell r="C291" t="str">
            <v>해당없음</v>
          </cell>
          <cell r="D291" t="str">
            <v>해당없음</v>
          </cell>
          <cell r="E291" t="str">
            <v>해당없음</v>
          </cell>
          <cell r="F291" t="str">
            <v>LD50 2600 ㎎/㎏ Rat</v>
          </cell>
          <cell r="G291" t="str">
            <v>LD50 5000 ㎎/㎏ Rabbit</v>
          </cell>
          <cell r="H291" t="str">
            <v>자료없음</v>
          </cell>
          <cell r="I291" t="str">
            <v>자극 나타남</v>
          </cell>
          <cell r="J291" t="str">
            <v>자극 나타남</v>
          </cell>
          <cell r="K291" t="str">
            <v>자료없음</v>
          </cell>
          <cell r="L291" t="str">
            <v>자료없음</v>
          </cell>
          <cell r="M291" t="str">
            <v>해당없음</v>
          </cell>
          <cell r="N291" t="str">
            <v>자료없음</v>
          </cell>
          <cell r="O291" t="str">
            <v>자료없음</v>
          </cell>
          <cell r="P291" t="str">
            <v>경구섭취시 신경계통, 혈액, 간에 영향을 줄 수 있음</v>
          </cell>
          <cell r="Q291" t="str">
            <v>자료없음</v>
          </cell>
          <cell r="R291" t="str">
            <v>자료없음</v>
          </cell>
          <cell r="S291" t="str">
            <v>해당없음</v>
          </cell>
          <cell r="T291" t="str">
            <v>LC50 0.341 ㎎/ℓ 96 hr (Estimate)</v>
          </cell>
          <cell r="U291" t="str">
            <v>EC50 0.292 ㎎/ℓ 48 hr (Estimate)</v>
          </cell>
          <cell r="V291" t="str">
            <v>EC50 0.474 ㎎/ℓ 96 hr (Estimate)</v>
          </cell>
          <cell r="W291" t="str">
            <v>log Kow 4.83 (Estimate)</v>
          </cell>
          <cell r="X291" t="str">
            <v>자료없음</v>
          </cell>
          <cell r="Y291" t="str">
            <v>BCF 360.5 (Estimate)</v>
          </cell>
          <cell r="Z291" t="str">
            <v>(Cut-off value 0.3312 ; Non-degradable(BIOWIN 6) (estimate)</v>
          </cell>
          <cell r="AA291" t="str">
            <v>Koc 2.156 (estimate)</v>
          </cell>
          <cell r="AB291" t="str">
            <v>해당없음</v>
          </cell>
          <cell r="AC291"/>
        </row>
        <row r="292">
          <cell r="A292" t="str">
            <v>8023-89-0</v>
          </cell>
          <cell r="B292" t="str">
            <v>CANARIUM LUZONICUM GUM NONVOLATILES (ELEMI RESIN)</v>
          </cell>
          <cell r="C292" t="str">
            <v>해당없음</v>
          </cell>
          <cell r="D292" t="str">
            <v>해당없음</v>
          </cell>
          <cell r="E292" t="str">
            <v>해당없음</v>
          </cell>
          <cell r="F292" t="str">
            <v>자료없음</v>
          </cell>
          <cell r="G292" t="str">
            <v>자료없음</v>
          </cell>
          <cell r="H292" t="str">
            <v>자료없음</v>
          </cell>
          <cell r="I292" t="str">
            <v>자료없음</v>
          </cell>
          <cell r="J292" t="str">
            <v>자료없음</v>
          </cell>
          <cell r="K292" t="str">
            <v>자료없음</v>
          </cell>
          <cell r="L292" t="str">
            <v>자료없음</v>
          </cell>
          <cell r="M292" t="str">
            <v>해당없음</v>
          </cell>
          <cell r="N292" t="str">
            <v>자료없음</v>
          </cell>
          <cell r="O292" t="str">
            <v>자료없음</v>
          </cell>
          <cell r="P292" t="str">
            <v>자료없음</v>
          </cell>
          <cell r="Q292" t="str">
            <v>자료없음</v>
          </cell>
          <cell r="R292" t="str">
            <v>자료없음</v>
          </cell>
          <cell r="S292" t="str">
            <v>해당없음</v>
          </cell>
          <cell r="T292" t="str">
            <v>자료없음</v>
          </cell>
          <cell r="U292" t="str">
            <v>자료없음</v>
          </cell>
          <cell r="V292" t="str">
            <v>자료없음</v>
          </cell>
          <cell r="W292" t="str">
            <v>자료없음</v>
          </cell>
          <cell r="X292" t="str">
            <v>자료없음</v>
          </cell>
          <cell r="Y292" t="str">
            <v>자료없음</v>
          </cell>
          <cell r="Z292" t="str">
            <v>자료없음</v>
          </cell>
          <cell r="AA292" t="str">
            <v>자료없음</v>
          </cell>
          <cell r="AB292" t="str">
            <v>해당없음</v>
          </cell>
          <cell r="AC292"/>
        </row>
        <row r="293">
          <cell r="A293" t="str">
            <v>8023-91-4</v>
          </cell>
          <cell r="B293" t="str">
            <v>GALBANUM OIL</v>
          </cell>
          <cell r="C293" t="str">
            <v>해당없음</v>
          </cell>
          <cell r="D293" t="str">
            <v>해당없음</v>
          </cell>
          <cell r="E293" t="str">
            <v>해당없음</v>
          </cell>
          <cell r="F293" t="str">
            <v>자료없음</v>
          </cell>
          <cell r="G293" t="str">
            <v>자료없음</v>
          </cell>
          <cell r="H293" t="str">
            <v>자료없음</v>
          </cell>
          <cell r="I293" t="str">
            <v>자료없음</v>
          </cell>
          <cell r="J293" t="str">
            <v>자료없음</v>
          </cell>
          <cell r="K293" t="str">
            <v>자료없음</v>
          </cell>
          <cell r="L293" t="str">
            <v>자료없음</v>
          </cell>
          <cell r="M293" t="str">
            <v>해당없음</v>
          </cell>
          <cell r="N293" t="str">
            <v>자료없음</v>
          </cell>
          <cell r="O293" t="str">
            <v>자료없음</v>
          </cell>
          <cell r="P293" t="str">
            <v>자료없음</v>
          </cell>
          <cell r="Q293" t="str">
            <v>자료없음</v>
          </cell>
          <cell r="R293" t="str">
            <v>자료없음</v>
          </cell>
          <cell r="S293" t="str">
            <v>해당없음</v>
          </cell>
          <cell r="T293" t="str">
            <v>자료없음</v>
          </cell>
          <cell r="U293" t="str">
            <v>자료없음</v>
          </cell>
          <cell r="V293" t="str">
            <v>자료없음</v>
          </cell>
          <cell r="W293" t="str">
            <v>자료없음</v>
          </cell>
          <cell r="X293" t="str">
            <v>자료없음</v>
          </cell>
          <cell r="Y293" t="str">
            <v>자료없음</v>
          </cell>
          <cell r="Z293" t="str">
            <v>자료없음</v>
          </cell>
          <cell r="AA293" t="str">
            <v>자료없음</v>
          </cell>
          <cell r="AB293" t="str">
            <v>해당없음</v>
          </cell>
          <cell r="AC293"/>
        </row>
        <row r="294">
          <cell r="A294" t="str">
            <v>8023-99-2</v>
          </cell>
          <cell r="B294" t="str">
            <v>PINUS SYLVESTRIS LEAF OIL</v>
          </cell>
          <cell r="C294" t="str">
            <v>해당없음</v>
          </cell>
          <cell r="D294" t="str">
            <v>해당없음</v>
          </cell>
          <cell r="E294" t="str">
            <v>해당없음</v>
          </cell>
          <cell r="F294" t="str">
            <v>자료없음</v>
          </cell>
          <cell r="G294" t="str">
            <v>자료없음</v>
          </cell>
          <cell r="H294" t="str">
            <v>자료없음</v>
          </cell>
          <cell r="I294" t="str">
            <v>자료없음</v>
          </cell>
          <cell r="J294" t="str">
            <v>자료없음</v>
          </cell>
          <cell r="K294" t="str">
            <v>자료없음</v>
          </cell>
          <cell r="L294" t="str">
            <v>자료없음</v>
          </cell>
          <cell r="M294" t="str">
            <v>해당없음</v>
          </cell>
          <cell r="N294" t="str">
            <v>자료없음</v>
          </cell>
          <cell r="O294" t="str">
            <v>자료없음</v>
          </cell>
          <cell r="P294" t="str">
            <v>자료없음</v>
          </cell>
          <cell r="Q294" t="str">
            <v>자료없음</v>
          </cell>
          <cell r="R294" t="str">
            <v>자료없음</v>
          </cell>
          <cell r="S294" t="str">
            <v>해당없음</v>
          </cell>
          <cell r="T294" t="str">
            <v>LC50 0.903 ㎎/ℓ 96 hr (ECOSAR)</v>
          </cell>
          <cell r="U294" t="str">
            <v>LC50 0.721 ㎎/ℓ 48 hr  (Daphnia magna) (ECOSAR)</v>
          </cell>
          <cell r="V294" t="str">
            <v>EC50 0.948 ㎎/ℓ 96 hr (ECOSAR)</v>
          </cell>
          <cell r="W294" t="str">
            <v>자료없음</v>
          </cell>
          <cell r="X294" t="str">
            <v>자료없음</v>
          </cell>
          <cell r="Y294" t="str">
            <v>자료없음</v>
          </cell>
          <cell r="Z294" t="str">
            <v>자료없음</v>
          </cell>
          <cell r="AA294" t="str">
            <v>자료없음</v>
          </cell>
          <cell r="AB294" t="str">
            <v>자료없음</v>
          </cell>
          <cell r="AC294"/>
        </row>
        <row r="295">
          <cell r="A295" t="str">
            <v>80-26-2</v>
          </cell>
          <cell r="B295" t="str">
            <v>TERPINYL ACETATE</v>
          </cell>
          <cell r="C295" t="str">
            <v>해당없음</v>
          </cell>
          <cell r="D295" t="str">
            <v>해당없음</v>
          </cell>
          <cell r="E295" t="str">
            <v>해당없음</v>
          </cell>
          <cell r="F295" t="str">
            <v>LD50 5,075 ㎎/㎏  (Rat) (NLM, ChemIDPlus)</v>
          </cell>
          <cell r="G295" t="str">
            <v>자료없음</v>
          </cell>
          <cell r="H295" t="str">
            <v>gas (해당없음: Liquid)</v>
          </cell>
          <cell r="I295" t="str">
            <v>자료없음</v>
          </cell>
          <cell r="J295" t="str">
            <v>자료없음</v>
          </cell>
          <cell r="K295" t="str">
            <v>자료없음</v>
          </cell>
          <cell r="L295" t="str">
            <v>자료없음</v>
          </cell>
          <cell r="M295" t="str">
            <v>해당없음</v>
          </cell>
          <cell r="N295" t="str">
            <v>자료없음</v>
          </cell>
          <cell r="O295" t="str">
            <v>자료없음</v>
          </cell>
          <cell r="P295" t="str">
            <v>자료없음</v>
          </cell>
          <cell r="Q295" t="str">
            <v>자료없음</v>
          </cell>
          <cell r="R295" t="str">
            <v>자료없음</v>
          </cell>
          <cell r="S295" t="str">
            <v>해당없음</v>
          </cell>
          <cell r="T295" t="str">
            <v>LC50 1.231 ㎎/ℓ 96 hr (Estimate)</v>
          </cell>
          <cell r="U295" t="str">
            <v>EC50 1.871 ㎎/ℓ 48 hr (Estimate)</v>
          </cell>
          <cell r="V295" t="str">
            <v>EC50 0.620 ㎎/ℓ 96 hr (Estimate)</v>
          </cell>
          <cell r="W295" t="str">
            <v>log Kow 3.96 (NLM; ChemIDPlus)</v>
          </cell>
          <cell r="X295" t="str">
            <v>자료없음</v>
          </cell>
          <cell r="Y295" t="str">
            <v>BCF 190 (Estimate)</v>
          </cell>
          <cell r="Z295" t="str">
            <v>not degraded and has a high potential to accumulate in vivo (estimate)</v>
          </cell>
          <cell r="AA295" t="str">
            <v>Koc 1122</v>
          </cell>
          <cell r="AB295" t="str">
            <v>해당없음</v>
          </cell>
        </row>
        <row r="296">
          <cell r="A296" t="str">
            <v>8028-48-6</v>
          </cell>
          <cell r="B296" t="str">
            <v>CITRUS TERPENE</v>
          </cell>
          <cell r="C296" t="str">
            <v>해당없음</v>
          </cell>
          <cell r="D296" t="str">
            <v>해당없음</v>
          </cell>
          <cell r="E296" t="str">
            <v>해당없음</v>
          </cell>
          <cell r="F296" t="str">
            <v>LD50 &gt;5,000 mg/kg Rat (ECHA)</v>
          </cell>
          <cell r="G296" t="str">
            <v>LD50 &gt;5,000 mg/kg Rabbit (ECHA)</v>
          </cell>
          <cell r="H296" t="str">
            <v>자료없음</v>
          </cell>
          <cell r="I296" t="str">
            <v>토끼 자극 (OECD 404, GLP, ECHA)</v>
          </cell>
          <cell r="J296" t="str">
            <v>토끼 비자극 (OECD 405, GLP, ECHA)</v>
          </cell>
          <cell r="K296" t="str">
            <v>자료없음</v>
          </cell>
          <cell r="L296" t="str">
            <v>mouse local lymphnode assay (LLNA) : 과민성 (GLP, ECHA)</v>
          </cell>
          <cell r="M296" t="str">
            <v>해당없음</v>
          </cell>
          <cell r="N296" t="str">
            <v>자료없음</v>
          </cell>
          <cell r="O296" t="str">
            <v>자료없음</v>
          </cell>
          <cell r="P296" t="str">
            <v>자료없음</v>
          </cell>
          <cell r="Q296" t="str">
            <v>자료없음</v>
          </cell>
          <cell r="R296" t="str">
            <v>자료없음</v>
          </cell>
          <cell r="S296" t="str">
            <v>해당없음</v>
          </cell>
          <cell r="T296" t="str">
            <v>LL50 5.65 ㎎/ℓ (Danio rerio) (RIFM Database)</v>
          </cell>
          <cell r="U296" t="str">
            <v>EL50 1.4 ㎎/ℓ (Daphnia magna) (RIFM Database)</v>
          </cell>
          <cell r="V296" t="str">
            <v>NOELR 50 ㎎/ℓ (Desmodesmus subspicatus) (RIFM Database)</v>
          </cell>
          <cell r="W296" t="str">
            <v>자료없음</v>
          </cell>
          <cell r="X296" t="str">
            <v>자료없음</v>
          </cell>
          <cell r="Y296" t="str">
            <v>자료없음</v>
          </cell>
          <cell r="Z296" t="str">
            <v>Considered non-biodegradable since there is no degradable data</v>
          </cell>
          <cell r="AA296" t="str">
            <v>자료없음</v>
          </cell>
          <cell r="AB296" t="str">
            <v>해당없음</v>
          </cell>
        </row>
        <row r="297">
          <cell r="A297" t="str">
            <v>8030-55-5</v>
          </cell>
          <cell r="B297" t="str">
            <v>DIPTEROCARPUS TURBINATUS BALSAM EXTRACT</v>
          </cell>
          <cell r="C297" t="str">
            <v>해당없음</v>
          </cell>
          <cell r="D297" t="str">
            <v>해당없음</v>
          </cell>
          <cell r="E297" t="str">
            <v>해당없음</v>
          </cell>
          <cell r="F297" t="str">
            <v>자료없음</v>
          </cell>
          <cell r="G297" t="str">
            <v>LD50 &gt; 5000 ㎎/㎏ Rabbit</v>
          </cell>
          <cell r="H297" t="str">
            <v>자료없음</v>
          </cell>
          <cell r="I297" t="str">
            <v>자료없음</v>
          </cell>
          <cell r="J297" t="str">
            <v>자료없음</v>
          </cell>
          <cell r="K297" t="str">
            <v>자료없음</v>
          </cell>
          <cell r="L297" t="str">
            <v>자료없음</v>
          </cell>
          <cell r="M297" t="str">
            <v>해당없음</v>
          </cell>
          <cell r="N297" t="str">
            <v>자료없음</v>
          </cell>
          <cell r="O297" t="str">
            <v>자료없음</v>
          </cell>
          <cell r="P297" t="str">
            <v>자료없음</v>
          </cell>
          <cell r="Q297" t="str">
            <v>자료없음</v>
          </cell>
          <cell r="R297" t="str">
            <v>자료없음</v>
          </cell>
          <cell r="S297" t="str">
            <v>해당없음</v>
          </cell>
          <cell r="T297" t="str">
            <v>자료없음</v>
          </cell>
          <cell r="U297" t="str">
            <v>자료없음</v>
          </cell>
          <cell r="V297" t="str">
            <v>자료없음</v>
          </cell>
          <cell r="W297" t="str">
            <v>자료없음</v>
          </cell>
          <cell r="X297" t="str">
            <v>자료없음</v>
          </cell>
          <cell r="Y297" t="str">
            <v>자료없음</v>
          </cell>
          <cell r="Z297" t="str">
            <v>자료없음</v>
          </cell>
          <cell r="AA297" t="str">
            <v>자료없음</v>
          </cell>
          <cell r="AB297" t="str">
            <v>해당없음</v>
          </cell>
        </row>
        <row r="298">
          <cell r="A298" t="str">
            <v>8046-19-3</v>
          </cell>
          <cell r="B298" t="str">
            <v>LIQUIDAMBAR STYRACIFLUA OIL</v>
          </cell>
          <cell r="C298" t="str">
            <v>해당없음</v>
          </cell>
          <cell r="D298" t="str">
            <v>해당없음</v>
          </cell>
          <cell r="E298" t="str">
            <v>해당없음</v>
          </cell>
          <cell r="F298" t="str">
            <v>자료없음</v>
          </cell>
          <cell r="G298" t="str">
            <v>자료없음</v>
          </cell>
          <cell r="H298" t="str">
            <v>자료없음</v>
          </cell>
          <cell r="I298" t="str">
            <v>자료없음</v>
          </cell>
          <cell r="J298" t="str">
            <v>자료없음</v>
          </cell>
          <cell r="K298" t="str">
            <v>자료없음</v>
          </cell>
          <cell r="L298" t="str">
            <v>자료없음</v>
          </cell>
          <cell r="M298" t="str">
            <v>해당없음</v>
          </cell>
          <cell r="N298" t="str">
            <v>자료없음</v>
          </cell>
          <cell r="O298" t="str">
            <v>자료없음</v>
          </cell>
          <cell r="P298" t="str">
            <v>자료없음</v>
          </cell>
          <cell r="Q298" t="str">
            <v>자료없음</v>
          </cell>
          <cell r="R298" t="str">
            <v>자료없음</v>
          </cell>
          <cell r="S298" t="str">
            <v>해당없음</v>
          </cell>
          <cell r="T298" t="str">
            <v>자료없음</v>
          </cell>
          <cell r="U298" t="str">
            <v>자료없음</v>
          </cell>
          <cell r="V298" t="str">
            <v>자료없음</v>
          </cell>
          <cell r="W298" t="str">
            <v>자료없음</v>
          </cell>
          <cell r="X298" t="str">
            <v>자료없음</v>
          </cell>
          <cell r="Y298" t="str">
            <v>자료없음</v>
          </cell>
          <cell r="Z298" t="str">
            <v>자료없음</v>
          </cell>
          <cell r="AA298" t="str">
            <v>자료없음</v>
          </cell>
          <cell r="AB298" t="str">
            <v>해당없음</v>
          </cell>
        </row>
        <row r="299">
          <cell r="A299" t="str">
            <v>8050-15-5</v>
          </cell>
          <cell r="B299" t="str">
            <v>METHYL HYDROGENATED ROSINATE
(FLORALYN)</v>
          </cell>
          <cell r="C299" t="str">
            <v>해당없음</v>
          </cell>
          <cell r="D299" t="str">
            <v>해당없음</v>
          </cell>
          <cell r="E299" t="str">
            <v>해당없음</v>
          </cell>
          <cell r="F299" t="str">
            <v>LD50 &gt; 2000 ㎎/㎏ Rat</v>
          </cell>
          <cell r="G299" t="str">
            <v>자료없음</v>
          </cell>
          <cell r="H299" t="str">
            <v>자료없음</v>
          </cell>
          <cell r="I299" t="str">
            <v>자료없음</v>
          </cell>
          <cell r="J299" t="str">
            <v>자료없음</v>
          </cell>
          <cell r="K299" t="str">
            <v>자료없음</v>
          </cell>
          <cell r="L299" t="str">
            <v>자료없음</v>
          </cell>
          <cell r="M299" t="str">
            <v>해당없음</v>
          </cell>
          <cell r="N299" t="str">
            <v>자료없음</v>
          </cell>
          <cell r="O299" t="str">
            <v>자료없음</v>
          </cell>
          <cell r="P299" t="str">
            <v>자료없음</v>
          </cell>
          <cell r="Q299" t="str">
            <v>자료없음</v>
          </cell>
          <cell r="R299" t="str">
            <v>자료없음</v>
          </cell>
          <cell r="S299" t="str">
            <v>해당없음</v>
          </cell>
          <cell r="T299" t="str">
            <v>LC50 0.113 ㎎/ℓ 96 hr (Water Solubility at 25 °C (mg/L): 0.0115) (Estimate)</v>
          </cell>
          <cell r="U299" t="str">
            <v>LC50 0.008 ㎎/ℓ 48 hr (Water Solubility at 25 °C (mg/L): 0.0115) (Estimate)</v>
          </cell>
          <cell r="V299" t="str">
            <v>EC50 0.011 ㎎/ℓ 96 hr (Water Solubility at 25 °C (mg/L): 0.0115) (Estimate)</v>
          </cell>
          <cell r="W299" t="str">
            <v>log Kow 6.92 (Estimate)</v>
          </cell>
          <cell r="X299" t="str">
            <v>자료없음</v>
          </cell>
          <cell r="Y299" t="str">
            <v>BCF 42320 (Estimate)</v>
          </cell>
          <cell r="Z299" t="str">
            <v>자료없음</v>
          </cell>
          <cell r="AA299" t="str">
            <v>자료없음</v>
          </cell>
          <cell r="AB299" t="str">
            <v>해당없음</v>
          </cell>
          <cell r="AC299"/>
        </row>
        <row r="300">
          <cell r="A300" t="str">
            <v>80-54-6</v>
          </cell>
          <cell r="B300" t="str">
            <v>LYSMERAL</v>
          </cell>
          <cell r="C300" t="str">
            <v>해당없음</v>
          </cell>
          <cell r="D300" t="str">
            <v>해당없음</v>
          </cell>
          <cell r="E300" t="str">
            <v>해당없음</v>
          </cell>
          <cell r="F300" t="str">
            <v>LD50 1,390 ㎎/㎏ (Rat) (RTECS)</v>
          </cell>
          <cell r="G300" t="str">
            <v>LD50 &gt;2,000 ㎎/㎏  (Rat) (International Uniform ChemicaL Information Database (IUCLID))</v>
          </cell>
          <cell r="H300" t="str">
            <v>LC50 0 ㎎/ℓ (Rat) (RIFM Database)</v>
          </cell>
          <cell r="I300" t="str">
            <v>래빗/피부(500 mg/24H): 중간 자극성(RTECS)</v>
          </cell>
          <cell r="J300" t="str">
            <v>래빗/눈: 비자극성(IUCLID)</v>
          </cell>
          <cell r="K300" t="str">
            <v>자료없음</v>
          </cell>
          <cell r="L300" t="str">
            <v>여러 상반된 결과들이 있지만 피부과민성 보고(ECHA</v>
          </cell>
          <cell r="M300" t="str">
            <v>해당없음</v>
          </cell>
          <cell r="N300" t="str">
            <v>자료없음</v>
          </cell>
          <cell r="O300" t="str">
            <v>자료없음</v>
          </cell>
          <cell r="P300" t="str">
            <v>자료없음</v>
          </cell>
          <cell r="Q300" t="str">
            <v>자료없음</v>
          </cell>
          <cell r="R300" t="str">
            <v>자료없음</v>
          </cell>
          <cell r="S300" t="str">
            <v>해당없음</v>
          </cell>
          <cell r="T300" t="str">
            <v>LC50 2.2~4.6 ㎎/ℓ 96 hr Brachydanio rerio (IUCLID) LC50 2.04 ㎎/ℓ  96 hr Other(Danio rerio) (ECHA Registered substances)</v>
          </cell>
          <cell r="U300" t="str">
            <v>EC50 10.7 ㎎/ℓ 48 hr Daphnia magna (IUCLID/ECHA Registered substances)</v>
          </cell>
          <cell r="V300" t="str">
            <v>EC50 29.16 ㎎/ℓ  72 hr Scenedesmus subspicatus (ECHA Registered substances)</v>
          </cell>
          <cell r="W300" t="str">
            <v>log Kow 4.2  (at 20℃) (NITE) log Kow 4.2  (at 24℃) ECHA Registered substances)</v>
          </cell>
          <cell r="X300" t="str">
            <v>readily biodegradable (ECHA Registered substances)</v>
          </cell>
          <cell r="Y300" t="str">
            <v>자료없음</v>
          </cell>
          <cell r="Z300" t="str">
            <v>84 (%) 28 day (IUCLID)</v>
          </cell>
          <cell r="AA300" t="str">
            <v>자료없음</v>
          </cell>
          <cell r="AB300" t="str">
            <v>해당없음</v>
          </cell>
        </row>
        <row r="301">
          <cell r="A301" t="str">
            <v>80-56-8</v>
          </cell>
          <cell r="B301" t="str">
            <v>ALPHA-PINENE</v>
          </cell>
          <cell r="C301" t="str">
            <v>TWA 20 ppm</v>
          </cell>
          <cell r="D301" t="str">
            <v>해당없음</v>
          </cell>
          <cell r="E301" t="str">
            <v>해당없음</v>
          </cell>
          <cell r="F301" t="str">
            <v>LD50 2100 ㎎/㎏ Rat</v>
          </cell>
          <cell r="G301" t="str">
            <v>자료없음</v>
          </cell>
          <cell r="H301" t="str">
            <v>자료없음</v>
          </cell>
          <cell r="I301" t="str">
            <v>피부에 자극을 일으킴</v>
          </cell>
          <cell r="J301" t="str">
            <v>눈에 심한 자극을 일으킴</v>
          </cell>
          <cell r="K301" t="str">
            <v>자료없음</v>
          </cell>
          <cell r="L301" t="str">
            <v>자료없음</v>
          </cell>
          <cell r="M301" t="str">
            <v>해당없음</v>
          </cell>
          <cell r="N301" t="str">
            <v>자료없음</v>
          </cell>
          <cell r="O301" t="str">
            <v>자료없음</v>
          </cell>
          <cell r="P301" t="str">
            <v>자료없음</v>
          </cell>
          <cell r="Q301" t="str">
            <v>자료없음</v>
          </cell>
          <cell r="R301" t="str">
            <v>자료없음</v>
          </cell>
          <cell r="S301" t="str">
            <v>해당없음</v>
          </cell>
          <cell r="T301" t="str">
            <v>LC50 0.28 ㎎/ℓ 96 hr Pimephales promelas (IUCLID)</v>
          </cell>
          <cell r="U301" t="str">
            <v>LC50 41 ㎎/ℓ 48 hr Daphnia magna (ECOTOX)</v>
          </cell>
          <cell r="V301" t="str">
            <v>자료없음</v>
          </cell>
          <cell r="W301" t="str">
            <v>log Kow 4.834 (IUCLID)</v>
          </cell>
          <cell r="X301" t="str">
            <v>자료없음</v>
          </cell>
          <cell r="Y301" t="str">
            <v>BCF 1040 (HSDB)</v>
          </cell>
          <cell r="Z301" t="str">
            <v>자료없음</v>
          </cell>
          <cell r="AA301" t="str">
            <v>Koc 2600 (HSDB)</v>
          </cell>
          <cell r="AB301" t="str">
            <v>해당없음</v>
          </cell>
        </row>
        <row r="302">
          <cell r="A302" t="str">
            <v>80-71-7</v>
          </cell>
          <cell r="B302" t="str">
            <v>METHYL CYCLOPENTENOLONE</v>
          </cell>
          <cell r="C302" t="str">
            <v>해당없음</v>
          </cell>
          <cell r="D302" t="str">
            <v>해당없음</v>
          </cell>
          <cell r="E302" t="str">
            <v>해당없음</v>
          </cell>
          <cell r="F302" t="str">
            <v>LD50 1,400 ㎎/㎏ (Guineapig) (National Library of Medicine)</v>
          </cell>
          <cell r="G302" t="str">
            <v>자료없음</v>
          </cell>
          <cell r="H302" t="str">
            <v>자료없음</v>
          </cell>
          <cell r="I302" t="str">
            <v>자료없음</v>
          </cell>
          <cell r="J302" t="str">
            <v>자료없음</v>
          </cell>
          <cell r="K302" t="str">
            <v>자료없음</v>
          </cell>
          <cell r="L302" t="str">
            <v>자료없음</v>
          </cell>
          <cell r="M302" t="str">
            <v>해당없음</v>
          </cell>
          <cell r="N302" t="str">
            <v>Sister-chromatid exchange (SCE) 테스트결과 : 양성</v>
          </cell>
          <cell r="O302" t="str">
            <v>자료없음</v>
          </cell>
          <cell r="P302" t="str">
            <v>자료없음</v>
          </cell>
          <cell r="Q302" t="str">
            <v>자료없음</v>
          </cell>
          <cell r="R302" t="str">
            <v>자료없음</v>
          </cell>
          <cell r="S302" t="str">
            <v>해당없음</v>
          </cell>
          <cell r="T302" t="str">
            <v>LC50 2.835 ㎎/ℓ 96 hr (Estimate)</v>
          </cell>
          <cell r="U302" t="str">
            <v>EC50 0.400 ㎎/ℓ 48 hr (Estimate)</v>
          </cell>
          <cell r="V302" t="str">
            <v>EC50 48.301 ㎎/ℓ 96 hr (Estimate)</v>
          </cell>
          <cell r="W302" t="str">
            <v>log Kow 1.29 (Estimate)</v>
          </cell>
          <cell r="X302" t="str">
            <v>자료없음</v>
          </cell>
          <cell r="Y302" t="str">
            <v>BCF 3.287</v>
          </cell>
          <cell r="Z302" t="str">
            <v>(cut-off value0.6973: rapidly biodegradable(biowin5))| (Estimate)</v>
          </cell>
          <cell r="AA302" t="str">
            <v>Koc 1.423 (estimate)</v>
          </cell>
          <cell r="AB302" t="str">
            <v>해당없음</v>
          </cell>
          <cell r="AC302"/>
        </row>
        <row r="303">
          <cell r="A303" t="str">
            <v>81-14-1</v>
          </cell>
          <cell r="B303" t="str">
            <v>MUSK KETONE</v>
          </cell>
          <cell r="C303" t="str">
            <v>해당없음</v>
          </cell>
          <cell r="D303" t="str">
            <v>해당없음</v>
          </cell>
          <cell r="E303" t="str">
            <v>해당없음</v>
          </cell>
          <cell r="F303" t="str">
            <v>LD50 10,000 ㎎/㎏ (Rat) (RAR)</v>
          </cell>
          <cell r="G303" t="str">
            <v>LD50 10,000 ㎎/㎏  (Rabbit) (NLM, ChemIDPlus)</v>
          </cell>
          <cell r="H303" t="str">
            <v>gas (해당없음: Solid)</v>
          </cell>
          <cell r="I303" t="str">
            <v>토끼, 피부 자극성 증상 없음 (RAR)</v>
          </cell>
          <cell r="J303" t="str">
            <v>토끼 (OECD TG 405), 각막, 홍채에 영향 없음. 약한 충혈(score 1), 약한 부종(score 1) (RAR)</v>
          </cell>
          <cell r="K303" t="str">
            <v>자료없음</v>
          </cell>
          <cell r="L303" t="str">
            <v>인간, maximisation test, 과민반응 없음. (RAR)</v>
          </cell>
          <cell r="M303" t="str">
            <v>EU CLP : 2</v>
          </cell>
          <cell r="N303" t="str">
            <v>In vitro-미생물 복귀돌연변이시험 (Salmonella typhimurium TA 97, 98,100, 102, 1535): 음성 (RAR), 미생물복귀돌연변이시험 (Salmonella typhimurium TA 97, 98,100, 1535): 음성 (NLM; CCRIS), 포유류 배양세포를 이용한 유전자돌연변이시험 (마우스 림프종, L5178Y (TK+/TK-))(OECD 476): 음성 (RAR) (NLM; CCRIS), 간세포(PRIMARY HEPATOCYTES) (THYINCORP) UDS 시험: 음성 (NLM; CCRIS), In vivo-소핵 시험(ICR mice): 음성 (RAR)</v>
          </cell>
          <cell r="O303" t="str">
            <v>랫드(pregnant Sprague-Dawley)/oral, gavage 발달독성에 대한 NOAEL45 mg/kg bw/day, 착상후 배아 손실이 증가, 태아의 사망 없음, 태아의 무게 감소, 최기형성의 징후 없음 (RAR) 랫드(pregnant Charles River CD)/gavage, 모독성에 대한 NOAEL=7.5 mg/kg bw/day, 산후독성에 대한 NOAEL=2.5 mg/kg bw/day, 어미의 무게 감소 (RAR), 랫드/경피, 90 days, 생식기관에 영향 없음 (RAR)</v>
          </cell>
          <cell r="P303" t="str">
            <v>랫드/경구,코 주위에 혈성분비물, 과다흥분성, 우울증, 혼수, 사망 (RAR)</v>
          </cell>
          <cell r="Q303" t="str">
            <v>랫드(수컷, F344)/경구, 7 일 노출 연구, 간 무게 증가 (RAR), 랫드(Sprague-Dawley)/경피, 90 일 연구, (OECD TG 411) NOEL=24 mg/kg bw/day, 간 무게 증가 (RAR), 랫드(female CD rats, 6 weeks)와 햄스터(female Syrian golden hamsters, 13 weeks)/흡입, 영향없음 (RAR)</v>
          </cell>
          <cell r="R303" t="str">
            <v>자료없음</v>
          </cell>
          <cell r="S303" t="str">
            <v>해당없음</v>
          </cell>
          <cell r="T303" t="str">
            <v>자료없음</v>
          </cell>
          <cell r="U303" t="str">
            <v>EC50 &gt;0.46 ㎎/ℓ 48 hr Daphnia magna (RAR)</v>
          </cell>
          <cell r="V303" t="str">
            <v>ErC50 0.12 ㎎/ℓ 72 hr Selenastrum capricornutum (RAR)</v>
          </cell>
          <cell r="W303" t="str">
            <v>log Kow 4.3 (RAR)</v>
          </cell>
          <cell r="X303" t="str">
            <v>자료없음</v>
          </cell>
          <cell r="Y303" t="str">
            <v>BCF 1380 (RAR)</v>
          </cell>
          <cell r="Z303" t="str">
            <v>not degraded and has a high potential to accumulate in vivo (estimate)</v>
          </cell>
          <cell r="AA303" t="str">
            <v>Koc 12680</v>
          </cell>
          <cell r="AB303" t="str">
            <v>해당없음</v>
          </cell>
        </row>
        <row r="304">
          <cell r="A304" t="str">
            <v>81782-77-6</v>
          </cell>
          <cell r="B304" t="str">
            <v>METHYL DECENOL</v>
          </cell>
          <cell r="C304" t="str">
            <v>해당없음</v>
          </cell>
          <cell r="D304" t="str">
            <v>해당없음</v>
          </cell>
          <cell r="E304" t="str">
            <v>해당없음</v>
          </cell>
          <cell r="F304" t="str">
            <v>LD50 8 ㎎/㎏ (Mouse) (RTECS)</v>
          </cell>
          <cell r="G304" t="str">
            <v>LD50 &gt;5,000 ㎎/㎏ ((Read-Across 3,7-dimethyl-4,6-octadien-3-ol) (OECD Guideline 402)) (Rabbit) (ECHA Chem)</v>
          </cell>
          <cell r="H304" t="str">
            <v>자료없음</v>
          </cell>
          <cell r="I304" t="str">
            <v>토끼를 이용한 시험결과, 피부에 자극을 일으키지 않음(OECD Guideline 404, GLP)(ECHA). 토끼를 이용한시험결과, 피부에 중간정도의 자극을 일으킴(RTECS)</v>
          </cell>
          <cell r="J304" t="str">
            <v>토끼를 이용한 시험결과, 희석하지 않은 물질을 투여했을 시 결막발적, 약한 결막 부종 및 각막 혼탁이 관찰되었으나 마지막 3일동안에만 관찰되었음. 시험물질의 노출로 관찰된 이러한 영향들은 EU CLP규정에 따라 분류할 만큼 심각하지 않았음(OECD Guideline 405, GLP)(ECHA). 토끼를 이용한 시험결과, 눈에 중간정도의 자극을 일으킴(RTECS)</v>
          </cell>
          <cell r="K304" t="str">
            <v>자료없음</v>
          </cell>
          <cell r="L304" t="str">
            <v>기니피그를 이용한 시험(open epicutaneous test)결과, 비과민성(ECHA)</v>
          </cell>
          <cell r="M304" t="str">
            <v>해당없음</v>
          </cell>
          <cell r="N304" t="str">
            <v>시험관내 박테리아 복귀돌연변이시험결과, 대사활성계 유무에 상관없이 음성(OECD Guideline 471,
GLP)(ECHA). 생체내 소핵시험결과, 음성(OECD Guideline 474, GLP)(read-across; Reaction mass of 2,6-Octadien-1-ol, 3,7-
dimethyl-, (E)and (Z)-)(ECHA).</v>
          </cell>
          <cell r="O304" t="str">
            <v>랫드(암/수)를 이용한 생식독성/발달독성시험결과, NOAEL(생식능, 일반독성, 전신독성, 모독성 및 발달독성)=300 mg/kg bw/day.(OECD Guideline 421, GLP)(read-across; geraniol)(ECHA)</v>
          </cell>
          <cell r="P304" t="str">
            <v>자료없음</v>
          </cell>
          <cell r="Q304" t="str">
            <v>랫드(암/수)를 이용한 반복경구투여시험결과, 1000ppm에 노출된 어떠한 시험동물에서도 성장, 혈액학, 조직 내 거시적 또는 미세 변화에 대해 시험물질의 투여와 관련된 증상은 관찰되지 않음(ECHA)</v>
          </cell>
          <cell r="R304" t="str">
            <v>6.9 mm²/s (static)(40 °C)(OECD Test Guideline 114)(ECHA)</v>
          </cell>
          <cell r="S304" t="str">
            <v>해당없음</v>
          </cell>
          <cell r="T304" t="str">
            <v>LC50 3 ㎎/ℓ 96 hr (OECD Guideline 203, GLP) (Pimephales promelas) (ECHA Chem)</v>
          </cell>
          <cell r="U304" t="str">
            <v>EC50 0.4 ㎎/ℓ 48 hr (OECD Guideline 202, GLP) (Daphnia magna) (ECHA Chem)</v>
          </cell>
          <cell r="V304" t="str">
            <v>EC50 3.6 ㎎/ℓ 72 hr (OECD Guideline 201, GLP)) (Pseudokirchnerella Subcapitata) (ECHA Chem)</v>
          </cell>
          <cell r="W304" t="str">
            <v>log kow=3.9(30 °C)(OECD Guideline 117, GLP)(ECHA)</v>
          </cell>
          <cell r="X304" t="str">
            <v>자료없음</v>
          </cell>
          <cell r="Y304" t="str">
            <v>BCF=412(QSAR; ECHA)</v>
          </cell>
          <cell r="Z304" t="str">
            <v>73%, 28 days (OECD Guideline 301 F, GLP)(ECHA)</v>
          </cell>
          <cell r="AA304" t="str">
            <v>Koc 1174   ((OECD Guideline 121)) (ECHA Chem)</v>
          </cell>
          <cell r="AB304" t="str">
            <v>Algae Pseudokirchnerella subcapitata 72 h NOEC=1.3 mg/L(growth rate)(OECD Guideline 201 GLP)(ECHA)</v>
          </cell>
          <cell r="AC304"/>
        </row>
        <row r="305">
          <cell r="A305" t="str">
            <v>81786-73-4</v>
          </cell>
          <cell r="B305" t="str">
            <v>PENTAMETHYLHEPTENONE</v>
          </cell>
          <cell r="C305" t="str">
            <v>해당없음</v>
          </cell>
          <cell r="D305" t="str">
            <v>해당없음</v>
          </cell>
          <cell r="E305" t="str">
            <v>해당없음</v>
          </cell>
          <cell r="F305" t="str">
            <v>자료없음</v>
          </cell>
          <cell r="G305" t="str">
            <v>자료없음</v>
          </cell>
          <cell r="H305" t="str">
            <v>자료없음</v>
          </cell>
          <cell r="I305" t="str">
            <v>자료없음</v>
          </cell>
          <cell r="J305" t="str">
            <v>자료없음</v>
          </cell>
          <cell r="K305" t="str">
            <v>자료없음</v>
          </cell>
          <cell r="L305" t="str">
            <v>자료없음</v>
          </cell>
          <cell r="M305" t="str">
            <v>해당없음</v>
          </cell>
          <cell r="N305" t="str">
            <v>자료없음</v>
          </cell>
          <cell r="O305" t="str">
            <v>자료없음</v>
          </cell>
          <cell r="P305" t="str">
            <v>자료없음</v>
          </cell>
          <cell r="Q305" t="str">
            <v>자료없음</v>
          </cell>
          <cell r="R305" t="str">
            <v>자료없음</v>
          </cell>
          <cell r="S305" t="str">
            <v>해당없음</v>
          </cell>
          <cell r="T305" t="str">
            <v>자료없음</v>
          </cell>
          <cell r="U305" t="str">
            <v>자료없음</v>
          </cell>
          <cell r="V305" t="str">
            <v>자료없음</v>
          </cell>
          <cell r="W305" t="str">
            <v>자료없음</v>
          </cell>
          <cell r="X305" t="str">
            <v>자료없음</v>
          </cell>
          <cell r="Y305" t="str">
            <v>자료없음</v>
          </cell>
          <cell r="Z305" t="str">
            <v>자료없음</v>
          </cell>
          <cell r="AA305" t="str">
            <v>자료없음</v>
          </cell>
          <cell r="AB305" t="str">
            <v>해당없음</v>
          </cell>
          <cell r="AC305"/>
        </row>
        <row r="306">
          <cell r="A306" t="str">
            <v>82356-51-2</v>
          </cell>
          <cell r="B306" t="str">
            <v>METHYLCYCLOPENTADECENONE</v>
          </cell>
          <cell r="C306" t="str">
            <v>해당없음</v>
          </cell>
          <cell r="D306" t="str">
            <v>해당없음</v>
          </cell>
          <cell r="E306" t="str">
            <v>해당없음</v>
          </cell>
          <cell r="F306" t="str">
            <v>자료없음</v>
          </cell>
          <cell r="G306" t="str">
            <v>자료없음</v>
          </cell>
          <cell r="H306" t="str">
            <v>자료없음</v>
          </cell>
          <cell r="I306" t="str">
            <v>자료없음</v>
          </cell>
          <cell r="J306" t="str">
            <v>자료없음</v>
          </cell>
          <cell r="K306" t="str">
            <v>자료없음</v>
          </cell>
          <cell r="L306" t="str">
            <v>자료없음</v>
          </cell>
          <cell r="M306" t="str">
            <v>해당없음</v>
          </cell>
          <cell r="N306" t="str">
            <v>자료없음</v>
          </cell>
          <cell r="O306" t="str">
            <v>자료없음</v>
          </cell>
          <cell r="P306" t="str">
            <v>자료없음</v>
          </cell>
          <cell r="Q306" t="str">
            <v>자료없음</v>
          </cell>
          <cell r="R306" t="str">
            <v>자료없음</v>
          </cell>
          <cell r="S306" t="str">
            <v>해당없음</v>
          </cell>
          <cell r="T306" t="str">
            <v>자료없음</v>
          </cell>
          <cell r="U306" t="str">
            <v>자료없음</v>
          </cell>
          <cell r="V306" t="str">
            <v>자료없음</v>
          </cell>
          <cell r="W306" t="str">
            <v>자료없음</v>
          </cell>
          <cell r="X306" t="str">
            <v>자료없음</v>
          </cell>
          <cell r="Y306" t="str">
            <v>자료없음</v>
          </cell>
          <cell r="Z306" t="str">
            <v>자료없음</v>
          </cell>
          <cell r="AA306" t="str">
            <v>자료없음</v>
          </cell>
          <cell r="AB306" t="str">
            <v>해당없음</v>
          </cell>
          <cell r="AC306"/>
        </row>
        <row r="307">
          <cell r="A307" t="str">
            <v>84238-29-9</v>
          </cell>
          <cell r="B307" t="str">
            <v>VETIVER JAVA OIL</v>
          </cell>
          <cell r="C307" t="str">
            <v>해당없음</v>
          </cell>
          <cell r="D307" t="str">
            <v>해당없음</v>
          </cell>
          <cell r="E307" t="str">
            <v>해당없음</v>
          </cell>
          <cell r="F307" t="str">
            <v>자료없음</v>
          </cell>
          <cell r="G307" t="str">
            <v>자료없음</v>
          </cell>
          <cell r="H307" t="str">
            <v>자료없음</v>
          </cell>
          <cell r="I307" t="str">
            <v>자료없음</v>
          </cell>
          <cell r="J307" t="str">
            <v>자료없음</v>
          </cell>
          <cell r="K307" t="str">
            <v>자료없음</v>
          </cell>
          <cell r="L307" t="str">
            <v>자료없음</v>
          </cell>
          <cell r="M307" t="str">
            <v>해당없음</v>
          </cell>
          <cell r="N307" t="str">
            <v>자료없음</v>
          </cell>
          <cell r="O307" t="str">
            <v>자료없음</v>
          </cell>
          <cell r="P307" t="str">
            <v>자료없음</v>
          </cell>
          <cell r="Q307" t="str">
            <v>자료없음</v>
          </cell>
          <cell r="R307" t="str">
            <v>자료없음</v>
          </cell>
          <cell r="S307" t="str">
            <v>해당없음</v>
          </cell>
          <cell r="T307" t="str">
            <v>자료없음</v>
          </cell>
          <cell r="U307" t="str">
            <v>자료없음</v>
          </cell>
          <cell r="V307" t="str">
            <v>자료없음</v>
          </cell>
          <cell r="W307" t="str">
            <v>자료없음</v>
          </cell>
          <cell r="X307" t="str">
            <v>자료없음</v>
          </cell>
          <cell r="Y307" t="str">
            <v>자료없음</v>
          </cell>
          <cell r="Z307" t="str">
            <v>자료없음</v>
          </cell>
          <cell r="AA307" t="str">
            <v>자료없음</v>
          </cell>
          <cell r="AB307" t="str">
            <v>해당없음</v>
          </cell>
        </row>
        <row r="308">
          <cell r="A308" t="str">
            <v>84625-40-1</v>
          </cell>
          <cell r="B308" t="str">
            <v>FENUGREEK EXTRACT</v>
          </cell>
          <cell r="C308" t="str">
            <v>해당없음</v>
          </cell>
          <cell r="D308" t="str">
            <v>해당없음</v>
          </cell>
          <cell r="E308" t="str">
            <v>해당없음</v>
          </cell>
          <cell r="F308" t="str">
            <v>자료없음</v>
          </cell>
          <cell r="G308" t="str">
            <v>자료없음</v>
          </cell>
          <cell r="H308" t="str">
            <v>자료없음</v>
          </cell>
          <cell r="I308" t="str">
            <v>자료없음</v>
          </cell>
          <cell r="J308" t="str">
            <v>자료없음</v>
          </cell>
          <cell r="K308" t="str">
            <v>자료없음</v>
          </cell>
          <cell r="L308" t="str">
            <v>자료없음</v>
          </cell>
          <cell r="M308" t="str">
            <v>해당없음</v>
          </cell>
          <cell r="N308" t="str">
            <v>자료없음</v>
          </cell>
          <cell r="O308" t="str">
            <v>자료없음</v>
          </cell>
          <cell r="P308" t="str">
            <v>자료없음</v>
          </cell>
          <cell r="Q308" t="str">
            <v>자료없음</v>
          </cell>
          <cell r="R308" t="str">
            <v>자료없음</v>
          </cell>
          <cell r="S308" t="str">
            <v>해당없음</v>
          </cell>
          <cell r="T308" t="str">
            <v>자료없음</v>
          </cell>
          <cell r="U308" t="str">
            <v>자료없음</v>
          </cell>
          <cell r="V308" t="str">
            <v>자료없음</v>
          </cell>
          <cell r="W308" t="str">
            <v>자료없음</v>
          </cell>
          <cell r="X308" t="str">
            <v>자료없음</v>
          </cell>
          <cell r="Y308" t="str">
            <v>자료없음</v>
          </cell>
          <cell r="Z308" t="str">
            <v>자료없음</v>
          </cell>
          <cell r="AA308" t="str">
            <v>자료없음</v>
          </cell>
          <cell r="AB308" t="str">
            <v>해당없음</v>
          </cell>
        </row>
        <row r="309">
          <cell r="A309" t="str">
            <v>84775-64-4</v>
          </cell>
          <cell r="B309" t="str">
            <v>LABDANUM RESINOIDE</v>
          </cell>
          <cell r="C309" t="str">
            <v>해당없음</v>
          </cell>
          <cell r="D309" t="str">
            <v>해당없음</v>
          </cell>
          <cell r="E309" t="str">
            <v>해당없음</v>
          </cell>
          <cell r="F309" t="str">
            <v>자료없음</v>
          </cell>
          <cell r="G309" t="str">
            <v>자료없음</v>
          </cell>
          <cell r="H309" t="str">
            <v>자료없음</v>
          </cell>
          <cell r="I309" t="str">
            <v>자료없음</v>
          </cell>
          <cell r="J309" t="str">
            <v>자료없음</v>
          </cell>
          <cell r="K309" t="str">
            <v>자료없음</v>
          </cell>
          <cell r="L309" t="str">
            <v>자료없음</v>
          </cell>
          <cell r="M309" t="str">
            <v>해당없음</v>
          </cell>
          <cell r="N309" t="str">
            <v>자료없음</v>
          </cell>
          <cell r="O309" t="str">
            <v>자료없음</v>
          </cell>
          <cell r="P309" t="str">
            <v>자료없음</v>
          </cell>
          <cell r="Q309" t="str">
            <v>자료없음</v>
          </cell>
          <cell r="R309" t="str">
            <v>자료없음</v>
          </cell>
          <cell r="S309" t="str">
            <v>헤당없음</v>
          </cell>
          <cell r="T309" t="str">
            <v>자료없음</v>
          </cell>
          <cell r="U309" t="str">
            <v>자료없음</v>
          </cell>
          <cell r="V309" t="str">
            <v>자료없음</v>
          </cell>
          <cell r="W309" t="str">
            <v>자료없음</v>
          </cell>
          <cell r="X309" t="str">
            <v>자료없음</v>
          </cell>
          <cell r="Y309" t="str">
            <v>자료없음</v>
          </cell>
          <cell r="Z309" t="str">
            <v>자료없음</v>
          </cell>
          <cell r="AA309" t="str">
            <v>자료없음</v>
          </cell>
          <cell r="AB309" t="str">
            <v>해당없음</v>
          </cell>
        </row>
        <row r="310">
          <cell r="A310" t="str">
            <v>85-91-6</v>
          </cell>
          <cell r="B310" t="str">
            <v>METHYL N-METHYLANTHRANILATE</v>
          </cell>
          <cell r="C310" t="str">
            <v>해당없음</v>
          </cell>
          <cell r="D310" t="str">
            <v>해당없음</v>
          </cell>
          <cell r="E310" t="str">
            <v>해당없음</v>
          </cell>
          <cell r="F310" t="str">
            <v>LD50 2,250 ㎎/㎏ (Rat) (RIFM Database)</v>
          </cell>
          <cell r="G310" t="str">
            <v>LD50 3,739 ㎎/㎏ (Rabbit) (RIFM Database)</v>
          </cell>
          <cell r="H310" t="str">
            <v>LC50 83 ㎎/ℓ (Rat) (RIFM Database)</v>
          </cell>
          <cell r="I310" t="str">
            <v>자료없음</v>
          </cell>
          <cell r="J310" t="str">
            <v>자료없음</v>
          </cell>
          <cell r="K310" t="str">
            <v>자료없음</v>
          </cell>
          <cell r="L310" t="str">
            <v>자료없음</v>
          </cell>
          <cell r="M310" t="str">
            <v>해당없음</v>
          </cell>
          <cell r="N310" t="str">
            <v>자료없음</v>
          </cell>
          <cell r="O310" t="str">
            <v>자료없음</v>
          </cell>
          <cell r="P310" t="str">
            <v>자료없음</v>
          </cell>
          <cell r="Q310" t="str">
            <v>자료없음</v>
          </cell>
          <cell r="R310" t="str">
            <v>자료없음</v>
          </cell>
          <cell r="S310" t="str">
            <v>해당없음</v>
          </cell>
          <cell r="T310" t="str">
            <v>LC50 7.711 ㎎/ℓ 96 hr (Estimate)</v>
          </cell>
          <cell r="U310" t="str">
            <v>LC50 14.274 ㎎/ℓ 48 hr (Estimate)</v>
          </cell>
          <cell r="V310" t="str">
            <v>EC50 5.575 ㎎/ℓ 96 hr (Estimate)</v>
          </cell>
          <cell r="W310" t="str">
            <v>자료없음</v>
          </cell>
          <cell r="X310" t="str">
            <v>자료없음</v>
          </cell>
          <cell r="Y310" t="str">
            <v>BCF 33.3 (Estimate)</v>
          </cell>
          <cell r="Z310" t="str">
            <v>(Cut-off value=0.3766; Non-degradable(BIOWIN6)) (estimate)</v>
          </cell>
          <cell r="AA310" t="str">
            <v>Koc 234.6 (estimate)</v>
          </cell>
          <cell r="AB310" t="str">
            <v>해당없음</v>
          </cell>
          <cell r="AC310"/>
        </row>
        <row r="311">
          <cell r="A311" t="str">
            <v>87-44-5</v>
          </cell>
          <cell r="B311" t="str">
            <v>BETA-CARYOPHLLENE</v>
          </cell>
          <cell r="C311" t="str">
            <v>해당없음</v>
          </cell>
          <cell r="D311" t="str">
            <v>해당없음</v>
          </cell>
          <cell r="E311" t="str">
            <v>해당없음</v>
          </cell>
          <cell r="F311" t="str">
            <v>LD50 &gt;5000 (Mouse)(ECHA)</v>
          </cell>
          <cell r="G311" t="str">
            <v>자료없음</v>
          </cell>
          <cell r="H311" t="str">
            <v>자료없음</v>
          </cell>
          <cell r="I311" t="str">
            <v>자료없음</v>
          </cell>
          <cell r="J311" t="str">
            <v>자료없음</v>
          </cell>
          <cell r="K311" t="str">
            <v>자료없음</v>
          </cell>
          <cell r="L311" t="str">
            <v>자료없음</v>
          </cell>
          <cell r="M311" t="str">
            <v>해당없음</v>
          </cell>
          <cell r="N311" t="str">
            <v>자료없음</v>
          </cell>
          <cell r="O311" t="str">
            <v>자료없음</v>
          </cell>
          <cell r="P311" t="str">
            <v>자료없음</v>
          </cell>
          <cell r="Q311" t="str">
            <v>자료없음</v>
          </cell>
          <cell r="R311" t="str">
            <v>자료없음</v>
          </cell>
          <cell r="S311" t="str">
            <v>해당없음</v>
          </cell>
          <cell r="T311" t="str">
            <v>자료없음</v>
          </cell>
          <cell r="U311" t="str">
            <v>자료없음</v>
          </cell>
          <cell r="V311" t="str">
            <v>EC50 &gt; 0.033 ㎎/ℓ 72 hr  (Scenedesmus subspicatus) (ECHA)</v>
          </cell>
          <cell r="W311" t="str">
            <v>자료없음</v>
          </cell>
          <cell r="X311" t="str">
            <v>자료없음</v>
          </cell>
          <cell r="Y311" t="str">
            <v>자료없음</v>
          </cell>
          <cell r="Z311" t="str">
            <v>자료없음</v>
          </cell>
          <cell r="AA311" t="str">
            <v>자료없음</v>
          </cell>
          <cell r="AB311" t="str">
            <v>해당없음</v>
          </cell>
        </row>
        <row r="312">
          <cell r="A312" t="str">
            <v>88-41-5</v>
          </cell>
          <cell r="B312" t="str">
            <v>O-T-BUTYL CYCLOHEXYL ACETATE</v>
          </cell>
          <cell r="C312" t="str">
            <v>해당없음</v>
          </cell>
          <cell r="D312" t="str">
            <v>해당없음</v>
          </cell>
          <cell r="E312" t="str">
            <v>해당없음</v>
          </cell>
          <cell r="F312" t="str">
            <v>LD50 4,600 ㎎/㎏ (Rat) (Registry of Toxic Effects of Chemical Substances, National Library of Medicine)</v>
          </cell>
          <cell r="G312" t="str">
            <v xml:space="preserve">LD50 5,000 ㎎/㎏ (Rabbit) (Registry of Toxic Effects of Chemical Substances, National Library of Medicine) </v>
          </cell>
          <cell r="H312" t="str">
            <v>자료없음</v>
          </cell>
          <cell r="I312" t="str">
            <v>자료없음</v>
          </cell>
          <cell r="J312" t="str">
            <v>자료없음</v>
          </cell>
          <cell r="K312" t="str">
            <v>자료없음</v>
          </cell>
          <cell r="L312" t="str">
            <v>자료없음</v>
          </cell>
          <cell r="M312" t="str">
            <v>해당없음</v>
          </cell>
          <cell r="N312" t="str">
            <v>Computed Probability of Mutagenicy 0.000</v>
          </cell>
          <cell r="O312" t="str">
            <v>자료없음</v>
          </cell>
          <cell r="P312" t="str">
            <v>자료없음</v>
          </cell>
          <cell r="Q312" t="str">
            <v>자료없음</v>
          </cell>
          <cell r="R312" t="str">
            <v>자료없음</v>
          </cell>
          <cell r="S312" t="str">
            <v>해당없음</v>
          </cell>
          <cell r="T312" t="str">
            <v>LC50 1.111 ㎎/ℓ 96 hr (Estimate)</v>
          </cell>
          <cell r="U312" t="str">
            <v>LC50 1.671 ㎎/ℓ 48 hr (Estimate)</v>
          </cell>
          <cell r="V312" t="str">
            <v>EC50 0.549 ㎎/ℓ 96 hr (Estimate)</v>
          </cell>
          <cell r="W312" t="str">
            <v>log Kow 4.42</v>
          </cell>
          <cell r="X312" t="str">
            <v>자료없음</v>
          </cell>
          <cell r="Y312" t="str">
            <v>자료없음</v>
          </cell>
          <cell r="Z312" t="str">
            <v>(Cut-off value=0.9275; rapidly biodegradable(BIOWIN 2)) (estimate)</v>
          </cell>
          <cell r="AA312" t="str">
            <v>Koc 2015 (Can be adsorbed in the soil) (estimate)</v>
          </cell>
          <cell r="AB312" t="str">
            <v>해당없음</v>
          </cell>
        </row>
        <row r="313">
          <cell r="A313" t="str">
            <v>89-43-0</v>
          </cell>
          <cell r="B313" t="str">
            <v>AURANTIOL</v>
          </cell>
          <cell r="C313" t="str">
            <v>해당없음</v>
          </cell>
          <cell r="D313" t="str">
            <v>해당없음</v>
          </cell>
          <cell r="E313" t="str">
            <v>해당없음</v>
          </cell>
          <cell r="F313" t="str">
            <v>자료없음</v>
          </cell>
          <cell r="G313" t="str">
            <v>자료없음</v>
          </cell>
          <cell r="H313" t="str">
            <v>자료없음</v>
          </cell>
          <cell r="I313" t="str">
            <v>자료없음</v>
          </cell>
          <cell r="J313" t="str">
            <v>자료없음</v>
          </cell>
          <cell r="K313" t="str">
            <v>자료없음</v>
          </cell>
          <cell r="L313" t="str">
            <v>자료없음</v>
          </cell>
          <cell r="M313" t="str">
            <v>해당없음</v>
          </cell>
          <cell r="N313" t="str">
            <v>자료없음</v>
          </cell>
          <cell r="O313" t="str">
            <v>자료없음</v>
          </cell>
          <cell r="P313" t="str">
            <v>자료없음</v>
          </cell>
          <cell r="Q313" t="str">
            <v>자료없음</v>
          </cell>
          <cell r="R313" t="str">
            <v>자료없음</v>
          </cell>
          <cell r="S313" t="str">
            <v>해당없음</v>
          </cell>
          <cell r="T313" t="str">
            <v>자료없음</v>
          </cell>
          <cell r="U313" t="str">
            <v>자료없음</v>
          </cell>
          <cell r="V313" t="str">
            <v>EC50 1.396 ㎎/ℓ 96 hr (Estimate)</v>
          </cell>
          <cell r="W313" t="str">
            <v>log Kow 4.10 (estimate) (NLM/ChemIDPlus)</v>
          </cell>
          <cell r="X313" t="str">
            <v>자료없음</v>
          </cell>
          <cell r="Y313" t="str">
            <v>BCF 236 (Estimate)</v>
          </cell>
          <cell r="Z313" t="str">
            <v>non-degradable; not degraded and has a high potential to accumulate in vivo (estimate)</v>
          </cell>
          <cell r="AA313" t="str">
            <v>Koc 2348</v>
          </cell>
          <cell r="AB313" t="str">
            <v>해당없음</v>
          </cell>
        </row>
        <row r="314">
          <cell r="A314" t="str">
            <v>89-80-5</v>
          </cell>
          <cell r="B314" t="str">
            <v>MENTHONE</v>
          </cell>
          <cell r="C314" t="str">
            <v>해당없음</v>
          </cell>
          <cell r="D314" t="str">
            <v>해당없음</v>
          </cell>
          <cell r="E314" t="str">
            <v>해당없음</v>
          </cell>
          <cell r="F314" t="str">
            <v>자료없음</v>
          </cell>
          <cell r="G314" t="str">
            <v>자료없음</v>
          </cell>
          <cell r="H314" t="str">
            <v>자료없음</v>
          </cell>
          <cell r="I314" t="str">
            <v>자료없음</v>
          </cell>
          <cell r="J314" t="str">
            <v>자료없음</v>
          </cell>
          <cell r="K314" t="str">
            <v>자료없음</v>
          </cell>
          <cell r="L314" t="str">
            <v>자료없음</v>
          </cell>
          <cell r="M314" t="str">
            <v>해당없음</v>
          </cell>
          <cell r="N314" t="str">
            <v>Ames 시험 : 음성, 유전자변이 시험 : 음성 (NIER 고시 제2016-15호 유해성심사결과)</v>
          </cell>
          <cell r="O314" t="str">
            <v>자료없음</v>
          </cell>
          <cell r="P314" t="str">
            <v>자료없음</v>
          </cell>
          <cell r="Q314" t="str">
            <v>자료없음</v>
          </cell>
          <cell r="R314" t="str">
            <v>자료없음</v>
          </cell>
          <cell r="S314" t="str">
            <v>해당없음</v>
          </cell>
          <cell r="T314" t="str">
            <v>LC50 &gt; 28 mg/L (NIER 고시 제2016-15호 유해성심사결과)</v>
          </cell>
          <cell r="U314" t="str">
            <v>자료없음</v>
          </cell>
          <cell r="V314" t="str">
            <v>자료없음</v>
          </cell>
          <cell r="W314" t="str">
            <v>자료없음</v>
          </cell>
          <cell r="X314" t="str">
            <v>자료없음</v>
          </cell>
          <cell r="Y314" t="str">
            <v>자료없음</v>
          </cell>
          <cell r="Z314" t="str">
            <v>자료없음</v>
          </cell>
          <cell r="AA314" t="str">
            <v>자료없음</v>
          </cell>
          <cell r="AB314" t="str">
            <v>해당없음</v>
          </cell>
        </row>
        <row r="315">
          <cell r="A315" t="str">
            <v>89-83-8</v>
          </cell>
          <cell r="B315" t="str">
            <v>THYMOL</v>
          </cell>
          <cell r="C315" t="str">
            <v>해당없음</v>
          </cell>
          <cell r="D315" t="str">
            <v>해당없음</v>
          </cell>
          <cell r="E315" t="str">
            <v>해당없음</v>
          </cell>
          <cell r="F315" t="str">
            <v>LD50 980 ㎎/㎏ Rat (Rat LD50=980 mg/kg (IUCLID))</v>
          </cell>
          <cell r="G315" t="str">
            <v>LD50 &gt; 2000 ㎎/㎏ Rabbit (IUCLID)</v>
          </cell>
          <cell r="H315" t="str">
            <v>자료없음</v>
          </cell>
          <cell r="I315" t="str">
            <v>토끼, 부식성(OECD TG 404) (IUCLID), 인간, 피부의 발적과 작열감, 피부통증, 두드러기 (국립독성과학원)</v>
          </cell>
          <cell r="J315" t="str">
            <v>토끼 (OECD TG 405), 심한 자극성 (IUCLID)</v>
          </cell>
          <cell r="K315" t="str">
            <v>자료없음</v>
          </cell>
          <cell r="L315" t="str">
            <v>인간, 패치테스트, 1/4 양성 반응 (IUCLID), 인간, 패치테스트,1/18 치과 간호사 양성 반응 (IUCLID)</v>
          </cell>
          <cell r="M315" t="str">
            <v>해당없음</v>
          </cell>
          <cell r="N315" t="str">
            <v>In vitro-미생물 복귀돌연변이시험 (Salmonella typhimurium TA98, 100, 1535, 1537): 음성 (IUCLID), 자매 염색체교환 시험(SCE): 양성 (IUCLID), UDS assay 시험(Syrian hamster embryo cells): 양성 (IUCLID), In-vivo-초파리 성염색체와 연관된치명적 열성 돌연변이 시험(Drosophila SLSL): 음성 (IUCLID)</v>
          </cell>
          <cell r="O315" t="str">
            <v>닭 (Single-Comb White Leghorn), 투여량: 25 mg 까지/100 ul 에탄올/충란, 심각한 기형발생 영향: 바다표범손발증(단지증), 팔다리 결손증, 작은안구증, 악골이상, 눈꺼풀결여증, 솜털의 색소침착저하증 (IUCLID), 랫드/경구, 안구기형이 발생 (국립독성과학원)</v>
          </cell>
          <cell r="P315" t="str">
            <v>인간/경구, thymol이 24시간 내에 thymol glucuronide, thymol sulfate, 작은 양의 thymolhydroquinone sulfate로서 소변에서 검출됨. (IUCLID), 인간, 현기증, 운동실조, 졸음, 혼수, 강직성 및 간대성 경련 (국립독성과학원), 인간, 급성신부전증 (국립독성과학원)</v>
          </cell>
          <cell r="Q315" t="str">
            <v>랫드 (Osborne-Mendel)/경구, 19주 노출, 투여량 75, 750 mg/kg bw/day, 영향없음, 토끼/경구, 12일 노출, 투여량 50 mg/kg bw/day, 임상 증상 없음 (IUCLID)</v>
          </cell>
          <cell r="R315" t="str">
            <v>자료없음</v>
          </cell>
          <cell r="S315" t="str">
            <v>해당없음</v>
          </cell>
          <cell r="T315" t="str">
            <v>LC50 5 ㎎/ℓ 96 hr Brachydanio rerio (IUCLID)</v>
          </cell>
          <cell r="U315" t="str">
            <v>EC50 4.5 ㎎/ℓ 48 hr Daphnia magna (NITE)</v>
          </cell>
          <cell r="V315" t="str">
            <v>ErC50 14 ㎎/ℓ 72 hr Scenedesmus subspicatus (NITE)</v>
          </cell>
          <cell r="W315" t="str">
            <v>log Kow 3.3 (IUCLID)</v>
          </cell>
          <cell r="X315" t="str">
            <v>자료없음</v>
          </cell>
          <cell r="Y315" t="str">
            <v>BCF 69.9 (Estimate)</v>
          </cell>
          <cell r="Z315" t="str">
            <v>&gt; 80 (%) 28 day; readily biodegradable (IUCLID)</v>
          </cell>
          <cell r="AA315" t="str">
            <v>자료없음</v>
          </cell>
          <cell r="AB315" t="str">
            <v>해당없음</v>
          </cell>
          <cell r="AC315" t="str">
            <v>(Crustaceans(Water flea): 21d-NOEC(Daphnia magna) 2.0 mg/L(NITE)</v>
          </cell>
        </row>
        <row r="316">
          <cell r="A316" t="str">
            <v>89957-91-5</v>
          </cell>
          <cell r="B316" t="str">
            <v>Citrus Aurantium Bergamia (Bergamot) Peel Oil</v>
          </cell>
          <cell r="C316" t="str">
            <v>해당없음</v>
          </cell>
          <cell r="D316" t="str">
            <v>해당없음</v>
          </cell>
          <cell r="E316" t="str">
            <v>해당없음</v>
          </cell>
          <cell r="F316" t="str">
            <v>자료없음</v>
          </cell>
          <cell r="G316" t="str">
            <v>자료없음</v>
          </cell>
          <cell r="H316" t="str">
            <v>자료없음</v>
          </cell>
          <cell r="I316" t="str">
            <v>자료없음</v>
          </cell>
          <cell r="J316" t="str">
            <v>자료없음</v>
          </cell>
          <cell r="K316" t="str">
            <v>자료없음</v>
          </cell>
          <cell r="L316" t="str">
            <v>자료없음</v>
          </cell>
          <cell r="M316" t="str">
            <v>해당없음</v>
          </cell>
          <cell r="N316" t="str">
            <v>자료없음</v>
          </cell>
          <cell r="O316" t="str">
            <v>자료없음</v>
          </cell>
          <cell r="P316" t="str">
            <v>자료없음</v>
          </cell>
          <cell r="Q316" t="str">
            <v>자료없음</v>
          </cell>
          <cell r="R316" t="str">
            <v>자료없음</v>
          </cell>
          <cell r="S316" t="str">
            <v>해당없음</v>
          </cell>
          <cell r="T316" t="str">
            <v>자료없음</v>
          </cell>
          <cell r="U316" t="str">
            <v>자료없음</v>
          </cell>
          <cell r="V316" t="str">
            <v>자료없음</v>
          </cell>
          <cell r="W316" t="str">
            <v>자료없음</v>
          </cell>
          <cell r="X316" t="str">
            <v>자료없음</v>
          </cell>
          <cell r="Y316" t="str">
            <v>자료없음</v>
          </cell>
          <cell r="Z316" t="str">
            <v>자료없음</v>
          </cell>
          <cell r="AA316" t="str">
            <v>자료없음</v>
          </cell>
          <cell r="AB316" t="str">
            <v>해당없음</v>
          </cell>
        </row>
        <row r="317">
          <cell r="A317" t="str">
            <v>9002-93-1</v>
          </cell>
          <cell r="B317" t="str">
            <v>OCTOXYNOL-10</v>
          </cell>
          <cell r="C317" t="str">
            <v>해당없음</v>
          </cell>
          <cell r="D317" t="str">
            <v>해당없음</v>
          </cell>
          <cell r="E317" t="str">
            <v>해당없음</v>
          </cell>
          <cell r="F317" t="str">
            <v>LD50 1800 ㎎/㎏ Rat (Thomson)</v>
          </cell>
          <cell r="G317" t="str">
            <v>자료없음</v>
          </cell>
          <cell r="H317" t="str">
            <v>자료없음</v>
          </cell>
          <cell r="I317" t="str">
            <v>래빗/피부(500 uL/24H): 중간 자극성(STANDARD DRAIZE TEST) (Thomson)</v>
          </cell>
          <cell r="J317" t="str">
            <v>래빗/눈(500 uL/24H): 중간 자극성(STANDARD DRAIZE TEST) (Thomson)</v>
          </cell>
          <cell r="K317" t="str">
            <v>자료없음</v>
          </cell>
          <cell r="L317" t="str">
            <v>자료없음</v>
          </cell>
          <cell r="M317" t="str">
            <v>해당없음</v>
          </cell>
          <cell r="N317" t="str">
            <v>자료없음</v>
          </cell>
          <cell r="O317" t="str">
            <v>자료없음</v>
          </cell>
          <cell r="P317" t="str">
            <v>자료없음</v>
          </cell>
          <cell r="Q317" t="str">
            <v>자료없음</v>
          </cell>
          <cell r="R317" t="str">
            <v>자료없음</v>
          </cell>
          <cell r="S317" t="str">
            <v>해당없음</v>
          </cell>
          <cell r="T317" t="str">
            <v>LC50 4.5 ㎎/ℓ 96 hr Pimephales promelas (ECOTOX)</v>
          </cell>
          <cell r="U317" t="str">
            <v>LC50 11.2 ㎎/ℓ 48 hr Daphnia magna (ECOTOX)</v>
          </cell>
          <cell r="V317" t="str">
            <v>자료없음</v>
          </cell>
          <cell r="W317" t="str">
            <v>log Kow 4.86 (NITE)</v>
          </cell>
          <cell r="X317" t="str">
            <v>자료없음</v>
          </cell>
          <cell r="Y317" t="str">
            <v>BCF 248 (Estimate)</v>
          </cell>
          <cell r="Z317" t="str">
            <v>자료없음</v>
          </cell>
          <cell r="AA317" t="str">
            <v>자료없음</v>
          </cell>
          <cell r="AB317" t="str">
            <v>해당없음</v>
          </cell>
          <cell r="AC317"/>
        </row>
        <row r="318">
          <cell r="A318" t="str">
            <v>90-17-5</v>
          </cell>
          <cell r="B318" t="str">
            <v>ROSONE</v>
          </cell>
          <cell r="C318" t="str">
            <v>해당없음</v>
          </cell>
          <cell r="D318" t="str">
            <v>해당없음</v>
          </cell>
          <cell r="E318" t="str">
            <v>해당없음</v>
          </cell>
          <cell r="F318" t="str">
            <v>LD50 6,800 ㎎/㎏ (Rat) (Registry of Toxic Effects of Chemical Substances, National Library of Medicine)</v>
          </cell>
          <cell r="G318" t="str">
            <v>LD50 2,000 ㎎/㎏  (Rabbit) (Registry of Toxic Effects of Chemical Substances, National Library of Medicine)</v>
          </cell>
          <cell r="H318" t="str">
            <v>LC50 5 ㎎/ℓ (Rat) (RIFM Database)</v>
          </cell>
          <cell r="I318" t="str">
            <v>피부 자극에 대한 드레이즈 테스트에서 토끼 실험결과(용량 500mg/24h) 경자극이었음</v>
          </cell>
          <cell r="J318" t="str">
            <v>자료없음</v>
          </cell>
          <cell r="K318" t="str">
            <v>자료없음</v>
          </cell>
          <cell r="L318" t="str">
            <v>자료없음</v>
          </cell>
          <cell r="M318" t="str">
            <v>해당없음</v>
          </cell>
          <cell r="N318" t="str">
            <v>자료없음</v>
          </cell>
          <cell r="O318" t="str">
            <v>자료없음</v>
          </cell>
          <cell r="P318" t="str">
            <v>자료없음</v>
          </cell>
          <cell r="Q318" t="str">
            <v>자료없음</v>
          </cell>
          <cell r="R318" t="str">
            <v>자료없음</v>
          </cell>
          <cell r="S318" t="str">
            <v>해당없음</v>
          </cell>
          <cell r="T318" t="str">
            <v>LC50 3.168 ㎎/ℓ 96 hr (Estimate)</v>
          </cell>
          <cell r="U318" t="str">
            <v>LC50 5.127 ㎎/ℓ 48 hr (Estimate)</v>
          </cell>
          <cell r="V318" t="str">
            <v>EC50 1.79 ㎎/ℓ 96 hr (Estimate)</v>
          </cell>
          <cell r="W318" t="str">
            <v>log Kow 3.85 (Estimate)</v>
          </cell>
          <cell r="X318" t="str">
            <v>자료없음</v>
          </cell>
          <cell r="Y318" t="str">
            <v>BCF 162.2 (Estimate)</v>
          </cell>
          <cell r="Z318" t="str">
            <v>(Cut-off value=0.0327; Non-degradable(BIOWIN 6)) (estimate)</v>
          </cell>
          <cell r="AA318" t="str">
            <v>Koc 975.1 (Low potential for soil adsorption) (estimate)</v>
          </cell>
          <cell r="AB318" t="str">
            <v>해당없음</v>
          </cell>
        </row>
        <row r="319">
          <cell r="A319" t="str">
            <v>90-87-9</v>
          </cell>
          <cell r="B319" t="str">
            <v>2-PHENYLPROPANAL</v>
          </cell>
          <cell r="C319" t="str">
            <v>해당없음</v>
          </cell>
          <cell r="D319" t="str">
            <v>해당없음</v>
          </cell>
          <cell r="E319" t="str">
            <v>해당없음</v>
          </cell>
          <cell r="F319" t="str">
            <v>LD50 2,800 ㎎/㎏ (실험종 : Rat)</v>
          </cell>
          <cell r="G319" t="str">
            <v>LD50 &gt;5,000 ㎎/㎏ (실험종 : Rabbit)</v>
          </cell>
          <cell r="H319" t="str">
            <v>자료없음</v>
          </cell>
          <cell r="I319" t="str">
            <v>자료없음</v>
          </cell>
          <cell r="J319" t="str">
            <v>자료없음</v>
          </cell>
          <cell r="K319" t="str">
            <v>자료없음</v>
          </cell>
          <cell r="L319" t="str">
            <v>자료없음</v>
          </cell>
          <cell r="M319" t="str">
            <v>해당없음</v>
          </cell>
          <cell r="N319" t="str">
            <v>자료없음</v>
          </cell>
          <cell r="O319" t="str">
            <v>자료없음</v>
          </cell>
          <cell r="P319" t="str">
            <v>자료없음</v>
          </cell>
          <cell r="Q319" t="str">
            <v>암/수컷 랫트로 반복경구독성시험 결과, 암/수컷 NOAEL=10mg/kg bw/day. 헤모글로빈 농도 감소.</v>
          </cell>
          <cell r="R319" t="str">
            <v>자료없음</v>
          </cell>
          <cell r="S319" t="str">
            <v>해당없음</v>
          </cell>
          <cell r="T319" t="str">
            <v>96h LC50 &gt;119.856 ㎎/ℓ (Modeling database)(ECHA)</v>
          </cell>
          <cell r="U319" t="str">
            <v>LC50 1.5 ㎎/ℓ 24h (OECD Guideline 202) (실험종 : Daphnia magna)</v>
          </cell>
          <cell r="V319" t="str">
            <v>EC50 &gt; 200 ㎎/ℓ 72h (OECD Guideline 201, ECHA) (실험종 : Chlorella vulgaris)</v>
          </cell>
          <cell r="W319" t="str">
            <v>자료없음</v>
          </cell>
          <cell r="X319" t="str">
            <v>자료없음</v>
          </cell>
          <cell r="Y319" t="str">
            <v>자료없음</v>
          </cell>
          <cell r="Z319" t="str">
            <v>자료없음</v>
          </cell>
          <cell r="AA319" t="str">
            <v>자료없음</v>
          </cell>
          <cell r="AB319" t="str">
            <v>해당없음</v>
          </cell>
        </row>
        <row r="320">
          <cell r="A320" t="str">
            <v>91-64-5</v>
          </cell>
          <cell r="B320" t="str">
            <v>COUMARINE</v>
          </cell>
          <cell r="C320" t="str">
            <v>해당없음</v>
          </cell>
          <cell r="D320" t="str">
            <v>해당없음</v>
          </cell>
          <cell r="E320" t="str">
            <v>해당없음</v>
          </cell>
          <cell r="F320" t="str">
            <v>LD50 293 ㎎/㎏ (Rat) (National Library of Medicine/Hazardous Substances Data Bank (NLM/HSDB))</v>
          </cell>
          <cell r="G320" t="str">
            <v>LD50 293 ㎎/㎏ (Rat) (RIFM Database)</v>
          </cell>
          <cell r="H320" t="str">
            <v>LC50 293 ㎎/ℓ (Rat) (RIFM Database)</v>
          </cell>
          <cell r="I320" t="str">
            <v>붉어짐, 고통</v>
          </cell>
          <cell r="J320" t="str">
            <v>자료없음</v>
          </cell>
          <cell r="K320" t="str">
            <v>자료없음</v>
          </cell>
          <cell r="L320" t="str">
            <v>자료없음</v>
          </cell>
          <cell r="M320" t="str">
            <v>해당없음</v>
          </cell>
          <cell r="N320" t="str">
            <v xml:space="preserve"> In vitro Salmonella typhimurium Ames test에서 대사활성계 유무에 관계없이 음성. In vitro CHO 세포의 염색체이상시험에서 대사활성계 없을 때 음성, 대사활성계 있을 때 양성. In vivo 마우스의 골수세포의 소핵시험에서 음성.</v>
          </cell>
          <cell r="O320" t="str">
            <v>사람에 생식독성과 발달독성을 일으킨다는 증거가 없다.</v>
          </cell>
          <cell r="P320" t="str">
            <v>자료없음</v>
          </cell>
          <cell r="Q320" t="str">
            <v>자료없음</v>
          </cell>
          <cell r="R320" t="str">
            <v>자료없음</v>
          </cell>
          <cell r="S320" t="str">
            <v>해당없음</v>
          </cell>
          <cell r="T320" t="str">
            <v>LC50 56 ㎎/ℓ 96 hr (poecilia reticulata) (ECOTOX)</v>
          </cell>
          <cell r="U320" t="str">
            <v>LC50 13.5 ㎎/ℓ 48 hr Daphnia magna (ECOTOX)</v>
          </cell>
          <cell r="V320" t="str">
            <v>자료없음</v>
          </cell>
          <cell r="W320" t="str">
            <v>log Kow 1.39 (ICSC)</v>
          </cell>
          <cell r="X320" t="str">
            <v>자료없음</v>
          </cell>
          <cell r="Y320" t="str">
            <v>BCF 42 (NITE)</v>
          </cell>
          <cell r="Z320" t="str">
            <v>자료없음</v>
          </cell>
          <cell r="AA320" t="str">
            <v>Koc 140 (NLM/HSDB)</v>
          </cell>
          <cell r="AB320" t="str">
            <v>해당없음</v>
          </cell>
        </row>
        <row r="321">
          <cell r="A321" t="str">
            <v>928-95-0</v>
          </cell>
          <cell r="B321" t="str">
            <v>TRANS-2-HEXENOL</v>
          </cell>
          <cell r="C321" t="str">
            <v>해당없음</v>
          </cell>
          <cell r="D321" t="str">
            <v>해당없음</v>
          </cell>
          <cell r="E321" t="str">
            <v>해당없음</v>
          </cell>
          <cell r="F321" t="str">
            <v>LD50 3500 ㎎/㎏ (Rat)</v>
          </cell>
          <cell r="G321" t="str">
            <v>LD50 4500 ㎎/㎏ (rabbit)</v>
          </cell>
          <cell r="H321" t="str">
            <v>자료없음</v>
          </cell>
          <cell r="I321" t="str">
            <v>피부에 자극을 일으킴</v>
          </cell>
          <cell r="J321" t="str">
            <v>눈에 심한 자극을 일으킴(화상을 일으킬 수도 있음)</v>
          </cell>
          <cell r="K321" t="str">
            <v>자료없음</v>
          </cell>
          <cell r="L321" t="str">
            <v>자료없음</v>
          </cell>
          <cell r="M321" t="str">
            <v>해당없음</v>
          </cell>
          <cell r="N321" t="str">
            <v>자료없음</v>
          </cell>
          <cell r="O321" t="str">
            <v>자료없음</v>
          </cell>
          <cell r="P321" t="str">
            <v>자료없음</v>
          </cell>
          <cell r="Q321" t="str">
            <v>자료없음</v>
          </cell>
          <cell r="R321" t="str">
            <v>자료없음</v>
          </cell>
          <cell r="S321" t="str">
            <v>해당없음</v>
          </cell>
          <cell r="T321" t="str">
            <v>LC50 0.453 ㎎/ℓ 96 hr (Estimate)</v>
          </cell>
          <cell r="U321" t="str">
            <v>자료없음</v>
          </cell>
          <cell r="V321" t="str">
            <v>자료없음</v>
          </cell>
          <cell r="W321" t="str">
            <v>log Kow 1.61 (NLM)</v>
          </cell>
          <cell r="X321" t="str">
            <v>자료없음</v>
          </cell>
          <cell r="Y321" t="str">
            <v>BCF 3.454 (Estimate)</v>
          </cell>
          <cell r="Z321" t="str">
            <v>자료없음</v>
          </cell>
          <cell r="AA321" t="str">
            <v>자료없음</v>
          </cell>
          <cell r="AB321" t="str">
            <v>해당없음</v>
          </cell>
        </row>
        <row r="322">
          <cell r="A322" t="str">
            <v>928-96-1</v>
          </cell>
          <cell r="B322" t="str">
            <v>CIS-3-HEXENOL</v>
          </cell>
          <cell r="C322" t="str">
            <v>해당없음</v>
          </cell>
          <cell r="D322" t="str">
            <v>해당없음</v>
          </cell>
          <cell r="E322" t="str">
            <v>해당없음</v>
          </cell>
          <cell r="F322" t="str">
            <v>LD50 4700 ㎎/㎏ Rat</v>
          </cell>
          <cell r="G322" t="str">
            <v>LD50 &gt; 5000 ㎎/㎏ Rabbit</v>
          </cell>
          <cell r="H322" t="str">
            <v>자료없음</v>
          </cell>
          <cell r="I322" t="str">
            <v>자료없음</v>
          </cell>
          <cell r="J322" t="str">
            <v>눈에 자극을 일으킴</v>
          </cell>
          <cell r="K322" t="str">
            <v>자료없음</v>
          </cell>
          <cell r="L322" t="str">
            <v>자료없음</v>
          </cell>
          <cell r="M322" t="str">
            <v>해당없음</v>
          </cell>
          <cell r="N322" t="str">
            <v>자료없음</v>
          </cell>
          <cell r="O322" t="str">
            <v>자료없음</v>
          </cell>
          <cell r="P322" t="str">
            <v>자료없음</v>
          </cell>
          <cell r="Q322" t="str">
            <v>자료없음</v>
          </cell>
          <cell r="R322" t="str">
            <v>자료없음</v>
          </cell>
          <cell r="S322" t="str">
            <v>해당없음</v>
          </cell>
          <cell r="T322" t="str">
            <v>LC50 381 ㎎/ℓ 96 hr Pimephales promelas (ECOTOX)</v>
          </cell>
          <cell r="U322" t="str">
            <v>LC50 180.137 ㎎/ℓ 48 hr (Estimate)</v>
          </cell>
          <cell r="V322" t="str">
            <v>EC50 110.117 ㎎/ℓ 96 hr (Estimate)</v>
          </cell>
          <cell r="W322" t="str">
            <v>log Kow 1.61 (NLM)</v>
          </cell>
          <cell r="X322" t="str">
            <v>자료없음</v>
          </cell>
          <cell r="Y322" t="str">
            <v>BCF 3.454 (Estimate)</v>
          </cell>
          <cell r="Z322" t="str">
            <v>87 (%) 4 week (Estimate)</v>
          </cell>
          <cell r="AA322" t="str">
            <v>자료없음</v>
          </cell>
          <cell r="AB322" t="str">
            <v>해당없음</v>
          </cell>
        </row>
        <row r="323">
          <cell r="A323" t="str">
            <v>929625-08-1</v>
          </cell>
          <cell r="B323" t="str">
            <v>AMBERMAX</v>
          </cell>
          <cell r="C323" t="str">
            <v>해당없음</v>
          </cell>
          <cell r="D323" t="str">
            <v>해당없음</v>
          </cell>
          <cell r="E323" t="str">
            <v>해당없음</v>
          </cell>
          <cell r="F323" t="str">
            <v>자료없음</v>
          </cell>
          <cell r="G323" t="str">
            <v>자료없음</v>
          </cell>
          <cell r="H323" t="str">
            <v>자료없음</v>
          </cell>
          <cell r="I323" t="str">
            <v>피부 자극 (EU)</v>
          </cell>
          <cell r="J323" t="str">
            <v>자료없음</v>
          </cell>
          <cell r="K323" t="str">
            <v>자료없음</v>
          </cell>
          <cell r="L323" t="str">
            <v>피부 과민성 (EU)</v>
          </cell>
          <cell r="M323" t="str">
            <v>해당없음</v>
          </cell>
          <cell r="N323" t="str">
            <v>자료없음</v>
          </cell>
          <cell r="O323" t="str">
            <v>자료없음</v>
          </cell>
          <cell r="P323" t="str">
            <v>자료없음</v>
          </cell>
          <cell r="Q323" t="str">
            <v>자료없음</v>
          </cell>
          <cell r="R323" t="str">
            <v>자료없음</v>
          </cell>
          <cell r="S323" t="str">
            <v>해당없음</v>
          </cell>
          <cell r="T323" t="str">
            <v>자료없음</v>
          </cell>
          <cell r="U323" t="str">
            <v>자료없음</v>
          </cell>
          <cell r="V323" t="str">
            <v>자료없음</v>
          </cell>
          <cell r="W323" t="str">
            <v>자료없음</v>
          </cell>
          <cell r="X323" t="str">
            <v>자료없음</v>
          </cell>
          <cell r="Y323" t="str">
            <v>자료없음</v>
          </cell>
          <cell r="Z323" t="str">
            <v>자료없음</v>
          </cell>
          <cell r="AA323" t="str">
            <v>자료없음</v>
          </cell>
          <cell r="AB323" t="str">
            <v>해당없음</v>
          </cell>
        </row>
        <row r="324">
          <cell r="A324" t="str">
            <v>93-04-9</v>
          </cell>
          <cell r="B324" t="str">
            <v>YARA YARA</v>
          </cell>
          <cell r="C324" t="str">
            <v>해당없음</v>
          </cell>
          <cell r="D324" t="str">
            <v>해당없음</v>
          </cell>
          <cell r="E324" t="str">
            <v>해당없음</v>
          </cell>
          <cell r="F324" t="str">
            <v>LD50 &gt; 5 ㎎/㎏ Rat</v>
          </cell>
          <cell r="G324" t="str">
            <v>자료없음</v>
          </cell>
          <cell r="H324" t="str">
            <v>자료없음</v>
          </cell>
          <cell r="I324" t="str">
            <v>자료없음</v>
          </cell>
          <cell r="J324" t="str">
            <v>자료없음</v>
          </cell>
          <cell r="K324" t="str">
            <v>자료없음</v>
          </cell>
          <cell r="L324" t="str">
            <v>자료없음</v>
          </cell>
          <cell r="M324" t="str">
            <v>해당없음</v>
          </cell>
          <cell r="N324" t="str">
            <v>자료없음</v>
          </cell>
          <cell r="O324" t="str">
            <v>자료없음</v>
          </cell>
          <cell r="P324" t="str">
            <v>자료없음</v>
          </cell>
          <cell r="Q324" t="str">
            <v>자료없음</v>
          </cell>
          <cell r="R324" t="str">
            <v>자료없음</v>
          </cell>
          <cell r="S324" t="str">
            <v>해당없음</v>
          </cell>
          <cell r="T324" t="str">
            <v>LC50 7.838 ㎎/ℓ 96 hr (Estimate)</v>
          </cell>
          <cell r="U324" t="str">
            <v>EC50 4.04 ㎎/ℓ 48 hr Daphnia pulex (ECOTOX)</v>
          </cell>
          <cell r="V324" t="str">
            <v>LC50 6.151 ㎎/ℓ 96 hr (Estimate)</v>
          </cell>
          <cell r="W324" t="str">
            <v>자료없음</v>
          </cell>
          <cell r="X324" t="str">
            <v>자료없음</v>
          </cell>
          <cell r="Y324" t="str">
            <v>자료없음</v>
          </cell>
          <cell r="Z324" t="str">
            <v>자료없음</v>
          </cell>
          <cell r="AA324" t="str">
            <v>자료없음</v>
          </cell>
          <cell r="AB324" t="str">
            <v>해당없음</v>
          </cell>
        </row>
        <row r="325">
          <cell r="A325" t="str">
            <v>93-08-3</v>
          </cell>
          <cell r="B325" t="str">
            <v>BETA-METHYL NAPHTHYL
KETONE</v>
          </cell>
          <cell r="C325" t="str">
            <v>해당없음</v>
          </cell>
          <cell r="D325" t="str">
            <v>해당없음</v>
          </cell>
          <cell r="E325" t="str">
            <v>해당없음</v>
          </cell>
          <cell r="F325" t="str">
            <v>LD50 599 ㎎/㎏ (Mouse) (TOMES)</v>
          </cell>
          <cell r="G325" t="str">
            <v>LD50 &gt;5,000 ㎎/㎏ (Rabbit) (RIFM Database)</v>
          </cell>
          <cell r="H325" t="str">
            <v>LC50 227 ㎎/ℓ (Mouse) (RIFM Database)</v>
          </cell>
          <cell r="I325" t="str">
            <v>자료없음</v>
          </cell>
          <cell r="J325" t="str">
            <v>자료없음</v>
          </cell>
          <cell r="K325" t="str">
            <v>자료없음</v>
          </cell>
          <cell r="L325" t="str">
            <v>자료없음</v>
          </cell>
          <cell r="M325" t="str">
            <v>해당없음</v>
          </cell>
          <cell r="N325" t="str">
            <v>자료없음</v>
          </cell>
          <cell r="O325" t="str">
            <v>자료없음</v>
          </cell>
          <cell r="P325" t="str">
            <v>자료없음</v>
          </cell>
          <cell r="Q325" t="str">
            <v>자료없음</v>
          </cell>
          <cell r="R325" t="str">
            <v>자료없음</v>
          </cell>
          <cell r="S325" t="str">
            <v>해당없음</v>
          </cell>
          <cell r="T325" t="str">
            <v>LC50 20.044 ㎎/ℓ 96 hr (Estimate)</v>
          </cell>
          <cell r="U325" t="str">
            <v>LC50 22.777 ㎎/ℓ 48 hr (Estimate)</v>
          </cell>
          <cell r="V325" t="str">
            <v>LC50 14.953 ㎎/ℓ 96 hr (Estimate)</v>
          </cell>
          <cell r="W325" t="str">
            <v>자료없음</v>
          </cell>
          <cell r="X325" t="str">
            <v>자료없음</v>
          </cell>
          <cell r="Y325" t="str">
            <v>자료없음</v>
          </cell>
          <cell r="Z325" t="str">
            <v>자료없음</v>
          </cell>
          <cell r="AA325" t="str">
            <v>자료없음</v>
          </cell>
          <cell r="AB325" t="str">
            <v>해당없음</v>
          </cell>
        </row>
        <row r="326">
          <cell r="A326" t="str">
            <v>93-16-3</v>
          </cell>
          <cell r="B326" t="str">
            <v>METHYL ISOEUGENOL</v>
          </cell>
          <cell r="C326" t="str">
            <v>해당없음</v>
          </cell>
          <cell r="D326" t="str">
            <v>해당없음</v>
          </cell>
          <cell r="E326" t="str">
            <v>해당없음</v>
          </cell>
          <cell r="F326" t="str">
            <v>LD50 2500 ㎎/㎏ Rat</v>
          </cell>
          <cell r="G326" t="str">
            <v>LD50 5000 ㎎/㎏ Rabbit</v>
          </cell>
          <cell r="H326" t="str">
            <v>자료없음</v>
          </cell>
          <cell r="I326" t="str">
            <v>자료없음</v>
          </cell>
          <cell r="J326" t="str">
            <v>자료없음</v>
          </cell>
          <cell r="K326" t="str">
            <v>자료없음</v>
          </cell>
          <cell r="L326" t="str">
            <v>자료없음</v>
          </cell>
          <cell r="M326" t="str">
            <v>해당없음</v>
          </cell>
          <cell r="N326" t="str">
            <v>자료없음</v>
          </cell>
          <cell r="O326" t="str">
            <v>자료없음</v>
          </cell>
          <cell r="P326" t="str">
            <v>자료없음</v>
          </cell>
          <cell r="Q326" t="str">
            <v>자료없음</v>
          </cell>
          <cell r="R326" t="str">
            <v>자료없음</v>
          </cell>
          <cell r="S326" t="str">
            <v>해당없음</v>
          </cell>
          <cell r="T326" t="str">
            <v>LC50 19.943 ㎎/ℓ 96 hr (Estimate)</v>
          </cell>
          <cell r="U326" t="str">
            <v>EC50 12.946 ㎎/ℓ 48 hr (Estimate)</v>
          </cell>
          <cell r="V326" t="str">
            <v>EC50 9.293 ㎎/ℓ 90 hr (Estimate)</v>
          </cell>
          <cell r="W326" t="str">
            <v>log Kow 2.950 (NLM;ChemID)</v>
          </cell>
          <cell r="X326" t="str">
            <v>자료없음</v>
          </cell>
          <cell r="Y326" t="str">
            <v>BCF 41.22 (Estimate)</v>
          </cell>
          <cell r="Z326" t="str">
            <v>Considered non-biodegradable since there is no degradable data (estimate)</v>
          </cell>
          <cell r="AA326" t="str">
            <v>자료없음</v>
          </cell>
          <cell r="AB326" t="str">
            <v>해당없음</v>
          </cell>
        </row>
        <row r="327">
          <cell r="A327" t="str">
            <v>93-29-8</v>
          </cell>
          <cell r="B327" t="str">
            <v>ACETYL ISOEUGENOL</v>
          </cell>
          <cell r="C327" t="str">
            <v>해당없음</v>
          </cell>
          <cell r="D327" t="str">
            <v>해당없음</v>
          </cell>
          <cell r="E327" t="str">
            <v>해당없음</v>
          </cell>
          <cell r="F327" t="str">
            <v>LD50 3450 ㎎/㎏ Rat (NLM; ChemIDPlus)</v>
          </cell>
          <cell r="G327" t="str">
            <v>LD50 &gt; 5000 ㎎/㎏ Rabbit</v>
          </cell>
          <cell r="H327" t="str">
            <v>gas (해당없음: Solid)</v>
          </cell>
          <cell r="I327" t="str">
            <v>자료없음</v>
          </cell>
          <cell r="J327" t="str">
            <v>자료없음</v>
          </cell>
          <cell r="K327" t="str">
            <v>자료없음</v>
          </cell>
          <cell r="L327" t="str">
            <v>자료없음</v>
          </cell>
          <cell r="M327" t="str">
            <v>해당없음</v>
          </cell>
          <cell r="N327" t="str">
            <v>자료없음</v>
          </cell>
          <cell r="O327" t="str">
            <v>자료없음</v>
          </cell>
          <cell r="P327" t="str">
            <v>자료없음</v>
          </cell>
          <cell r="Q327" t="str">
            <v>자료없음</v>
          </cell>
          <cell r="R327" t="str">
            <v>자료없음</v>
          </cell>
          <cell r="S327" t="str">
            <v>해당없음</v>
          </cell>
          <cell r="T327" t="str">
            <v>LC50 7.666 ㎎/ℓ 96 hr (Estimate)</v>
          </cell>
          <cell r="U327" t="str">
            <v>EC50 15.147 ㎎/ℓ 48 hr Daphnia magna</v>
          </cell>
          <cell r="V327" t="str">
            <v>EC50 9.783 ㎎/ℓ 96 hr (Estimate)</v>
          </cell>
          <cell r="W327" t="str">
            <v>log Kow 2.99 (Estimate)</v>
          </cell>
          <cell r="X327" t="str">
            <v>자료없음</v>
          </cell>
          <cell r="Y327" t="str">
            <v>BCF 43.3 (Estimate)</v>
          </cell>
          <cell r="Z327" t="str">
            <v>Non-biodegradable; not degraded and has a high potential to accumulate in vivo (estimate)</v>
          </cell>
          <cell r="AA327" t="str">
            <v>Koc 370.9 (Low potential for soil adsorption, Estimates)</v>
          </cell>
          <cell r="AB327" t="str">
            <v>해당없음</v>
          </cell>
        </row>
        <row r="328">
          <cell r="A328" t="str">
            <v>93-58-3</v>
          </cell>
          <cell r="B328" t="str">
            <v>METHYL BENZOATE</v>
          </cell>
          <cell r="C328" t="str">
            <v>해당없음</v>
          </cell>
          <cell r="D328" t="str">
            <v>해당없음</v>
          </cell>
          <cell r="E328" t="str">
            <v>해당없음</v>
          </cell>
          <cell r="F328" t="str">
            <v>LD50 1177 ㎎/㎏ Rat</v>
          </cell>
          <cell r="G328" t="str">
            <v>자료없음</v>
          </cell>
          <cell r="H328" t="str">
            <v>자료없음</v>
          </cell>
          <cell r="I328" t="str">
            <v>피부에 자극을 일으킴</v>
          </cell>
          <cell r="J328" t="str">
            <v>자료없음</v>
          </cell>
          <cell r="K328" t="str">
            <v>자료없음</v>
          </cell>
          <cell r="L328" t="str">
            <v>자료없음</v>
          </cell>
          <cell r="M328" t="str">
            <v>해당없음</v>
          </cell>
          <cell r="N328" t="str">
            <v>In vitro Salmonella typhimurium/TA97, 98, 100, 1535, 1537 (복귀돌연변이시험; Ames test): 대사활성 계 유무와 상관없이 Negative(음성)</v>
          </cell>
          <cell r="O328" t="str">
            <v>자료없음</v>
          </cell>
          <cell r="P328" t="str">
            <v>자료없음</v>
          </cell>
          <cell r="Q328" t="str">
            <v>자료없음</v>
          </cell>
          <cell r="R328" t="str">
            <v>액체를 섭취시 폐속으로 흡인을 일으켜 화학적 간질성 폐렴을 유도할 수 있음.</v>
          </cell>
          <cell r="S328" t="str">
            <v>해당없음</v>
          </cell>
          <cell r="T328" t="str">
            <v>LC50 25.408 ㎎/ℓ 96 hr (Estimate)</v>
          </cell>
          <cell r="U328" t="str">
            <v>LC50 154.427 ㎎/ℓ 48 hr (Estimate)</v>
          </cell>
          <cell r="V328" t="str">
            <v>EC50 2.010 ㎎/ℓ 96 hr (Estimate)</v>
          </cell>
          <cell r="W328" t="str">
            <v>log Kow  2.12 (IPCS INCHEM)</v>
          </cell>
          <cell r="X328" t="str">
            <v>자료없음</v>
          </cell>
          <cell r="Y328" t="str">
            <v>자료없음</v>
          </cell>
          <cell r="Z328" t="str">
            <v>자료없음</v>
          </cell>
          <cell r="AA328" t="str">
            <v>자료없음</v>
          </cell>
          <cell r="AB328" t="str">
            <v>해당없음</v>
          </cell>
        </row>
        <row r="329">
          <cell r="A329" t="str">
            <v>93-89-0</v>
          </cell>
          <cell r="B329" t="str">
            <v>ETHYL BENZOATE</v>
          </cell>
          <cell r="C329" t="str">
            <v>해당없음</v>
          </cell>
          <cell r="D329" t="str">
            <v>해당없음</v>
          </cell>
          <cell r="E329" t="str">
            <v>해당없음</v>
          </cell>
          <cell r="F329" t="str">
            <v>자료없음</v>
          </cell>
          <cell r="G329" t="str">
            <v>자료없음</v>
          </cell>
          <cell r="H329" t="str">
            <v>자료없음</v>
          </cell>
          <cell r="I329" t="str">
            <v>자료없음</v>
          </cell>
          <cell r="J329" t="str">
            <v>자료없음</v>
          </cell>
          <cell r="K329" t="str">
            <v>자료없음</v>
          </cell>
          <cell r="L329" t="str">
            <v>자료없음</v>
          </cell>
          <cell r="M329" t="str">
            <v>해당없음</v>
          </cell>
          <cell r="N329" t="str">
            <v>자료없음</v>
          </cell>
          <cell r="O329" t="str">
            <v>자료없음</v>
          </cell>
          <cell r="P329" t="str">
            <v>자료없음</v>
          </cell>
          <cell r="Q329" t="str">
            <v>자료없음</v>
          </cell>
          <cell r="R329" t="str">
            <v>자료없음</v>
          </cell>
          <cell r="S329" t="str">
            <v>해당없음</v>
          </cell>
          <cell r="T329" t="str">
            <v>자료없음</v>
          </cell>
          <cell r="U329" t="str">
            <v>자료없음</v>
          </cell>
          <cell r="V329" t="str">
            <v>자료없음</v>
          </cell>
          <cell r="W329" t="str">
            <v>자료없음</v>
          </cell>
          <cell r="X329" t="str">
            <v>자료없음</v>
          </cell>
          <cell r="Y329" t="str">
            <v>자료없음</v>
          </cell>
          <cell r="Z329" t="str">
            <v>자료없음</v>
          </cell>
          <cell r="AA329" t="str">
            <v>자료없음</v>
          </cell>
          <cell r="AB329" t="str">
            <v>해당없음</v>
          </cell>
          <cell r="AC329"/>
        </row>
        <row r="330">
          <cell r="A330" t="str">
            <v>93-92-5</v>
          </cell>
          <cell r="B330" t="str">
            <v>STYRALLYL ACETATE</v>
          </cell>
          <cell r="C330" t="str">
            <v>해당없음</v>
          </cell>
          <cell r="D330" t="str">
            <v>해당없음</v>
          </cell>
          <cell r="E330" t="str">
            <v>해당없음</v>
          </cell>
          <cell r="F330" t="str">
            <v>LD50 &gt;5,000 ㎎/㎏ (Rat) (National Library of Medicine)</v>
          </cell>
          <cell r="G330" t="str">
            <v>LD50 &gt;5,000 ㎎/㎏  (Rabbit) (National Library of Medicine)</v>
          </cell>
          <cell r="H330" t="str">
            <v>자료없음</v>
          </cell>
          <cell r="I330" t="str">
            <v>자료없음</v>
          </cell>
          <cell r="J330" t="str">
            <v>자료없음</v>
          </cell>
          <cell r="K330" t="str">
            <v>자료없음</v>
          </cell>
          <cell r="L330" t="str">
            <v>자료없음</v>
          </cell>
          <cell r="M330" t="str">
            <v>해당없음</v>
          </cell>
          <cell r="N330" t="str">
            <v>Computed Probability of Mutagenicity 0.020</v>
          </cell>
          <cell r="O330" t="str">
            <v>자료없음</v>
          </cell>
          <cell r="P330" t="str">
            <v>자료없음</v>
          </cell>
          <cell r="Q330" t="str">
            <v>자료없음</v>
          </cell>
          <cell r="R330" t="str">
            <v>자료없음</v>
          </cell>
          <cell r="S330" t="str">
            <v>해당없음</v>
          </cell>
          <cell r="T330" t="str">
            <v>LC50 11.582 ㎎/ℓ 96 hr (Estimate)</v>
          </cell>
          <cell r="U330" t="str">
            <v>LC50 22.324 ㎎/ℓ 48 hr (Estimate)</v>
          </cell>
          <cell r="V330" t="str">
            <v>EC50 9.018 ㎎/ℓ 96 hr (Estimate)</v>
          </cell>
          <cell r="W330" t="str">
            <v>log Kow 2.50 (Estimate)</v>
          </cell>
          <cell r="X330" t="str">
            <v>자료없음</v>
          </cell>
          <cell r="Y330" t="str">
            <v>BCF 20.68 (Estimate)</v>
          </cell>
          <cell r="Z330" t="str">
            <v>(Cut-off value=0.5995; rapidly biodegradable(BIOWIN5)) (Estimate)</v>
          </cell>
          <cell r="AA330" t="str">
            <v>Koc 2.242</v>
          </cell>
          <cell r="AB330" t="str">
            <v>해당없음</v>
          </cell>
          <cell r="AC330"/>
        </row>
        <row r="331">
          <cell r="A331" t="str">
            <v>97-53-0</v>
          </cell>
          <cell r="B331" t="str">
            <v>EUGENOL</v>
          </cell>
          <cell r="C331" t="str">
            <v>해당없음</v>
          </cell>
          <cell r="D331" t="str">
            <v>해당없음</v>
          </cell>
          <cell r="E331" t="str">
            <v>해당없음</v>
          </cell>
          <cell r="F331" t="str">
            <v>LD50 1,930 ㎎/㎏ (Rat) (NLM)</v>
          </cell>
          <cell r="G331" t="str">
            <v>자료없음</v>
          </cell>
          <cell r="H331" t="str">
            <v>Steam LC50 &gt;2,580 ㎎/ℓ 4 hr  (Rat) (NLM)</v>
          </cell>
          <cell r="I331" t="str">
            <v>피부에 자극을 일으킴</v>
          </cell>
          <cell r="J331" t="str">
            <v>눈에 자극을 일으킴</v>
          </cell>
          <cell r="K331" t="str">
            <v>- [EUGENOL] :  피부 과민반응을 일으킬 수 있음</v>
          </cell>
          <cell r="L331" t="str">
            <v>자료없음</v>
          </cell>
          <cell r="M331" t="str">
            <v>해당없음</v>
          </cell>
          <cell r="N331" t="str">
            <v>자료없음</v>
          </cell>
          <cell r="O331" t="str">
            <v>자료없음</v>
          </cell>
          <cell r="P331" t="str">
            <v>자료없음</v>
          </cell>
          <cell r="Q331" t="str">
            <v>자료없음</v>
          </cell>
          <cell r="R331" t="str">
            <v>자료없음</v>
          </cell>
          <cell r="S331" t="str">
            <v>해당없음</v>
          </cell>
          <cell r="T331" t="str">
            <v>LC50 24 ㎎/ℓ 96 hr Pimephales promelas (ECOTOX)</v>
          </cell>
          <cell r="U331" t="str">
            <v>자료없음</v>
          </cell>
          <cell r="V331" t="str">
            <v>자료없음</v>
          </cell>
          <cell r="W331" t="str">
            <v>log Kow 2.27 (ChemIDplus)</v>
          </cell>
          <cell r="X331" t="str">
            <v>자료없음</v>
          </cell>
          <cell r="Y331" t="str">
            <v>BCF 31 (HSDB)</v>
          </cell>
          <cell r="Z331" t="str">
            <v>60 ~ 70 (%) 28 day (IUCLID)</v>
          </cell>
          <cell r="AA331" t="str">
            <v>Koc 409 (HSDB)</v>
          </cell>
          <cell r="AB331" t="str">
            <v>해당없음</v>
          </cell>
        </row>
        <row r="332">
          <cell r="A332" t="str">
            <v>97-54-1</v>
          </cell>
          <cell r="B332" t="str">
            <v>ISOEUGENOL</v>
          </cell>
          <cell r="C332" t="str">
            <v>해당없음</v>
          </cell>
          <cell r="D332" t="str">
            <v>해당없음</v>
          </cell>
          <cell r="E332" t="str">
            <v>해당없음</v>
          </cell>
          <cell r="F332" t="str">
            <v>LD50 1560 ㎎/㎏ Rat</v>
          </cell>
          <cell r="G332" t="str">
            <v>자료없음</v>
          </cell>
          <cell r="H332" t="str">
            <v>자료없음</v>
          </cell>
          <cell r="I332" t="str">
            <v>Man/Standard Draize test/skin (16 mg/48hr): Moderate (중간 자극성)</v>
          </cell>
          <cell r="J332" t="str">
            <v>눈에 자극을 일으킴</v>
          </cell>
          <cell r="K332" t="str">
            <v>자료없음</v>
          </cell>
          <cell r="L332" t="str">
            <v>자료없음</v>
          </cell>
          <cell r="M332" t="str">
            <v>해당없음</v>
          </cell>
          <cell r="N332" t="str">
            <v>자료없음</v>
          </cell>
          <cell r="O332" t="str">
            <v>임신 6-19일된 래트(경구)에 14000mg/kg 노출시 태자크기 및 근골격계 장애를 일으킴</v>
          </cell>
          <cell r="P332" t="str">
            <v>흡입시 기도를 자극함</v>
          </cell>
          <cell r="Q332" t="str">
            <v>자료없음</v>
          </cell>
          <cell r="R332" t="str">
            <v>자료없음</v>
          </cell>
          <cell r="S332" t="str">
            <v>해당없음</v>
          </cell>
          <cell r="T332" t="str">
            <v>LC50 9.59 ㎎/ℓ 96 hr (Estimate)</v>
          </cell>
          <cell r="U332" t="str">
            <v>자료없음</v>
          </cell>
          <cell r="V332" t="str">
            <v>EC50 21.684 ㎎/ℓ 96 hr (Estimate)</v>
          </cell>
          <cell r="W332" t="str">
            <v>log Kow 3.04 (ChemIDplus)</v>
          </cell>
          <cell r="X332" t="str">
            <v>자료없음</v>
          </cell>
          <cell r="Y332" t="str">
            <v>BCF 43.73 (Estimate)</v>
          </cell>
          <cell r="Z332" t="str">
            <v>자료없음</v>
          </cell>
          <cell r="AA332" t="str">
            <v>자료없음</v>
          </cell>
          <cell r="AB332" t="str">
            <v>해당없음</v>
          </cell>
          <cell r="AC332"/>
        </row>
        <row r="333">
          <cell r="A333" t="str">
            <v>97-62-1</v>
          </cell>
          <cell r="B333" t="str">
            <v>ETHYL ISOBUTYRATE</v>
          </cell>
          <cell r="C333" t="str">
            <v>해당없음</v>
          </cell>
          <cell r="D333" t="str">
            <v>해당없음</v>
          </cell>
          <cell r="E333" t="str">
            <v>해당없음</v>
          </cell>
          <cell r="F333" t="str">
            <v>자료없음</v>
          </cell>
          <cell r="G333" t="str">
            <v>자료없음</v>
          </cell>
          <cell r="H333" t="str">
            <v>자료없음</v>
          </cell>
          <cell r="I333" t="str">
            <v>자료없음</v>
          </cell>
          <cell r="J333" t="str">
            <v>자료없음</v>
          </cell>
          <cell r="K333" t="str">
            <v>자료없음</v>
          </cell>
          <cell r="L333" t="str">
            <v>자료없음</v>
          </cell>
          <cell r="M333" t="str">
            <v>해당없음</v>
          </cell>
          <cell r="N333" t="str">
            <v>자료없음</v>
          </cell>
          <cell r="O333" t="str">
            <v>자료없음</v>
          </cell>
          <cell r="P333" t="str">
            <v>흡입시 기도를 자극함</v>
          </cell>
          <cell r="Q333" t="str">
            <v>자료없음</v>
          </cell>
          <cell r="R333" t="str">
            <v>자료없음</v>
          </cell>
          <cell r="S333" t="str">
            <v>해당없음</v>
          </cell>
          <cell r="T333" t="str">
            <v>LC50 23.341 ㎎/ℓ 96 hr (Estimate)</v>
          </cell>
          <cell r="U333" t="str">
            <v>LC50 149.404 ㎎/ℓ 48 hr (Estimate)</v>
          </cell>
          <cell r="V333" t="str">
            <v>EC50 1.843 ㎎/ℓ 96 hr (Estimate)</v>
          </cell>
          <cell r="W333" t="str">
            <v>log Kow 1.77 (estimate)</v>
          </cell>
          <cell r="X333" t="str">
            <v>자료없음</v>
          </cell>
          <cell r="Y333" t="str">
            <v>BCF 4.625 (Estimate)</v>
          </cell>
          <cell r="Z333" t="str">
            <v>자료없음</v>
          </cell>
          <cell r="AA333" t="str">
            <v>자료없음</v>
          </cell>
          <cell r="AB333" t="str">
            <v>해당없음</v>
          </cell>
        </row>
        <row r="334">
          <cell r="A334" t="str">
            <v>98-01-1</v>
          </cell>
          <cell r="B334" t="str">
            <v>FURFURAL</v>
          </cell>
          <cell r="C334" t="str">
            <v>TWA : 2 ppm</v>
          </cell>
          <cell r="D334" t="str">
            <v>TWA 0.2 ppm</v>
          </cell>
          <cell r="E334" t="str">
            <v>소변 중 Furoic acid(with hydrolysis) : 200 mg/L(작업후)</v>
          </cell>
          <cell r="F334" t="str">
            <v>자료없음</v>
          </cell>
          <cell r="G334" t="str">
            <v>자료없음</v>
          </cell>
          <cell r="H334" t="str">
            <v>LC50 0.5~2 mg/L/4hr</v>
          </cell>
          <cell r="I334" t="str">
            <v>자료없음</v>
          </cell>
          <cell r="J334" t="str">
            <v>자료없음</v>
          </cell>
          <cell r="K334" t="str">
            <v>자료없음</v>
          </cell>
          <cell r="L334" t="str">
            <v>자료없음</v>
          </cell>
          <cell r="M334" t="str">
            <v>환경부 화학물질 관리법 유독물질 고시에 따라 발암성 구분2로 분류됨
IARC : Group 3
ACGIH : A3
EU CLP : Carc 2</v>
          </cell>
          <cell r="N334" t="str">
            <v>자료없음</v>
          </cell>
          <cell r="O334" t="str">
            <v>자료없음</v>
          </cell>
          <cell r="P334" t="str">
            <v>자료없음</v>
          </cell>
          <cell r="Q334" t="str">
            <v>자료없음</v>
          </cell>
          <cell r="R334" t="str">
            <v>자료없음</v>
          </cell>
          <cell r="S334" t="str">
            <v>발암성 : 발암성 2</v>
          </cell>
          <cell r="T334" t="str">
            <v>자료없음</v>
          </cell>
          <cell r="U334" t="str">
            <v>자료없음</v>
          </cell>
          <cell r="V334" t="str">
            <v>자료없음</v>
          </cell>
          <cell r="W334" t="str">
            <v>자료없음</v>
          </cell>
          <cell r="X334" t="str">
            <v>자료없음</v>
          </cell>
          <cell r="Y334" t="str">
            <v>자료없음</v>
          </cell>
          <cell r="Z334" t="str">
            <v>자료없음</v>
          </cell>
          <cell r="AA334" t="str">
            <v>자료없음</v>
          </cell>
          <cell r="AB334" t="str">
            <v>해당없음</v>
          </cell>
          <cell r="AC334"/>
        </row>
        <row r="335">
          <cell r="A335" t="str">
            <v>98-52-2</v>
          </cell>
          <cell r="B335" t="str">
            <v>PATCHONE</v>
          </cell>
          <cell r="C335" t="str">
            <v>해당없음</v>
          </cell>
          <cell r="D335" t="str">
            <v>해당없음</v>
          </cell>
          <cell r="E335" t="str">
            <v>해당없음</v>
          </cell>
          <cell r="F335" t="str">
            <v>LD50 4,200 ㎎/㎏ Rat</v>
          </cell>
          <cell r="G335" t="str">
            <v>LD50 &gt; 5,000 ㎎/㎏ Rabbit</v>
          </cell>
          <cell r="H335" t="str">
            <v>자료없음</v>
          </cell>
          <cell r="I335" t="str">
            <v>자료없음</v>
          </cell>
          <cell r="J335" t="str">
            <v>자료없음</v>
          </cell>
          <cell r="K335" t="str">
            <v>자료없음</v>
          </cell>
          <cell r="L335" t="str">
            <v>Guinea pig에 과민성이 나타나지 않음</v>
          </cell>
          <cell r="M335" t="str">
            <v>해당없음</v>
          </cell>
          <cell r="N335" t="str">
            <v>In vitro Salmonella typhimurium Ames test시 대사활성계 유무와 관계없이 음성</v>
          </cell>
          <cell r="O335" t="str">
            <v>자료없음</v>
          </cell>
          <cell r="P335" t="str">
            <v>흡입시 기도를 자극함</v>
          </cell>
          <cell r="Q335" t="str">
            <v>자료없음</v>
          </cell>
          <cell r="R335" t="str">
            <v>자료없음</v>
          </cell>
          <cell r="S335" t="str">
            <v>해당없음</v>
          </cell>
          <cell r="T335" t="str">
            <v>LC50 17 ㎎/ℓ 48 hr (IUCLID)</v>
          </cell>
          <cell r="U335" t="str">
            <v>EC50 46 ㎎/ℓ 48 hr Daphnia magna (IUCLID)</v>
          </cell>
          <cell r="V335" t="str">
            <v>EC50 29 ㎎/ℓ 72 hr Scenedesmus subspicatus (IUCLID)</v>
          </cell>
          <cell r="W335" t="str">
            <v>log Kow 3.23 log Kow 1680 (ECHA)</v>
          </cell>
          <cell r="X335" t="str">
            <v>자료없음</v>
          </cell>
          <cell r="Y335" t="str">
            <v>자료없음</v>
          </cell>
          <cell r="Z335" t="str">
            <v>89 (%) 21 day (IUCLID)</v>
          </cell>
          <cell r="AA335" t="str">
            <v>Koc 15488.17</v>
          </cell>
          <cell r="AB335" t="str">
            <v>해당없음</v>
          </cell>
        </row>
        <row r="336">
          <cell r="A336" t="str">
            <v>98-55-5</v>
          </cell>
          <cell r="B336" t="str">
            <v>ALPHA-TERPINEOL</v>
          </cell>
          <cell r="C336" t="str">
            <v>해당없음</v>
          </cell>
          <cell r="D336" t="str">
            <v>해당없음</v>
          </cell>
          <cell r="E336" t="str">
            <v>해당없음</v>
          </cell>
          <cell r="F336" t="str">
            <v>LD50 2,000 ㎎/㎏ (Rat) (RIFM Database)</v>
          </cell>
          <cell r="G336" t="str">
            <v>LD50 2,000 ㎎/㎏ (Rat) (RIFM Database)</v>
          </cell>
          <cell r="H336" t="str">
            <v>LC50 5 ㎎/ℓ (Rat) (RIFM Database)</v>
          </cell>
          <cell r="I336" t="str">
            <v>피부에 자극을 일으킴</v>
          </cell>
          <cell r="J336" t="str">
            <v>자극성</v>
          </cell>
          <cell r="K336" t="str">
            <v>자료없음</v>
          </cell>
          <cell r="L336" t="str">
            <v>자료없음</v>
          </cell>
          <cell r="M336" t="str">
            <v>해당없음</v>
          </cell>
          <cell r="N336" t="str">
            <v>자료없음</v>
          </cell>
          <cell r="O336" t="str">
            <v>자료없음</v>
          </cell>
          <cell r="P336" t="str">
            <v>흡입시 기도를 자극함</v>
          </cell>
          <cell r="Q336" t="str">
            <v>자료없음</v>
          </cell>
          <cell r="R336" t="str">
            <v>자료없음</v>
          </cell>
          <cell r="S336" t="str">
            <v>해당없음</v>
          </cell>
          <cell r="T336" t="str">
            <v>LC50 6.3 ㎎/ℓ 96 hr Oncorhynchus kistutch (ECOTOX)</v>
          </cell>
          <cell r="U336" t="str">
            <v>자료없음</v>
          </cell>
          <cell r="V336" t="str">
            <v>자료없음</v>
          </cell>
          <cell r="W336" t="str">
            <v>log Kow 2.98 (HSDB)</v>
          </cell>
          <cell r="X336" t="str">
            <v>자료없음</v>
          </cell>
          <cell r="Y336" t="str">
            <v>BCF 110 (HSDB)</v>
          </cell>
          <cell r="Z336" t="str">
            <v>자료없음</v>
          </cell>
          <cell r="AA336" t="str">
            <v>Koc 1000 (HSDB)</v>
          </cell>
          <cell r="AB336" t="str">
            <v>해당없음</v>
          </cell>
        </row>
        <row r="337">
          <cell r="A337" t="str">
            <v>98-85-1</v>
          </cell>
          <cell r="B337" t="str">
            <v>STYRALLY ALCOHOL</v>
          </cell>
          <cell r="C337" t="str">
            <v>해당없음</v>
          </cell>
          <cell r="D337" t="str">
            <v>해당없음</v>
          </cell>
          <cell r="E337" t="str">
            <v>해당없음</v>
          </cell>
          <cell r="F337" t="str">
            <v>LD50 400 ㎎/㎏ Rat</v>
          </cell>
          <cell r="G337" t="str">
            <v>LD50 15,000 ㎎/㎏ Guinea pig</v>
          </cell>
          <cell r="H337" t="str">
            <v>자료없음</v>
          </cell>
          <cell r="I337" t="str">
            <v>토끼를 이용한 피부 자극성 시험 결과 중정도의 자극을 일으킴</v>
          </cell>
          <cell r="J337" t="str">
            <v>토끼를 이용한 눈 자극성 시험 결과 심한 자극을 일으킴</v>
          </cell>
          <cell r="K337" t="str">
            <v>자료없음</v>
          </cell>
          <cell r="L337" t="str">
            <v>자료없음</v>
          </cell>
          <cell r="M337" t="str">
            <v>해당없음</v>
          </cell>
          <cell r="N337" t="str">
            <v>자료없음</v>
          </cell>
          <cell r="O337" t="str">
            <v>자료없음</v>
          </cell>
          <cell r="P337" t="str">
            <v>자료없음</v>
          </cell>
          <cell r="Q337" t="str">
            <v>자료없음</v>
          </cell>
          <cell r="R337" t="str">
            <v>자료없음</v>
          </cell>
          <cell r="S337" t="str">
            <v>해당없음</v>
          </cell>
          <cell r="T337" t="str">
            <v>LC50 17.305 ㎎/ℓ 96 hr (Estimate)</v>
          </cell>
          <cell r="U337" t="str">
            <v>LC50 0.438 ㎎/ℓ 48 hr (Estimate)</v>
          </cell>
          <cell r="V337" t="str">
            <v>자료없음</v>
          </cell>
          <cell r="W337" t="str">
            <v>log Kow 1.490  (NLM/HSDB)</v>
          </cell>
          <cell r="X337" t="str">
            <v>자료없음</v>
          </cell>
          <cell r="Y337" t="str">
            <v>BCF 9  (NLM/HSDB)</v>
          </cell>
          <cell r="Z337" t="str">
            <v>자료없음</v>
          </cell>
          <cell r="AA337" t="str">
            <v>Koc 37 (NLM/HSDB)</v>
          </cell>
          <cell r="AB337" t="str">
            <v>해당없음</v>
          </cell>
          <cell r="AC337"/>
        </row>
        <row r="338">
          <cell r="A338" t="str">
            <v>99-49-0</v>
          </cell>
          <cell r="B338" t="str">
            <v>CARVONE</v>
          </cell>
          <cell r="C338" t="str">
            <v>해당없음</v>
          </cell>
          <cell r="D338" t="str">
            <v>해당없음</v>
          </cell>
          <cell r="E338" t="str">
            <v>해당없음</v>
          </cell>
          <cell r="F338" t="str">
            <v>LD50 &gt;2,000 ㎎/㎏ (Rat) (NCIS)</v>
          </cell>
          <cell r="G338" t="str">
            <v>LD50 &gt;2,000 ㎎/㎏ (Rabbit) (NCIS)</v>
          </cell>
          <cell r="H338" t="str">
            <v>자료없음</v>
          </cell>
          <cell r="I338" t="str">
            <v>자료없음</v>
          </cell>
          <cell r="J338" t="str">
            <v>자료없음</v>
          </cell>
          <cell r="K338" t="str">
            <v>자료없음</v>
          </cell>
          <cell r="L338" t="str">
            <v>자료없음</v>
          </cell>
          <cell r="M338" t="str">
            <v>해당없음</v>
          </cell>
          <cell r="N338" t="str">
            <v>자료없음</v>
          </cell>
          <cell r="O338" t="str">
            <v>자료없음</v>
          </cell>
          <cell r="P338" t="str">
            <v>자료없음</v>
          </cell>
          <cell r="Q338" t="str">
            <v>자료없음</v>
          </cell>
          <cell r="R338" t="str">
            <v>자료없음</v>
          </cell>
          <cell r="S338" t="str">
            <v>해당없음</v>
          </cell>
          <cell r="T338" t="str">
            <v>LC50 6.1 ㎎/ℓ (NCIS)</v>
          </cell>
          <cell r="U338" t="str">
            <v>EC50 38 ㎎/ℓ (NCIS)</v>
          </cell>
          <cell r="V338" t="str">
            <v>ErC50 19 ㎎/ℓ (NCIS)</v>
          </cell>
          <cell r="W338" t="str">
            <v>자료없음</v>
          </cell>
          <cell r="X338" t="str">
            <v>자료없음</v>
          </cell>
          <cell r="Y338" t="str">
            <v>자료없음</v>
          </cell>
          <cell r="Z338" t="str">
            <v>자료없음</v>
          </cell>
          <cell r="AA338" t="str">
            <v>자료없음</v>
          </cell>
          <cell r="AB338" t="str">
            <v>해당없음</v>
          </cell>
          <cell r="AC338"/>
        </row>
        <row r="339">
          <cell r="A339" t="str">
            <v>99-83-2</v>
          </cell>
          <cell r="B339" t="str">
            <v>ALPHA-PHELLANDRENE</v>
          </cell>
          <cell r="C339" t="str">
            <v>해당없음</v>
          </cell>
          <cell r="D339" t="str">
            <v>해당없음</v>
          </cell>
          <cell r="E339" t="str">
            <v>해당없음</v>
          </cell>
          <cell r="F339" t="str">
            <v>LD50 5,700 ㎎/㎏ Rat</v>
          </cell>
          <cell r="G339" t="str">
            <v>자료없음</v>
          </cell>
          <cell r="H339" t="str">
            <v>자료없음</v>
          </cell>
          <cell r="I339" t="str">
            <v>피부 자극에 대한 드레이즈 테스트에서 사람에 대한실험결과(용량 100%)에서 심한 자극이었음</v>
          </cell>
          <cell r="J339" t="str">
            <v>자료없음</v>
          </cell>
          <cell r="K339" t="str">
            <v>자료없음</v>
          </cell>
          <cell r="L339" t="str">
            <v>자료없음</v>
          </cell>
          <cell r="M339" t="str">
            <v>해당없음</v>
          </cell>
          <cell r="N339" t="str">
            <v>자료없음</v>
          </cell>
          <cell r="O339" t="str">
            <v>자료없음</v>
          </cell>
          <cell r="P339" t="str">
            <v>자료없음</v>
          </cell>
          <cell r="Q339" t="str">
            <v>자료없음</v>
          </cell>
          <cell r="R339" t="str">
            <v>자료없음</v>
          </cell>
          <cell r="S339" t="str">
            <v>해당없음</v>
          </cell>
          <cell r="T339" t="str">
            <v>LC50 0.521 ㎎/ℓ 96 hr (Estimate)</v>
          </cell>
          <cell r="U339" t="str">
            <v>LC50 0.432 ㎎/ℓ 48 hr (Estimate)</v>
          </cell>
          <cell r="V339" t="str">
            <v>EC50 0.640 ㎎/ℓ 96 hr (Estimate)</v>
          </cell>
          <cell r="W339" t="str">
            <v>log Kow 4.62 (Estimate)</v>
          </cell>
          <cell r="X339" t="str">
            <v>자료없음</v>
          </cell>
          <cell r="Y339" t="str">
            <v>BCF 518.5 (Estimate)</v>
          </cell>
          <cell r="Z339" t="str">
            <v>(Cut-off value=0.2216 : Non-degradable(BIOWIN 6)) (Estimate)</v>
          </cell>
          <cell r="AA339" t="str">
            <v>Koc 10220 (Can be adsorbed in the soil) (estimate)</v>
          </cell>
          <cell r="AB339" t="str">
            <v>해당없음</v>
          </cell>
          <cell r="AC339"/>
        </row>
        <row r="340">
          <cell r="A340" t="str">
            <v>99-85-4</v>
          </cell>
          <cell r="B340" t="str">
            <v>GAMMA-TERPINENE</v>
          </cell>
          <cell r="C340" t="str">
            <v>해당없음</v>
          </cell>
          <cell r="D340" t="str">
            <v>해당없음</v>
          </cell>
          <cell r="E340" t="str">
            <v>해당없음</v>
          </cell>
          <cell r="F340" t="str">
            <v>LD50 3,650 ㎎/㎏ (Rat) (National Library of Medicine (NLM))</v>
          </cell>
          <cell r="G340" t="str">
            <v>자료없음</v>
          </cell>
          <cell r="H340" t="str">
            <v>자료없음</v>
          </cell>
          <cell r="I340" t="str">
            <v>STANDARD DRAIZE TEST(Rabbit) DOSE: 500 mg/24H; REACTION: Moderate (보통)</v>
          </cell>
          <cell r="J340" t="str">
            <v>눈에 자극을 일으킴</v>
          </cell>
          <cell r="K340" t="str">
            <v>자료없음</v>
          </cell>
          <cell r="L340" t="str">
            <v>자료없음</v>
          </cell>
          <cell r="M340" t="str">
            <v>해당없음</v>
          </cell>
          <cell r="N340" t="str">
            <v>자료없음</v>
          </cell>
          <cell r="O340" t="str">
            <v>자료없음</v>
          </cell>
          <cell r="P340" t="str">
            <v>흡입시 기도를 자극함</v>
          </cell>
          <cell r="Q340" t="str">
            <v>자료없음</v>
          </cell>
          <cell r="R340" t="str">
            <v>자료없음</v>
          </cell>
          <cell r="S340" t="str">
            <v>해당없음</v>
          </cell>
          <cell r="T340" t="str">
            <v>LC50 0.263 ㎎/ℓ 96 hr (Estimate)</v>
          </cell>
          <cell r="U340" t="str">
            <v>LC50 0.340 ㎎/ℓ 48 hr (Estimate)</v>
          </cell>
          <cell r="V340" t="str">
            <v>EC50 0.249 ㎎/ℓ 96 hr (Estimate)</v>
          </cell>
          <cell r="W340" t="str">
            <v>log Kow 4.5 (NLM)</v>
          </cell>
          <cell r="X340" t="str">
            <v>자료없음</v>
          </cell>
          <cell r="Y340" t="str">
            <v>자료없음</v>
          </cell>
          <cell r="Z340" t="str">
            <v>94 (%) 28 day (CHRIP)</v>
          </cell>
          <cell r="AA340" t="str">
            <v>자료없음</v>
          </cell>
          <cell r="AB340" t="str">
            <v>해당없음</v>
          </cell>
          <cell r="AC340"/>
        </row>
        <row r="341">
          <cell r="A341" t="str">
            <v>99-87-6</v>
          </cell>
          <cell r="B341" t="str">
            <v>P-CYMENE</v>
          </cell>
          <cell r="C341" t="str">
            <v>해당없음</v>
          </cell>
          <cell r="D341" t="str">
            <v>해당없음</v>
          </cell>
          <cell r="E341" t="str">
            <v>해당없음</v>
          </cell>
          <cell r="F341" t="str">
            <v>LD50 3,669 ㎎/㎏ Rat</v>
          </cell>
          <cell r="G341" t="str">
            <v>자료없음</v>
          </cell>
          <cell r="H341" t="str">
            <v>자료없음</v>
          </cell>
          <cell r="I341" t="str">
            <v>Rabbit의 Draize test에서 중간자극을 띰</v>
          </cell>
          <cell r="J341" t="str">
            <v>눈에 자극, 화상, 결막염, 안검 경련등을 일으키며 보통 2일안에 회복됨</v>
          </cell>
          <cell r="K341" t="str">
            <v>자료없음</v>
          </cell>
          <cell r="L341" t="str">
            <v>자료없음</v>
          </cell>
          <cell r="M341" t="str">
            <v>해당없음</v>
          </cell>
          <cell r="N341" t="str">
            <v>자료없음</v>
          </cell>
          <cell r="O341" t="str">
            <v>자료없음</v>
          </cell>
          <cell r="P341" t="str">
            <v>자료없음</v>
          </cell>
          <cell r="Q341" t="str">
            <v>액체는 피부의 지방질을 제거함</v>
          </cell>
          <cell r="R341" t="str">
            <v>액체를 삼키는 흡인으로 인하여 화학적 폐렴의 위해성을 폐에 일으킴</v>
          </cell>
          <cell r="S341" t="str">
            <v>해당없음</v>
          </cell>
          <cell r="T341" t="str">
            <v>LC50 48 ㎎/ℓ 96 hr (Cyprinodon variegatus) (ECOTOX)</v>
          </cell>
          <cell r="U341" t="str">
            <v>LC50 6.5 ㎎/ℓ 48 hr Daphnia magna (ECOTOX)</v>
          </cell>
          <cell r="V341" t="str">
            <v>EC50 22 ㎎/ℓ 96 hr Skeletonema costatum (ECOTOX)</v>
          </cell>
          <cell r="W341" t="str">
            <v>log Kow 4.10 (ICSC)</v>
          </cell>
          <cell r="X341" t="str">
            <v>자료없음</v>
          </cell>
          <cell r="Y341" t="str">
            <v>BCF 286 (HSDB)</v>
          </cell>
          <cell r="Z341" t="str">
            <v>Biodegradability 88 (%) 14 day (CHRIP)</v>
          </cell>
          <cell r="AA341" t="str">
            <v>자료없음</v>
          </cell>
          <cell r="AB341" t="str">
            <v>해당없음</v>
          </cell>
        </row>
      </sheetData>
      <sheetData sheetId="2" refreshError="1"/>
      <sheetData sheetId="3" refreshError="1">
        <row r="1">
          <cell r="A1" t="str">
            <v>CODE</v>
          </cell>
        </row>
        <row r="2">
          <cell r="A2" t="str">
            <v>H226</v>
          </cell>
          <cell r="B2" t="str">
            <v>인화성 액체 및 증기</v>
          </cell>
          <cell r="C2" t="str">
            <v>Flammable liquid and vapor</v>
          </cell>
        </row>
        <row r="3">
          <cell r="A3" t="str">
            <v>H227</v>
          </cell>
          <cell r="B3" t="str">
            <v>가연성 액체</v>
          </cell>
          <cell r="C3" t="str">
            <v>Flammable liquid</v>
          </cell>
        </row>
        <row r="4">
          <cell r="A4" t="str">
            <v>H300</v>
          </cell>
          <cell r="B4" t="str">
            <v>삼키면 치명적임</v>
          </cell>
          <cell r="C4" t="str">
            <v>Fatal if swallowed</v>
          </cell>
        </row>
        <row r="5">
          <cell r="A5" t="str">
            <v>H302</v>
          </cell>
          <cell r="B5" t="str">
            <v>삼키면 유해함</v>
          </cell>
          <cell r="C5" t="str">
            <v>Harmful if swallowed</v>
          </cell>
        </row>
        <row r="6">
          <cell r="A6" t="str">
            <v>H304</v>
          </cell>
          <cell r="B6" t="str">
            <v>삼켜서 기도로 유입되면 치명적일 수 있음</v>
          </cell>
          <cell r="C6" t="str">
            <v>May be fatal if swallowed and enters airways</v>
          </cell>
        </row>
        <row r="7">
          <cell r="A7" t="str">
            <v>H312</v>
          </cell>
          <cell r="B7" t="str">
            <v>피부와 접촉하면 유해함</v>
          </cell>
          <cell r="C7" t="str">
            <v>Harmful in contact with skin</v>
          </cell>
        </row>
        <row r="8">
          <cell r="A8" t="str">
            <v>H315</v>
          </cell>
          <cell r="B8" t="str">
            <v>피부에 자극을 일으킴</v>
          </cell>
          <cell r="C8" t="str">
            <v>Causes skin irritation</v>
          </cell>
        </row>
        <row r="9">
          <cell r="A9" t="str">
            <v>H317</v>
          </cell>
          <cell r="B9" t="str">
            <v>알레르기성 피부 반응을 일으킬 수 있음</v>
          </cell>
          <cell r="C9" t="str">
            <v>May cause an allergic skin reaction</v>
          </cell>
        </row>
        <row r="10">
          <cell r="A10" t="str">
            <v>H318</v>
          </cell>
          <cell r="B10" t="str">
            <v>눈에 심한 손상을 일으킴</v>
          </cell>
          <cell r="C10" t="str">
            <v>Causes serious eye damage</v>
          </cell>
        </row>
        <row r="11">
          <cell r="A11" t="str">
            <v>H319</v>
          </cell>
          <cell r="B11" t="str">
            <v>눈에 심한 자극을 일으킴</v>
          </cell>
          <cell r="C11" t="str">
            <v>Causes severe eye irritation</v>
          </cell>
        </row>
        <row r="12">
          <cell r="A12" t="str">
            <v>H320</v>
          </cell>
          <cell r="B12" t="str">
            <v>눈에 자극을 일으킴</v>
          </cell>
          <cell r="C12" t="str">
            <v>Causes eye irritation</v>
          </cell>
        </row>
        <row r="13">
          <cell r="A13" t="str">
            <v>H332</v>
          </cell>
          <cell r="B13" t="str">
            <v>흡입하면 유해함</v>
          </cell>
          <cell r="C13" t="str">
            <v>Harmful if inhaled</v>
          </cell>
        </row>
        <row r="14">
          <cell r="A14" t="str">
            <v>H334</v>
          </cell>
          <cell r="B14" t="str">
            <v>흡입시 알레르기성 반응, 천식 또는 호흡 곤란 등을 일으킬 수 있음</v>
          </cell>
          <cell r="C14" t="str">
            <v>May cause allergic reaction, asthma or breathing difficulties if inhaled</v>
          </cell>
        </row>
        <row r="15">
          <cell r="A15" t="str">
            <v>H335</v>
          </cell>
          <cell r="B15" t="str">
            <v>호흡기 자극을 일으킬 수 있음</v>
          </cell>
          <cell r="C15" t="str">
            <v>May cause respiratory irritation</v>
          </cell>
        </row>
        <row r="16">
          <cell r="A16" t="str">
            <v>H336</v>
          </cell>
          <cell r="B16" t="str">
            <v>졸음 또는 현기증을 일으킬 수 있음</v>
          </cell>
          <cell r="C16" t="str">
            <v>May cause drowsiness or dizziness</v>
          </cell>
        </row>
        <row r="17">
          <cell r="A17" t="str">
            <v>H341</v>
          </cell>
          <cell r="B17" t="str">
            <v>유전적인 결함을 일으킬 것으로 의심됨</v>
          </cell>
          <cell r="C17" t="str">
            <v>Suspected of causing genetic defects</v>
          </cell>
        </row>
        <row r="18">
          <cell r="A18" t="str">
            <v>H351</v>
          </cell>
          <cell r="B18" t="str">
            <v>암을 일으킬 것으로 의심됨</v>
          </cell>
          <cell r="C18" t="str">
            <v>Suspected of causing cancer</v>
          </cell>
        </row>
        <row r="19">
          <cell r="A19" t="str">
            <v>H360</v>
          </cell>
          <cell r="B19" t="str">
            <v>태아 또는 생식능력에 손상을 일으킬 수 있음</v>
          </cell>
          <cell r="C19" t="str">
            <v>May cause damage to the unborn child or fertility</v>
          </cell>
        </row>
        <row r="20">
          <cell r="A20" t="str">
            <v>H361</v>
          </cell>
          <cell r="B20" t="str">
            <v>태아 또는 생식능력에 손상을 일으킬 것으로 의심됨</v>
          </cell>
          <cell r="C20" t="str">
            <v>Suspected of causing damage to the fetus or fertility</v>
          </cell>
        </row>
        <row r="21">
          <cell r="A21" t="str">
            <v>H362</v>
          </cell>
          <cell r="B21" t="str">
            <v>모유를 먹는 아이에게 유해할 수 있음</v>
          </cell>
          <cell r="C21" t="str">
            <v>May harm breastfed children</v>
          </cell>
        </row>
        <row r="22">
          <cell r="A22" t="str">
            <v>H370</v>
          </cell>
          <cell r="B22" t="str">
            <v>(특정표적장기)에 손상을 일으킴</v>
          </cell>
          <cell r="C22" t="str">
            <v>Causes damage to the (specific target organ)</v>
          </cell>
        </row>
        <row r="23">
          <cell r="A23" t="str">
            <v>H371</v>
          </cell>
          <cell r="B23" t="str">
            <v>장기에 손상을 일으킬 수 있음</v>
          </cell>
          <cell r="C23" t="str">
            <v>May cause damage to organs</v>
          </cell>
        </row>
        <row r="24">
          <cell r="A24" t="str">
            <v>H372</v>
          </cell>
          <cell r="B24" t="str">
            <v>장기간 또는 반복노출 되면 (특정표적장기)에 손상을 일으킴</v>
          </cell>
          <cell r="C24" t="str">
            <v>Prolonged or repeated exposure causes damage to the (specific target organ)</v>
          </cell>
        </row>
        <row r="25">
          <cell r="A25" t="str">
            <v>H373</v>
          </cell>
          <cell r="B25" t="str">
            <v>장기간 또는 반복노출 되면 (특정표적장기)에 손상을 일으킬 수 있음</v>
          </cell>
          <cell r="C25" t="str">
            <v>Prolonged or repeated exposure may cause damage to the (specific target organ)</v>
          </cell>
        </row>
        <row r="26">
          <cell r="A26" t="str">
            <v>H400</v>
          </cell>
          <cell r="B26" t="str">
            <v>수생생물에 매우 유독함</v>
          </cell>
          <cell r="C26" t="str">
            <v>Very toxic to aquatic life</v>
          </cell>
        </row>
        <row r="27">
          <cell r="A27" t="str">
            <v>H410</v>
          </cell>
          <cell r="B27" t="str">
            <v>장기적인 영향에 의해 수생생물에게 매우 유독함</v>
          </cell>
          <cell r="C27" t="str">
            <v>Very toxic to aquatic life with long lasting effects</v>
          </cell>
        </row>
        <row r="28">
          <cell r="A28" t="str">
            <v>H411</v>
          </cell>
          <cell r="B28" t="str">
            <v>장기적인 영향에 의해 수생생물에게 유독함</v>
          </cell>
          <cell r="C28" t="str">
            <v>Toxic to aquatic life with long lasting effects</v>
          </cell>
        </row>
        <row r="29">
          <cell r="A29" t="str">
            <v>H412</v>
          </cell>
          <cell r="B29" t="str">
            <v>장기적인 영향에 의해 수생생물에게 유해함</v>
          </cell>
          <cell r="C29" t="str">
            <v>Harmful to aquatic life with long lasting effects</v>
          </cell>
        </row>
        <row r="30">
          <cell r="A30" t="str">
            <v>H413</v>
          </cell>
          <cell r="B30" t="str">
            <v>장기적인 영향에 의해 수생생물에 유해의 우려가 있음</v>
          </cell>
          <cell r="C30" t="str">
            <v>May be harmful to aquatic life due to long-term effects</v>
          </cell>
        </row>
        <row r="31">
          <cell r="A31" t="str">
            <v>P201</v>
          </cell>
          <cell r="B31" t="str">
            <v>사용 전 취급 설명서를 확보하시오.</v>
          </cell>
          <cell r="C31" t="str">
            <v>Obtain the instruction manual before use.</v>
          </cell>
        </row>
        <row r="32">
          <cell r="A32" t="str">
            <v>P202</v>
          </cell>
          <cell r="B32" t="str">
            <v>모든 안전 예방조치 문구를 읽고 이해하기 전에는 취급하지 마시오.</v>
          </cell>
          <cell r="C32" t="str">
            <v>Do not handle until all safety precautions have been read and understood.</v>
          </cell>
        </row>
        <row r="33">
          <cell r="A33" t="str">
            <v>P210</v>
          </cell>
          <cell r="B33" t="str">
            <v>열, 고온의 표면, 스파크, 화염 및 그 밖의 점화원으로부터 멀리하시오. 금연</v>
          </cell>
          <cell r="C33" t="str">
            <v>Keep away from heat, hot surfaces, sparks, open flames and other sources of ignition. No smoking</v>
          </cell>
        </row>
        <row r="34">
          <cell r="A34" t="str">
            <v>P233</v>
          </cell>
          <cell r="B34" t="str">
            <v>용기를 단단히 밀폐하시오.</v>
          </cell>
          <cell r="C34" t="str">
            <v>Keep container tightly closed.</v>
          </cell>
        </row>
        <row r="35">
          <cell r="A35" t="str">
            <v>P240</v>
          </cell>
          <cell r="B35" t="str">
            <v>용기와 수용설비를 접지하시오.</v>
          </cell>
          <cell r="C35" t="str">
            <v>Ground containers and receiving equipment.</v>
          </cell>
        </row>
        <row r="36">
          <cell r="A36" t="str">
            <v>P241</v>
          </cell>
          <cell r="B36" t="str">
            <v xml:space="preserve">방폭형 전기/환기/조명 설비를 사용하시오. </v>
          </cell>
          <cell r="C36" t="str">
            <v>Use explosion-proof electrical/ventilation/lighting equipment.</v>
          </cell>
        </row>
        <row r="37">
          <cell r="A37" t="str">
            <v>P242</v>
          </cell>
          <cell r="B37" t="str">
            <v>스파크가 발생하지 않는 도구를 사용하시오.</v>
          </cell>
          <cell r="C37" t="str">
            <v>Use non-sparking tools.</v>
          </cell>
        </row>
        <row r="38">
          <cell r="A38" t="str">
            <v>P243</v>
          </cell>
          <cell r="B38" t="str">
            <v>정전기 방지 조치를 취하시오.</v>
          </cell>
          <cell r="C38" t="str">
            <v>Take anti-static measures.</v>
          </cell>
        </row>
        <row r="39">
          <cell r="A39" t="str">
            <v>P260</v>
          </cell>
          <cell r="B39" t="str">
            <v>가스/미스트/증기/스프레이를 흡입하지 마시오.</v>
          </cell>
          <cell r="C39" t="str">
            <v>Do not breathe gas/mist/vapours/spray.</v>
          </cell>
        </row>
        <row r="40">
          <cell r="A40" t="str">
            <v>P261</v>
          </cell>
          <cell r="B40" t="str">
            <v>가스/미스트/증기/스프레이의 흡입을 피하시오.</v>
          </cell>
          <cell r="C40" t="str">
            <v>Avoid breathing gas/mist/vapours/spray.</v>
          </cell>
        </row>
        <row r="41">
          <cell r="A41" t="str">
            <v>P263</v>
          </cell>
          <cell r="B41" t="str">
            <v>임신 및 수유 기간에는 접촉하지 마시오.</v>
          </cell>
          <cell r="C41" t="str">
            <v>Avoid contact during pregnancy and lactation.</v>
          </cell>
        </row>
        <row r="42">
          <cell r="A42" t="str">
            <v>P264</v>
          </cell>
          <cell r="B42" t="str">
            <v>취급 후에는 취급부위를 철저히 씻으시오.</v>
          </cell>
          <cell r="C42" t="str">
            <v>Wash the treated area thoroughly after handling.</v>
          </cell>
        </row>
        <row r="43">
          <cell r="A43" t="str">
            <v>P270</v>
          </cell>
          <cell r="B43" t="str">
            <v>이 제품을 사용할 때에는 먹거나, 마시거나 흡연하지 마시오.</v>
          </cell>
          <cell r="C43" t="str">
            <v>Do not eat, drink or smoke when using this product.</v>
          </cell>
        </row>
        <row r="44">
          <cell r="A44" t="str">
            <v>P271</v>
          </cell>
          <cell r="B44" t="str">
            <v>옥외 또는 환기가 잘 되는 곳에서만 취급하시오.</v>
          </cell>
          <cell r="C44" t="str">
            <v>Handle only outdoors or in a well-ventilated area.</v>
          </cell>
        </row>
        <row r="45">
          <cell r="A45" t="str">
            <v>P272</v>
          </cell>
          <cell r="B45" t="str">
            <v>작업장 밖으로 오염된 의류를 반출하지 마시오.</v>
          </cell>
          <cell r="C45" t="str">
            <v>Do not take contaminated clothing out of the work area.</v>
          </cell>
        </row>
        <row r="46">
          <cell r="A46" t="str">
            <v>P273</v>
          </cell>
          <cell r="B46" t="str">
            <v xml:space="preserve">환경으로 배출하지 마시오. </v>
          </cell>
          <cell r="C46" t="str">
            <v>Do not release to the environment.</v>
          </cell>
        </row>
        <row r="47">
          <cell r="A47" t="str">
            <v>P280</v>
          </cell>
          <cell r="B47" t="str">
            <v>보호장갑·보호의·보안경·안면보호구를 착용하시오.</v>
          </cell>
          <cell r="C47" t="str">
            <v>Wear protective gloves/protective clothing/eye protection/face protection.</v>
          </cell>
        </row>
        <row r="48">
          <cell r="A48" t="str">
            <v>P284</v>
          </cell>
          <cell r="B48" t="str">
            <v>(환기가 잘 되지 않는 경우) 호흡기 보호구를 착용하시오.</v>
          </cell>
          <cell r="C48" t="str">
            <v>(In case of poor ventilation) Wear respiratory protection.</v>
          </cell>
        </row>
        <row r="49">
          <cell r="A49" t="str">
            <v>P310</v>
          </cell>
          <cell r="B49" t="str">
            <v>즉시 의료기관/의사의 진찰을 받으시오.</v>
          </cell>
          <cell r="C49" t="str">
            <v>Seek medical attention/doctor immediately.</v>
          </cell>
        </row>
        <row r="50">
          <cell r="A50" t="str">
            <v>P312</v>
          </cell>
          <cell r="B50" t="str">
            <v>불편함을 느끼면 의료기관/의사의 진찰을 받으시오.</v>
          </cell>
          <cell r="C50" t="str">
            <v>If you feel unwell, seek medical advice/attention.</v>
          </cell>
        </row>
        <row r="51">
          <cell r="A51" t="str">
            <v>P314</v>
          </cell>
          <cell r="B51" t="str">
            <v>불편함을 느끼면 의학적인 조치/조언을 받으시오.</v>
          </cell>
          <cell r="C51" t="str">
            <v>Get medical advice/attention if you feel unwell.</v>
          </cell>
        </row>
        <row r="52">
          <cell r="A52" t="str">
            <v>P321</v>
          </cell>
          <cell r="B52" t="str">
            <v>응급처치 (눈에 들어갔을 때는 다량의 흐르는 물로 세척, 피부에 접촉했을 때는 다량의 흐르는 물로 세척, 흡입했을 때 신선한 공기로 이동, 먹었을 때 구토를 유발할지에 대하여 의료진의 조언을 구함)를 하시오.</v>
          </cell>
          <cell r="C52" t="str">
            <v>First aid (in case of eye contact, flush with plenty of running water, in case of skin contact, flush with plenty of running water, in case of inhalation, move to fresh air, if ingested, seek medical advice about whether to induce vomiting).</v>
          </cell>
        </row>
        <row r="53">
          <cell r="A53" t="str">
            <v>P330</v>
          </cell>
          <cell r="B53" t="str">
            <v>입을 씻어내시오.</v>
          </cell>
          <cell r="C53" t="str">
            <v>Wash your mouth</v>
          </cell>
        </row>
        <row r="54">
          <cell r="A54" t="str">
            <v>P331</v>
          </cell>
          <cell r="B54" t="str">
            <v>토하게 하지 마시오.</v>
          </cell>
          <cell r="C54" t="str">
            <v>Do not induce vomiting.</v>
          </cell>
        </row>
        <row r="55">
          <cell r="A55" t="str">
            <v>P391</v>
          </cell>
          <cell r="B55" t="str">
            <v>누출물을 모으시오.</v>
          </cell>
          <cell r="C55" t="str">
            <v>Collect spillage.</v>
          </cell>
        </row>
        <row r="56">
          <cell r="A56" t="str">
            <v>P301+P310</v>
          </cell>
          <cell r="B56" t="str">
            <v>삼켰다면: 즉시 의료기관/의사의 진찰을 받으시오.</v>
          </cell>
          <cell r="C56" t="str">
            <v>If swallowed: Call a POISON CENTER/PHYSICIAN IMMEDIATELY.</v>
          </cell>
        </row>
        <row r="57">
          <cell r="A57" t="str">
            <v>P301+P312</v>
          </cell>
          <cell r="B57" t="str">
            <v>삼켰다면: 불편함을 느끼면 의료기관/의사의 진찰을 받으시오.</v>
          </cell>
          <cell r="C57" t="str">
            <v>If swallowed: If you feel unwell, seek medical advice/attention.</v>
          </cell>
        </row>
        <row r="58">
          <cell r="A58" t="str">
            <v>P302+P352</v>
          </cell>
          <cell r="B58" t="str">
            <v>피부에 묻으면: 다량의 물로 씻으시오.</v>
          </cell>
          <cell r="C58" t="str">
            <v>IF ON SKIN: Wash with plenty of water.</v>
          </cell>
        </row>
        <row r="59">
          <cell r="A59" t="str">
            <v>P303+P361+P353</v>
          </cell>
          <cell r="B59" t="str">
            <v>피부(또는 머리카락)에 묻으면: 오염된 모든 의류를 즉시 벗으시오. 피부를 물로 씻으시오.</v>
          </cell>
          <cell r="C59" t="str">
            <v>IF ON SKIN (or HAIR): Remove all contaminated clothing immediately. Rinse skin with water.</v>
          </cell>
        </row>
        <row r="60">
          <cell r="A60" t="str">
            <v>P304+P312</v>
          </cell>
          <cell r="B60" t="str">
            <v>흡입하면: 불편함을 느끼면 의료기관/의사의 진찰을 받으시오.</v>
          </cell>
          <cell r="C60" t="str">
            <v>If inhaled: Call a POISON CENTER or doctor if you feel unwell.</v>
          </cell>
        </row>
        <row r="61">
          <cell r="A61" t="str">
            <v>P304+P340</v>
          </cell>
          <cell r="B61" t="str">
            <v>흡입하면: 신선한 공기가 있는 곳으로 옮기고 호흡하기 쉬운 자세로 안정을 취하시오.</v>
          </cell>
          <cell r="C61" t="str">
            <v>IF INHALED: Remove to fresh air and keep at rest in a position comfortable for breathing.</v>
          </cell>
        </row>
        <row r="62">
          <cell r="A62" t="str">
            <v>P305+P351+P338</v>
          </cell>
          <cell r="B62" t="str">
            <v>눈에 묻으면: 몇 분간 물로 조심해서 씻으시오. 가능하면 콘택트렌즈를 제거하시오. 계속 씻으시오.</v>
          </cell>
          <cell r="C62" t="str">
            <v>IF IN EYE: Rinse cautiously with water for several minutes. Remove contact lenses if possible. keep washing</v>
          </cell>
        </row>
        <row r="63">
          <cell r="A63" t="str">
            <v>P308+P311</v>
          </cell>
          <cell r="B63" t="str">
            <v>노출되거나 노출이 우려되면: 의료기관/의사의 진찰을 받으시오.</v>
          </cell>
          <cell r="C63" t="str">
            <v>If exposed or concerned: Call a healthcare center/doctor.</v>
          </cell>
        </row>
        <row r="64">
          <cell r="A64" t="str">
            <v>P308+P313</v>
          </cell>
          <cell r="B64" t="str">
            <v>노출되거나 노출이 우려되면: 의학적인 조치/조언을 받으시오.</v>
          </cell>
          <cell r="C64" t="str">
            <v>If exposed or concerned: Get medical advice/attention.</v>
          </cell>
        </row>
        <row r="65">
          <cell r="A65" t="str">
            <v>P332+P313</v>
          </cell>
          <cell r="B65" t="str">
            <v>피부 자극이 나타나면: 의학적인 조치/조언을 받으시오.</v>
          </cell>
          <cell r="C65" t="str">
            <v>If skin irritation occurs: Get medical advice/attention.</v>
          </cell>
        </row>
        <row r="66">
          <cell r="A66" t="str">
            <v>P333+P313</v>
          </cell>
          <cell r="B66" t="str">
            <v>피부 자극 또는 홍반이 나타나면: 의학적인 조치/조언을 받으시오.</v>
          </cell>
          <cell r="C66" t="str">
            <v>If skin irritation or redness occurs: Get medical advice/attention.</v>
          </cell>
        </row>
        <row r="67">
          <cell r="A67" t="str">
            <v>P337+P313</v>
          </cell>
          <cell r="B67" t="str">
            <v>눈에 자극이 지속되면: 의학적인 조치/조언을 받으시오.</v>
          </cell>
          <cell r="C67" t="str">
            <v>If eye irritation persists: Get medical advice/attention.</v>
          </cell>
        </row>
        <row r="68">
          <cell r="A68" t="str">
            <v>P342+P311</v>
          </cell>
          <cell r="B68" t="str">
            <v>호흡기 증상이 나타나면: 의료기관/의사의 진찰을 받으시오.</v>
          </cell>
          <cell r="C68" t="str">
            <v>If respiratory symptoms occur: Call a POISON CENTER/PHYSICIAN.</v>
          </cell>
        </row>
        <row r="69">
          <cell r="A69" t="str">
            <v>P362+P364</v>
          </cell>
          <cell r="B69" t="str">
            <v>오염된 의류를 벗고 다시 사용 전 세척하시오.</v>
          </cell>
          <cell r="C69" t="str">
            <v>Take off contaminated clothing and wash before reuse.</v>
          </cell>
        </row>
        <row r="70">
          <cell r="A70" t="str">
            <v>P370+P378</v>
          </cell>
          <cell r="B70" t="str">
            <v>화재 시: 불을 끄기 위해 적절한 소화기를 사용하시오.</v>
          </cell>
          <cell r="C70" t="str">
            <v>In case of fire: Use suitable fire extinguishers to extinguish.</v>
          </cell>
        </row>
        <row r="71">
          <cell r="A71" t="str">
            <v>P403</v>
          </cell>
          <cell r="B71" t="str">
            <v>환기가 잘 되는 곳에 보관하시오.</v>
          </cell>
          <cell r="C71" t="str">
            <v>Store in a well-ventilated place.</v>
          </cell>
        </row>
        <row r="72">
          <cell r="A72" t="str">
            <v>P405</v>
          </cell>
          <cell r="B72" t="str">
            <v>잠금장치를 하여 저장하시오.</v>
          </cell>
          <cell r="C72" t="str">
            <v>Please lock and save.</v>
          </cell>
        </row>
        <row r="73">
          <cell r="A73" t="str">
            <v>P403+P233</v>
          </cell>
          <cell r="B73" t="str">
            <v>환기가 잘 되는 곳에 보관하시오. 용기를 단단히 밀폐하시오.</v>
          </cell>
          <cell r="C73" t="str">
            <v>Store in a well-ventilated place. Keep container tightly closed.</v>
          </cell>
        </row>
        <row r="74">
          <cell r="A74" t="str">
            <v>P403+P235</v>
          </cell>
          <cell r="B74" t="str">
            <v>환기가 잘 되는 곳에 보관하시오. 저온으로 유지하시오.</v>
          </cell>
          <cell r="C74" t="str">
            <v>Store in a well-ventilated place. Keep cool.</v>
          </cell>
        </row>
        <row r="75">
          <cell r="A75" t="str">
            <v>P501</v>
          </cell>
          <cell r="B75" t="str">
            <v>폐기물 관련 법령에 따라 내용물/용기를 폐기하시오</v>
          </cell>
          <cell r="C75" t="str">
            <v>Dispose of contents/container in accordance with waste laws.</v>
          </cell>
        </row>
        <row r="76">
          <cell r="A76" t="str">
            <v>H200</v>
          </cell>
          <cell r="B76" t="str">
            <v>불안정한 폭발성 물질</v>
          </cell>
        </row>
        <row r="77">
          <cell r="A77" t="str">
            <v>H201</v>
          </cell>
          <cell r="B77" t="str">
            <v>폭발성 물질: 대폭발 위험</v>
          </cell>
        </row>
        <row r="78">
          <cell r="A78" t="str">
            <v>H202</v>
          </cell>
          <cell r="B78" t="str">
            <v>폭발성 물질: 심한 분출 위험</v>
          </cell>
        </row>
        <row r="79">
          <cell r="A79" t="str">
            <v>H203</v>
          </cell>
          <cell r="B79" t="str">
            <v>폭발성 물질: 화재, 폭풍 또는 분출 위험</v>
          </cell>
        </row>
        <row r="80">
          <cell r="A80" t="str">
            <v>H204</v>
          </cell>
          <cell r="B80" t="str">
            <v>화재 또는 분출 위험</v>
          </cell>
        </row>
        <row r="81">
          <cell r="A81" t="str">
            <v>H205</v>
          </cell>
          <cell r="B81" t="str">
            <v>화재 시 대폭발할 수 있음</v>
          </cell>
        </row>
        <row r="82">
          <cell r="A82" t="str">
            <v>H206</v>
          </cell>
          <cell r="B82" t="str">
            <v>화재, 폭풍 또는 분출 위험: 둔감제 감소 시 폭발 위험성이 증가함</v>
          </cell>
        </row>
        <row r="83">
          <cell r="A83" t="str">
            <v>H207</v>
          </cell>
          <cell r="B83" t="str">
            <v>화재 또는 분출 위험: 둔감제 감소 시 폭발 위험성이 증가함</v>
          </cell>
        </row>
        <row r="84">
          <cell r="A84" t="str">
            <v>H208</v>
          </cell>
          <cell r="B84" t="str">
            <v>화재 위험: 둔감제 감소 시 폭발 위험성이 증가함</v>
          </cell>
        </row>
        <row r="85">
          <cell r="A85" t="str">
            <v>H220</v>
          </cell>
          <cell r="B85" t="str">
            <v>극인화성 가스</v>
          </cell>
        </row>
        <row r="86">
          <cell r="A86" t="str">
            <v>H221</v>
          </cell>
          <cell r="B86" t="str">
            <v>인화성 가스</v>
          </cell>
        </row>
        <row r="87">
          <cell r="A87" t="str">
            <v>H222</v>
          </cell>
          <cell r="B87" t="str">
            <v>극인화성 에어로졸</v>
          </cell>
        </row>
        <row r="88">
          <cell r="A88" t="str">
            <v>H223</v>
          </cell>
          <cell r="B88" t="str">
            <v>인화성 에어로졸</v>
          </cell>
        </row>
        <row r="89">
          <cell r="A89" t="str">
            <v>H224</v>
          </cell>
          <cell r="B89" t="str">
            <v>극인화성 액체 및 증기</v>
          </cell>
        </row>
        <row r="90">
          <cell r="A90" t="str">
            <v>H225</v>
          </cell>
          <cell r="B90" t="str">
            <v>고인화성 액체 및 증기</v>
          </cell>
        </row>
        <row r="91">
          <cell r="A91" t="str">
            <v>H228</v>
          </cell>
          <cell r="B91" t="str">
            <v>인화성 고체</v>
          </cell>
        </row>
        <row r="92">
          <cell r="A92" t="str">
            <v>H229</v>
          </cell>
          <cell r="B92" t="str">
            <v>압력용기: 가열하면 터질 수 있음</v>
          </cell>
        </row>
        <row r="93">
          <cell r="A93" t="str">
            <v>H230</v>
          </cell>
          <cell r="B93" t="str">
            <v>공기 없이도 폭발적으로 반응할 수 있음</v>
          </cell>
        </row>
        <row r="94">
          <cell r="A94" t="str">
            <v>H231</v>
          </cell>
          <cell r="B94" t="str">
            <v>고압 그리고/또는 고온 하에서 공기 없이도 폭발적으로 반응할 수 있음</v>
          </cell>
        </row>
        <row r="95">
          <cell r="A95" t="str">
            <v>H232</v>
          </cell>
          <cell r="B95" t="str">
            <v>공기에 노출되면 자연발화할 수 있음</v>
          </cell>
        </row>
        <row r="96">
          <cell r="A96" t="str">
            <v>H240</v>
          </cell>
          <cell r="B96" t="str">
            <v>가열하면 폭발할 수 있음</v>
          </cell>
        </row>
        <row r="97">
          <cell r="A97" t="str">
            <v>H241</v>
          </cell>
          <cell r="B97" t="str">
            <v>가열하면 화재 또는 폭발할 수 있음</v>
          </cell>
        </row>
        <row r="98">
          <cell r="A98" t="str">
            <v>H242</v>
          </cell>
          <cell r="B98" t="str">
            <v>가열하면 화재를 일으킬 수 있음</v>
          </cell>
        </row>
        <row r="99">
          <cell r="A99" t="str">
            <v>H250</v>
          </cell>
          <cell r="B99" t="str">
            <v>공기에 노출되면 자연발화함</v>
          </cell>
        </row>
        <row r="100">
          <cell r="A100" t="str">
            <v>H251</v>
          </cell>
          <cell r="B100" t="str">
            <v>자기발열성: 화재를 일으킬 수 있음</v>
          </cell>
        </row>
      </sheetData>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91"/>
  <sheetViews>
    <sheetView tabSelected="1" topLeftCell="A1413" zoomScaleNormal="100" workbookViewId="0">
      <selection activeCell="A601" sqref="A601:A800"/>
    </sheetView>
  </sheetViews>
  <sheetFormatPr defaultColWidth="8.88671875" defaultRowHeight="13.5"/>
  <cols>
    <col min="1" max="1" width="26.88671875" customWidth="1"/>
    <col min="2" max="2" width="3" customWidth="1"/>
    <col min="3" max="3" width="8.33203125" customWidth="1"/>
    <col min="4" max="4" width="13.77734375" customWidth="1"/>
    <col min="5" max="5" width="17" customWidth="1"/>
    <col min="6" max="6" width="11.77734375" customWidth="1"/>
  </cols>
  <sheetData>
    <row r="1" spans="1:6" ht="7.9" customHeight="1"/>
    <row r="2" spans="1:6" ht="15" customHeight="1">
      <c r="A2" s="14"/>
      <c r="B2" s="14"/>
      <c r="C2" s="14"/>
      <c r="D2" s="14"/>
      <c r="E2" s="14"/>
      <c r="F2" s="14"/>
    </row>
    <row r="3" spans="1:6" ht="15" customHeight="1">
      <c r="A3" s="14"/>
      <c r="B3" s="14"/>
      <c r="C3" s="14"/>
      <c r="D3" s="14"/>
      <c r="E3" s="14"/>
      <c r="F3" s="14"/>
    </row>
    <row r="4" spans="1:6" ht="24.75" customHeight="1">
      <c r="A4" s="14"/>
      <c r="B4" s="14"/>
      <c r="C4" s="14"/>
      <c r="D4" s="14"/>
      <c r="E4" s="14"/>
      <c r="F4" s="14"/>
    </row>
    <row r="5" spans="1:6" ht="17.25" hidden="1" customHeight="1">
      <c r="D5" s="17" t="s">
        <v>181</v>
      </c>
      <c r="E5" s="17"/>
      <c r="F5" s="17"/>
    </row>
    <row r="6" spans="1:6" ht="9.75" customHeight="1" thickBot="1"/>
    <row r="7" spans="1:6" ht="21.75" customHeight="1" thickBot="1">
      <c r="A7" s="1" t="s">
        <v>0</v>
      </c>
      <c r="B7" s="22" t="s">
        <v>210</v>
      </c>
      <c r="C7" s="23"/>
      <c r="D7" s="23"/>
      <c r="E7" s="23"/>
      <c r="F7" s="24"/>
    </row>
    <row r="8" spans="1:6" ht="20.25" customHeight="1">
      <c r="A8" s="25"/>
      <c r="B8" s="25"/>
      <c r="C8" s="25"/>
      <c r="D8" s="25"/>
      <c r="E8" s="25"/>
      <c r="F8" s="25"/>
    </row>
    <row r="9" spans="1:6" ht="20.25" customHeight="1">
      <c r="A9" s="9" t="s">
        <v>176</v>
      </c>
      <c r="B9" s="19"/>
      <c r="C9" s="19"/>
      <c r="D9" s="19"/>
      <c r="E9" s="19"/>
      <c r="F9" s="19"/>
    </row>
    <row r="10" spans="1:6" ht="18" customHeight="1">
      <c r="A10" s="8" t="s">
        <v>161</v>
      </c>
      <c r="B10" s="15" t="str">
        <f>B7</f>
        <v>VARIETY PEAK</v>
      </c>
      <c r="C10" s="15"/>
      <c r="D10" s="15"/>
      <c r="E10" s="15"/>
      <c r="F10" s="15"/>
    </row>
    <row r="11" spans="1:6" ht="18" customHeight="1">
      <c r="A11" s="8" t="s">
        <v>162</v>
      </c>
      <c r="B11" s="15"/>
      <c r="C11" s="15"/>
      <c r="D11" s="15"/>
      <c r="E11" s="15"/>
      <c r="F11" s="15"/>
    </row>
    <row r="12" spans="1:6" ht="18" customHeight="1">
      <c r="A12" s="8" t="s">
        <v>57</v>
      </c>
      <c r="B12" s="15" t="s">
        <v>24</v>
      </c>
      <c r="C12" s="15"/>
      <c r="D12" s="15"/>
      <c r="E12" s="15"/>
      <c r="F12" s="15"/>
    </row>
    <row r="13" spans="1:6" ht="18" customHeight="1">
      <c r="A13" s="8" t="s">
        <v>58</v>
      </c>
      <c r="B13" s="15" t="s">
        <v>25</v>
      </c>
      <c r="C13" s="15"/>
      <c r="D13" s="15"/>
      <c r="E13" s="15"/>
      <c r="F13" s="15"/>
    </row>
    <row r="14" spans="1:6" ht="18" customHeight="1">
      <c r="A14" s="15" t="s">
        <v>163</v>
      </c>
      <c r="B14" s="15"/>
      <c r="C14" s="15"/>
      <c r="D14" s="15"/>
      <c r="E14" s="15"/>
      <c r="F14" s="15"/>
    </row>
    <row r="15" spans="1:6" ht="18" customHeight="1">
      <c r="A15" s="8" t="s">
        <v>59</v>
      </c>
      <c r="B15" s="15" t="s">
        <v>187</v>
      </c>
      <c r="C15" s="15"/>
      <c r="D15" s="15"/>
      <c r="E15" s="15"/>
      <c r="F15" s="15"/>
    </row>
    <row r="16" spans="1:6" ht="18" customHeight="1">
      <c r="A16" s="8" t="s">
        <v>60</v>
      </c>
      <c r="B16" s="15" t="s">
        <v>43</v>
      </c>
      <c r="C16" s="15"/>
      <c r="D16" s="15"/>
      <c r="E16" s="15"/>
      <c r="F16" s="15"/>
    </row>
    <row r="17" spans="1:6" ht="18" customHeight="1">
      <c r="A17" s="8" t="s">
        <v>61</v>
      </c>
      <c r="B17" s="15" t="s">
        <v>186</v>
      </c>
      <c r="C17" s="15"/>
      <c r="D17" s="15"/>
      <c r="E17" s="15"/>
      <c r="F17" s="15"/>
    </row>
    <row r="18" spans="1:6" ht="8.25" customHeight="1">
      <c r="A18" s="18"/>
      <c r="B18" s="18"/>
      <c r="C18" s="18"/>
      <c r="D18" s="18"/>
      <c r="E18" s="18"/>
      <c r="F18" s="18"/>
    </row>
    <row r="19" spans="1:6" ht="20.25" customHeight="1">
      <c r="A19" s="20" t="s">
        <v>2</v>
      </c>
      <c r="B19" s="20"/>
      <c r="C19" s="20"/>
      <c r="D19" s="20"/>
      <c r="E19" s="20"/>
      <c r="F19" s="20"/>
    </row>
    <row r="20" spans="1:6" ht="77.650000000000006" customHeight="1">
      <c r="A20" s="8" t="s">
        <v>3</v>
      </c>
      <c r="B20" s="15" t="s">
        <v>188</v>
      </c>
      <c r="C20" s="15"/>
      <c r="D20" s="15"/>
      <c r="E20" s="15"/>
      <c r="F20" s="15"/>
    </row>
    <row r="21" spans="1:6" ht="18" customHeight="1">
      <c r="A21" s="8" t="s">
        <v>4</v>
      </c>
      <c r="B21" s="26"/>
      <c r="C21" s="26"/>
      <c r="D21" s="26"/>
      <c r="E21" s="26"/>
      <c r="F21" s="26"/>
    </row>
    <row r="22" spans="1:6" ht="18" customHeight="1">
      <c r="A22" s="8" t="s">
        <v>62</v>
      </c>
      <c r="B22" s="26"/>
      <c r="C22" s="26"/>
      <c r="D22" s="26"/>
      <c r="E22" s="26"/>
      <c r="F22" s="26"/>
    </row>
    <row r="23" spans="1:6" ht="54.75" customHeight="1">
      <c r="A23" s="18"/>
      <c r="B23" s="18"/>
      <c r="C23" s="18"/>
      <c r="D23" s="18"/>
      <c r="E23" s="18"/>
      <c r="F23" s="18"/>
    </row>
    <row r="24" spans="1:6" ht="15" customHeight="1">
      <c r="A24" s="8" t="s">
        <v>63</v>
      </c>
      <c r="B24" s="15" t="s">
        <v>208</v>
      </c>
      <c r="C24" s="15"/>
      <c r="D24" s="15"/>
      <c r="E24" s="15"/>
      <c r="F24" s="15"/>
    </row>
    <row r="25" spans="1:6" ht="18" customHeight="1">
      <c r="A25" s="8" t="s">
        <v>179</v>
      </c>
      <c r="B25" s="15" t="s">
        <v>189</v>
      </c>
      <c r="C25" s="15"/>
      <c r="D25" s="15" t="str">
        <f>VLOOKUP(B25,'[1]위험 안전문구'!$A$2:$C$100,2,0)</f>
        <v>가연성 액체</v>
      </c>
      <c r="E25" s="15"/>
      <c r="F25" s="15"/>
    </row>
    <row r="26" spans="1:6" ht="18" customHeight="1">
      <c r="A26" s="8"/>
      <c r="B26" s="15"/>
      <c r="C26" s="15"/>
      <c r="D26" s="15" t="e">
        <f>VLOOKUP(B26,'[1]위험 안전문구'!$A$2:$C$100,2,0)</f>
        <v>#N/A</v>
      </c>
      <c r="E26" s="15"/>
      <c r="F26" s="15"/>
    </row>
    <row r="27" spans="1:6" ht="18" customHeight="1">
      <c r="A27" s="8"/>
      <c r="B27" s="15"/>
      <c r="C27" s="15"/>
      <c r="D27" s="15" t="e">
        <f>VLOOKUP(B27,'[1]위험 안전문구'!$A$2:$C$100,2,0)</f>
        <v>#N/A</v>
      </c>
      <c r="E27" s="15"/>
      <c r="F27" s="15"/>
    </row>
    <row r="28" spans="1:6" ht="18" customHeight="1">
      <c r="A28" s="8"/>
      <c r="B28" s="15"/>
      <c r="C28" s="15"/>
      <c r="D28" s="15" t="e">
        <f>VLOOKUP(B28,'[1]위험 안전문구'!$A$2:$C$100,2,0)</f>
        <v>#N/A</v>
      </c>
      <c r="E28" s="15"/>
      <c r="F28" s="15"/>
    </row>
    <row r="29" spans="1:6" ht="18" customHeight="1">
      <c r="A29" s="8"/>
      <c r="B29" s="15"/>
      <c r="C29" s="15"/>
      <c r="D29" s="15" t="e">
        <f>VLOOKUP(B29,'[1]위험 안전문구'!$A$2:$C$100,2,0)</f>
        <v>#N/A</v>
      </c>
      <c r="E29" s="15"/>
      <c r="F29" s="15"/>
    </row>
    <row r="30" spans="1:6" ht="18" customHeight="1">
      <c r="A30" s="8"/>
      <c r="B30" s="15"/>
      <c r="C30" s="15"/>
      <c r="D30" s="15" t="e">
        <f>VLOOKUP(B30,'[1]위험 안전문구'!$A$2:$C$100,2,0)</f>
        <v>#N/A</v>
      </c>
      <c r="E30" s="15"/>
      <c r="F30" s="15"/>
    </row>
    <row r="31" spans="1:6" ht="18" customHeight="1">
      <c r="A31" s="8"/>
      <c r="B31" s="15"/>
      <c r="C31" s="15"/>
      <c r="D31" s="15" t="e">
        <f>VLOOKUP(B31,'[1]위험 안전문구'!$A$2:$C$100,2,0)</f>
        <v>#N/A</v>
      </c>
      <c r="E31" s="15"/>
      <c r="F31" s="15"/>
    </row>
    <row r="32" spans="1:6" ht="17.25" customHeight="1">
      <c r="A32" s="8"/>
      <c r="B32" s="15"/>
      <c r="C32" s="15"/>
      <c r="D32" s="15" t="e">
        <f>VLOOKUP(B32,'[1]위험 안전문구'!$A$2:$C$100,2,0)</f>
        <v>#N/A</v>
      </c>
      <c r="E32" s="15"/>
      <c r="F32" s="15"/>
    </row>
    <row r="33" spans="1:6" ht="18" customHeight="1">
      <c r="A33" s="8"/>
      <c r="B33" s="15"/>
      <c r="C33" s="15"/>
      <c r="D33" s="15" t="e">
        <f>VLOOKUP(B33,'[1]위험 안전문구'!$A$2:$C$100,2,0)</f>
        <v>#N/A</v>
      </c>
      <c r="E33" s="15"/>
      <c r="F33" s="15"/>
    </row>
    <row r="34" spans="1:6" ht="18" customHeight="1">
      <c r="A34" s="8"/>
      <c r="B34" s="15"/>
      <c r="C34" s="15"/>
      <c r="D34" s="15" t="e">
        <f>VLOOKUP(B34,'[1]위험 안전문구'!$A$2:$C$100,2,0)</f>
        <v>#N/A</v>
      </c>
      <c r="E34" s="15"/>
      <c r="F34" s="15"/>
    </row>
    <row r="35" spans="1:6" ht="18" customHeight="1">
      <c r="A35" s="8"/>
      <c r="B35" s="15"/>
      <c r="C35" s="15"/>
      <c r="D35" s="15" t="e">
        <f>VLOOKUP(B35,'[1]위험 안전문구'!$A$2:$C$100,2,0)</f>
        <v>#N/A</v>
      </c>
      <c r="E35" s="15"/>
      <c r="F35" s="15"/>
    </row>
    <row r="36" spans="1:6" ht="22.5" customHeight="1">
      <c r="A36" s="8"/>
      <c r="B36" s="15"/>
      <c r="C36" s="15"/>
      <c r="D36" s="15" t="e">
        <f>VLOOKUP(B36,'[1]위험 안전문구'!$A$2:$C$100,2,0)</f>
        <v>#N/A</v>
      </c>
      <c r="E36" s="15"/>
      <c r="F36" s="15"/>
    </row>
    <row r="37" spans="1:6" ht="18" customHeight="1">
      <c r="A37" s="8"/>
      <c r="B37" s="15"/>
      <c r="C37" s="15"/>
      <c r="D37" s="15" t="e">
        <f>VLOOKUP(B37,'[1]위험 안전문구'!$A$2:$C$100,2,0)</f>
        <v>#N/A</v>
      </c>
      <c r="E37" s="15"/>
      <c r="F37" s="15"/>
    </row>
    <row r="38" spans="1:6" ht="18" customHeight="1">
      <c r="A38" s="8"/>
      <c r="B38" s="15"/>
      <c r="C38" s="15"/>
      <c r="D38" s="15" t="e">
        <f>VLOOKUP(B38,'[1]위험 안전문구'!$A$2:$C$100,2,0)</f>
        <v>#N/A</v>
      </c>
      <c r="E38" s="15"/>
      <c r="F38" s="15"/>
    </row>
    <row r="39" spans="1:6" ht="18" customHeight="1">
      <c r="A39" s="8"/>
      <c r="B39" s="15"/>
      <c r="C39" s="15"/>
      <c r="D39" s="15" t="e">
        <f>VLOOKUP(B39,'[1]위험 안전문구'!$A$2:$C$100,2,0)</f>
        <v>#N/A</v>
      </c>
      <c r="E39" s="15"/>
      <c r="F39" s="15"/>
    </row>
    <row r="40" spans="1:6" ht="17.25" customHeight="1">
      <c r="A40" s="8"/>
      <c r="B40" s="15"/>
      <c r="C40" s="15"/>
      <c r="D40" s="15" t="e">
        <f>VLOOKUP(B40,'[1]위험 안전문구'!$A$2:$C$100,2,0)</f>
        <v>#N/A</v>
      </c>
      <c r="E40" s="15"/>
      <c r="F40" s="15"/>
    </row>
    <row r="41" spans="1:6" ht="18" customHeight="1">
      <c r="A41" s="8"/>
      <c r="B41" s="15"/>
      <c r="C41" s="15"/>
      <c r="D41" s="15" t="e">
        <f>VLOOKUP(B41,'[1]위험 안전문구'!$A$2:$C$100,2,0)</f>
        <v>#N/A</v>
      </c>
      <c r="E41" s="15"/>
      <c r="F41" s="15"/>
    </row>
    <row r="42" spans="1:6" ht="18" customHeight="1">
      <c r="A42" s="8"/>
      <c r="B42" s="15"/>
      <c r="C42" s="15"/>
      <c r="D42" s="15" t="e">
        <f>VLOOKUP(B42,'[1]위험 안전문구'!$A$2:$C$100,2,0)</f>
        <v>#N/A</v>
      </c>
      <c r="E42" s="15"/>
      <c r="F42" s="15"/>
    </row>
    <row r="43" spans="1:6" ht="18" customHeight="1">
      <c r="A43" s="8"/>
      <c r="B43" s="15"/>
      <c r="C43" s="15"/>
      <c r="D43" s="15" t="e">
        <f>VLOOKUP(B43,'[1]위험 안전문구'!$A$2:$C$100,2,0)</f>
        <v>#N/A</v>
      </c>
      <c r="E43" s="15"/>
      <c r="F43" s="15"/>
    </row>
    <row r="44" spans="1:6" ht="22.5" customHeight="1">
      <c r="A44" s="8"/>
      <c r="B44" s="15"/>
      <c r="C44" s="15"/>
      <c r="D44" s="15" t="e">
        <f>VLOOKUP(B44,'[1]위험 안전문구'!$A$2:$C$100,2,0)</f>
        <v>#N/A</v>
      </c>
      <c r="E44" s="15"/>
      <c r="F44" s="15"/>
    </row>
    <row r="45" spans="1:6" ht="15" customHeight="1">
      <c r="A45" s="15" t="s">
        <v>170</v>
      </c>
      <c r="B45" s="15"/>
      <c r="C45" s="15"/>
      <c r="D45" s="15"/>
      <c r="E45" s="15"/>
      <c r="F45" s="15"/>
    </row>
    <row r="46" spans="1:6" ht="20.25" customHeight="1">
      <c r="A46" s="8" t="s">
        <v>171</v>
      </c>
      <c r="B46" s="15"/>
      <c r="C46" s="15"/>
      <c r="D46" s="15" t="e">
        <f>VLOOKUP(B46,'[1]위험 안전문구'!$A$2:$C$100,2,0)</f>
        <v>#N/A</v>
      </c>
      <c r="E46" s="15"/>
      <c r="F46" s="15"/>
    </row>
    <row r="47" spans="1:6" ht="19.5" customHeight="1">
      <c r="A47" s="8"/>
      <c r="B47" s="15"/>
      <c r="C47" s="15"/>
      <c r="D47" s="15" t="e">
        <f>VLOOKUP(B47,'[1]위험 안전문구'!$A$2:$C$100,2,0)</f>
        <v>#N/A</v>
      </c>
      <c r="E47" s="15"/>
      <c r="F47" s="15"/>
    </row>
    <row r="48" spans="1:6" ht="19.5" customHeight="1">
      <c r="A48" s="8"/>
      <c r="B48" s="15"/>
      <c r="C48" s="15"/>
      <c r="D48" s="15" t="e">
        <f>VLOOKUP(B48,'[1]위험 안전문구'!$A$2:$C$100,2,0)</f>
        <v>#N/A</v>
      </c>
      <c r="E48" s="15"/>
      <c r="F48" s="15"/>
    </row>
    <row r="49" spans="1:6" ht="19.5" customHeight="1">
      <c r="A49" s="8"/>
      <c r="B49" s="15"/>
      <c r="C49" s="15"/>
      <c r="D49" s="15" t="e">
        <f>VLOOKUP(B49,'[1]위험 안전문구'!$A$2:$C$100,2,0)</f>
        <v>#N/A</v>
      </c>
      <c r="E49" s="15"/>
      <c r="F49" s="15"/>
    </row>
    <row r="50" spans="1:6" ht="19.5" customHeight="1">
      <c r="A50" s="8"/>
      <c r="B50" s="15"/>
      <c r="C50" s="15"/>
      <c r="D50" s="15" t="e">
        <f>VLOOKUP(B50,'[1]위험 안전문구'!$A$2:$C$100,2,0)</f>
        <v>#N/A</v>
      </c>
      <c r="E50" s="15"/>
      <c r="F50" s="15"/>
    </row>
    <row r="51" spans="1:6" ht="15" customHeight="1">
      <c r="A51" s="8"/>
      <c r="B51" s="15"/>
      <c r="C51" s="15"/>
      <c r="D51" s="15" t="e">
        <f>VLOOKUP(B51,'[1]위험 안전문구'!$A$2:$C$100,2,0)</f>
        <v>#N/A</v>
      </c>
      <c r="E51" s="15"/>
      <c r="F51" s="15"/>
    </row>
    <row r="52" spans="1:6" ht="15" customHeight="1">
      <c r="A52" s="8"/>
      <c r="B52" s="15"/>
      <c r="C52" s="15"/>
      <c r="D52" s="15" t="e">
        <f>VLOOKUP(B52,'[1]위험 안전문구'!$A$2:$C$100,2,0)</f>
        <v>#N/A</v>
      </c>
      <c r="E52" s="15"/>
      <c r="F52" s="15"/>
    </row>
    <row r="53" spans="1:6" ht="15" customHeight="1">
      <c r="A53" s="8"/>
      <c r="B53" s="15"/>
      <c r="C53" s="15"/>
      <c r="D53" s="15" t="e">
        <f>VLOOKUP(B53,'[1]위험 안전문구'!$A$2:$C$100,2,0)</f>
        <v>#N/A</v>
      </c>
      <c r="E53" s="15"/>
      <c r="F53" s="15"/>
    </row>
    <row r="54" spans="1:6" ht="15" customHeight="1">
      <c r="A54" s="8"/>
      <c r="B54" s="15"/>
      <c r="C54" s="15"/>
      <c r="D54" s="15" t="e">
        <f>VLOOKUP(B54,'[1]위험 안전문구'!$A$2:$C$100,2,0)</f>
        <v>#N/A</v>
      </c>
      <c r="E54" s="15"/>
      <c r="F54" s="15"/>
    </row>
    <row r="55" spans="1:6" ht="19.5" customHeight="1">
      <c r="A55" s="8"/>
      <c r="B55" s="15"/>
      <c r="C55" s="15"/>
      <c r="D55" s="15" t="e">
        <f>VLOOKUP(B55,'[1]위험 안전문구'!$A$2:$C$100,2,0)</f>
        <v>#N/A</v>
      </c>
      <c r="E55" s="15"/>
      <c r="F55" s="15"/>
    </row>
    <row r="56" spans="1:6" ht="19.5" customHeight="1">
      <c r="A56" s="8"/>
      <c r="B56" s="15"/>
      <c r="C56" s="15"/>
      <c r="D56" s="15" t="e">
        <f>VLOOKUP(B56,'[1]위험 안전문구'!$A$2:$C$100,2,0)</f>
        <v>#N/A</v>
      </c>
      <c r="E56" s="15"/>
      <c r="F56" s="15"/>
    </row>
    <row r="57" spans="1:6" ht="19.5" customHeight="1">
      <c r="A57" s="8"/>
      <c r="B57" s="15"/>
      <c r="C57" s="15"/>
      <c r="D57" s="15" t="e">
        <f>VLOOKUP(B57,'[1]위험 안전문구'!$A$2:$C$100,2,0)</f>
        <v>#N/A</v>
      </c>
      <c r="E57" s="15"/>
      <c r="F57" s="15"/>
    </row>
    <row r="58" spans="1:6" ht="19.5" customHeight="1">
      <c r="A58" s="8"/>
      <c r="B58" s="15"/>
      <c r="C58" s="15"/>
      <c r="D58" s="15" t="e">
        <f>VLOOKUP(B58,'[1]위험 안전문구'!$A$2:$C$100,2,0)</f>
        <v>#N/A</v>
      </c>
      <c r="E58" s="15"/>
      <c r="F58" s="15"/>
    </row>
    <row r="59" spans="1:6" ht="15" customHeight="1">
      <c r="A59" s="8"/>
      <c r="B59" s="15"/>
      <c r="C59" s="15"/>
      <c r="D59" s="15" t="e">
        <f>VLOOKUP(B59,'[1]위험 안전문구'!$A$2:$C$100,2,0)</f>
        <v>#N/A</v>
      </c>
      <c r="E59" s="15"/>
      <c r="F59" s="15"/>
    </row>
    <row r="60" spans="1:6" ht="15" customHeight="1">
      <c r="A60" s="8"/>
      <c r="B60" s="15"/>
      <c r="C60" s="15"/>
      <c r="D60" s="15" t="e">
        <f>VLOOKUP(B60,'[1]위험 안전문구'!$A$2:$C$100,2,0)</f>
        <v>#N/A</v>
      </c>
      <c r="E60" s="15"/>
      <c r="F60" s="15"/>
    </row>
    <row r="61" spans="1:6" ht="15" customHeight="1">
      <c r="A61" s="8"/>
      <c r="B61" s="15"/>
      <c r="C61" s="15"/>
      <c r="D61" s="15" t="e">
        <f>VLOOKUP(B61,'[1]위험 안전문구'!$A$2:$C$100,2,0)</f>
        <v>#N/A</v>
      </c>
      <c r="E61" s="15"/>
      <c r="F61" s="15"/>
    </row>
    <row r="62" spans="1:6" ht="15" customHeight="1">
      <c r="A62" s="8"/>
      <c r="B62" s="15"/>
      <c r="C62" s="15"/>
      <c r="D62" s="15" t="e">
        <f>VLOOKUP(B62,'[1]위험 안전문구'!$A$2:$C$100,2,0)</f>
        <v>#N/A</v>
      </c>
      <c r="E62" s="15"/>
      <c r="F62" s="15"/>
    </row>
    <row r="63" spans="1:6" ht="15" customHeight="1">
      <c r="A63" s="8"/>
      <c r="B63" s="15"/>
      <c r="C63" s="15"/>
      <c r="D63" s="15" t="e">
        <f>VLOOKUP(B63,'[1]위험 안전문구'!$A$2:$C$100,2,0)</f>
        <v>#N/A</v>
      </c>
      <c r="E63" s="15"/>
      <c r="F63" s="15"/>
    </row>
    <row r="64" spans="1:6" ht="15" customHeight="1">
      <c r="A64" s="8"/>
      <c r="B64" s="15"/>
      <c r="C64" s="15"/>
      <c r="D64" s="15" t="e">
        <f>VLOOKUP(B64,'[1]위험 안전문구'!$A$2:$C$100,2,0)</f>
        <v>#N/A</v>
      </c>
      <c r="E64" s="15"/>
      <c r="F64" s="15"/>
    </row>
    <row r="65" spans="1:6" ht="15" customHeight="1">
      <c r="A65" s="8"/>
      <c r="B65" s="15"/>
      <c r="C65" s="15"/>
      <c r="D65" s="15" t="e">
        <f>VLOOKUP(B65,'[1]위험 안전문구'!$A$2:$C$100,2,0)</f>
        <v>#N/A</v>
      </c>
      <c r="E65" s="15"/>
      <c r="F65" s="15"/>
    </row>
    <row r="66" spans="1:6" ht="17.25" customHeight="1">
      <c r="A66" s="8" t="s">
        <v>172</v>
      </c>
      <c r="B66" s="15"/>
      <c r="C66" s="15"/>
      <c r="D66" s="15" t="e">
        <f>VLOOKUP(B66,'[1]위험 안전문구'!$A$2:$C$100,2,0)</f>
        <v>#N/A</v>
      </c>
      <c r="E66" s="15"/>
      <c r="F66" s="15"/>
    </row>
    <row r="67" spans="1:6" ht="37.5" customHeight="1">
      <c r="A67" s="8"/>
      <c r="B67" s="15"/>
      <c r="C67" s="15"/>
      <c r="D67" s="15" t="e">
        <f>VLOOKUP(B67,'[1]위험 안전문구'!$A$2:$C$100,2,0)</f>
        <v>#N/A</v>
      </c>
      <c r="E67" s="15"/>
      <c r="F67" s="15"/>
    </row>
    <row r="68" spans="1:6" ht="20.25" customHeight="1">
      <c r="A68" s="8"/>
      <c r="B68" s="15"/>
      <c r="C68" s="15"/>
      <c r="D68" s="15" t="e">
        <f>VLOOKUP(B68,'[1]위험 안전문구'!$A$2:$C$100,2,0)</f>
        <v>#N/A</v>
      </c>
      <c r="E68" s="15"/>
      <c r="F68" s="15"/>
    </row>
    <row r="69" spans="1:6" ht="20.25" customHeight="1">
      <c r="A69" s="8"/>
      <c r="B69" s="15"/>
      <c r="C69" s="15"/>
      <c r="D69" s="15" t="e">
        <f>VLOOKUP(B69,'[1]위험 안전문구'!$A$2:$C$100,2,0)</f>
        <v>#N/A</v>
      </c>
      <c r="E69" s="15"/>
      <c r="F69" s="15"/>
    </row>
    <row r="70" spans="1:6" ht="20.25" customHeight="1">
      <c r="A70" s="8"/>
      <c r="B70" s="15"/>
      <c r="C70" s="15"/>
      <c r="D70" s="15" t="e">
        <f>VLOOKUP(B70,'[1]위험 안전문구'!$A$2:$C$100,2,0)</f>
        <v>#N/A</v>
      </c>
      <c r="E70" s="15"/>
      <c r="F70" s="15"/>
    </row>
    <row r="71" spans="1:6" ht="28.5" customHeight="1">
      <c r="A71" s="8"/>
      <c r="B71" s="15"/>
      <c r="C71" s="15"/>
      <c r="D71" s="15" t="e">
        <f>VLOOKUP(B71,'[1]위험 안전문구'!$A$2:$C$100,2,0)</f>
        <v>#N/A</v>
      </c>
      <c r="E71" s="15"/>
      <c r="F71" s="15"/>
    </row>
    <row r="72" spans="1:6" ht="18.75" customHeight="1">
      <c r="A72" s="8"/>
      <c r="B72" s="15"/>
      <c r="C72" s="15"/>
      <c r="D72" s="15" t="e">
        <f>VLOOKUP(B72,'[1]위험 안전문구'!$A$2:$C$100,2,0)</f>
        <v>#N/A</v>
      </c>
      <c r="E72" s="15"/>
      <c r="F72" s="15"/>
    </row>
    <row r="73" spans="1:6" ht="18.75" customHeight="1">
      <c r="A73" s="8"/>
      <c r="B73" s="15"/>
      <c r="C73" s="15"/>
      <c r="D73" s="15" t="e">
        <f>VLOOKUP(B73,'[1]위험 안전문구'!$A$2:$C$100,2,0)</f>
        <v>#N/A</v>
      </c>
      <c r="E73" s="15"/>
      <c r="F73" s="15"/>
    </row>
    <row r="74" spans="1:6" ht="18.75" customHeight="1">
      <c r="A74" s="8"/>
      <c r="B74" s="15"/>
      <c r="C74" s="15"/>
      <c r="D74" s="15" t="e">
        <f>VLOOKUP(B74,'[1]위험 안전문구'!$A$2:$C$100,2,0)</f>
        <v>#N/A</v>
      </c>
      <c r="E74" s="15"/>
      <c r="F74" s="15"/>
    </row>
    <row r="75" spans="1:6" ht="18.75" customHeight="1">
      <c r="A75" s="8"/>
      <c r="B75" s="15"/>
      <c r="C75" s="15"/>
      <c r="D75" s="15" t="e">
        <f>VLOOKUP(B75,'[1]위험 안전문구'!$A$2:$C$100,2,0)</f>
        <v>#N/A</v>
      </c>
      <c r="E75" s="15"/>
      <c r="F75" s="15"/>
    </row>
    <row r="76" spans="1:6" ht="20.25" customHeight="1">
      <c r="A76" s="8"/>
      <c r="B76" s="15"/>
      <c r="C76" s="15"/>
      <c r="D76" s="15" t="e">
        <f>VLOOKUP(B76,'[1]위험 안전문구'!$A$2:$C$100,2,0)</f>
        <v>#N/A</v>
      </c>
      <c r="E76" s="15"/>
      <c r="F76" s="15"/>
    </row>
    <row r="77" spans="1:6" ht="28.5" customHeight="1">
      <c r="A77" s="8"/>
      <c r="B77" s="15"/>
      <c r="C77" s="15"/>
      <c r="D77" s="15" t="e">
        <f>VLOOKUP(B77,'[1]위험 안전문구'!$A$2:$C$100,2,0)</f>
        <v>#N/A</v>
      </c>
      <c r="E77" s="15"/>
      <c r="F77" s="15"/>
    </row>
    <row r="78" spans="1:6" ht="18.75" customHeight="1">
      <c r="A78" s="8"/>
      <c r="B78" s="15"/>
      <c r="C78" s="15"/>
      <c r="D78" s="15" t="e">
        <f>VLOOKUP(B78,'[1]위험 안전문구'!$A$2:$C$100,2,0)</f>
        <v>#N/A</v>
      </c>
      <c r="E78" s="15"/>
      <c r="F78" s="15"/>
    </row>
    <row r="79" spans="1:6" ht="18.75" customHeight="1">
      <c r="A79" s="8"/>
      <c r="B79" s="15"/>
      <c r="C79" s="15"/>
      <c r="D79" s="15" t="e">
        <f>VLOOKUP(B79,'[1]위험 안전문구'!$A$2:$C$100,2,0)</f>
        <v>#N/A</v>
      </c>
      <c r="E79" s="15"/>
      <c r="F79" s="15"/>
    </row>
    <row r="80" spans="1:6" ht="18.75" customHeight="1">
      <c r="A80" s="8"/>
      <c r="B80" s="15"/>
      <c r="C80" s="15"/>
      <c r="D80" s="15" t="e">
        <f>VLOOKUP(B80,'[1]위험 안전문구'!$A$2:$C$100,2,0)</f>
        <v>#N/A</v>
      </c>
      <c r="E80" s="15"/>
      <c r="F80" s="15"/>
    </row>
    <row r="81" spans="1:6" ht="18.75" customHeight="1">
      <c r="A81" s="8"/>
      <c r="B81" s="15"/>
      <c r="C81" s="15"/>
      <c r="D81" s="15" t="e">
        <f>VLOOKUP(B81,'[1]위험 안전문구'!$A$2:$C$100,2,0)</f>
        <v>#N/A</v>
      </c>
      <c r="E81" s="15"/>
      <c r="F81" s="15"/>
    </row>
    <row r="82" spans="1:6" ht="18.75" customHeight="1">
      <c r="A82" s="8"/>
      <c r="B82" s="15"/>
      <c r="C82" s="15"/>
      <c r="D82" s="15" t="e">
        <f>VLOOKUP(B82,'[1]위험 안전문구'!$A$2:$C$100,2,0)</f>
        <v>#N/A</v>
      </c>
      <c r="E82" s="15"/>
      <c r="F82" s="15"/>
    </row>
    <row r="83" spans="1:6" ht="18.75" customHeight="1">
      <c r="A83" s="8"/>
      <c r="B83" s="15"/>
      <c r="C83" s="15"/>
      <c r="D83" s="15" t="e">
        <f>VLOOKUP(B83,'[1]위험 안전문구'!$A$2:$C$100,2,0)</f>
        <v>#N/A</v>
      </c>
      <c r="E83" s="15"/>
      <c r="F83" s="15"/>
    </row>
    <row r="84" spans="1:6" ht="20.25" customHeight="1">
      <c r="A84" s="8"/>
      <c r="B84" s="15"/>
      <c r="C84" s="15"/>
      <c r="D84" s="15" t="e">
        <f>VLOOKUP(B84,'[1]위험 안전문구'!$A$2:$C$100,2,0)</f>
        <v>#N/A</v>
      </c>
      <c r="E84" s="15"/>
      <c r="F84" s="15"/>
    </row>
    <row r="85" spans="1:6" ht="20.25" customHeight="1">
      <c r="A85" s="8"/>
      <c r="B85" s="15"/>
      <c r="C85" s="15"/>
      <c r="D85" s="15" t="e">
        <f>VLOOKUP(B85,'[1]위험 안전문구'!$A$2:$C$100,2,0)</f>
        <v>#N/A</v>
      </c>
      <c r="E85" s="15"/>
      <c r="F85" s="15"/>
    </row>
    <row r="86" spans="1:6" ht="19.5" customHeight="1">
      <c r="A86" s="8" t="s">
        <v>173</v>
      </c>
      <c r="B86" s="15"/>
      <c r="C86" s="15"/>
      <c r="D86" s="15" t="e">
        <f>VLOOKUP(B86,'[1]위험 안전문구'!$A$2:$C$100,2,0)</f>
        <v>#N/A</v>
      </c>
      <c r="E86" s="15"/>
      <c r="F86" s="15"/>
    </row>
    <row r="87" spans="1:6" ht="18.75" customHeight="1">
      <c r="A87" s="8"/>
      <c r="B87" s="15"/>
      <c r="C87" s="15"/>
      <c r="D87" s="15" t="e">
        <f>VLOOKUP(B87,'[1]위험 안전문구'!$A$2:$C$100,2,0)</f>
        <v>#N/A</v>
      </c>
      <c r="E87" s="15"/>
      <c r="F87" s="15"/>
    </row>
    <row r="88" spans="1:6" ht="18.75" customHeight="1">
      <c r="A88" s="8"/>
      <c r="B88" s="15"/>
      <c r="C88" s="15"/>
      <c r="D88" s="15" t="e">
        <f>VLOOKUP(B88,'[1]위험 안전문구'!$A$2:$C$100,2,0)</f>
        <v>#N/A</v>
      </c>
      <c r="E88" s="15"/>
      <c r="F88" s="15"/>
    </row>
    <row r="89" spans="1:6" ht="18.75" customHeight="1">
      <c r="A89" s="8"/>
      <c r="B89" s="15"/>
      <c r="C89" s="15"/>
      <c r="D89" s="15" t="e">
        <f>VLOOKUP(B89,'[1]위험 안전문구'!$A$2:$C$100,2,0)</f>
        <v>#N/A</v>
      </c>
      <c r="E89" s="15"/>
      <c r="F89" s="15"/>
    </row>
    <row r="90" spans="1:6" ht="18.75" customHeight="1">
      <c r="A90" s="8"/>
      <c r="B90" s="15"/>
      <c r="C90" s="15"/>
      <c r="D90" s="15" t="e">
        <f>VLOOKUP(B90,'[1]위험 안전문구'!$A$2:$C$100,2,0)</f>
        <v>#N/A</v>
      </c>
      <c r="E90" s="15"/>
      <c r="F90" s="15"/>
    </row>
    <row r="91" spans="1:6" ht="20.25" customHeight="1">
      <c r="A91" s="8"/>
      <c r="B91" s="15"/>
      <c r="C91" s="15"/>
      <c r="D91" s="15" t="e">
        <f>VLOOKUP(B91,'[1]위험 안전문구'!$A$2:$C$100,2,0)</f>
        <v>#N/A</v>
      </c>
      <c r="E91" s="15"/>
      <c r="F91" s="15"/>
    </row>
    <row r="92" spans="1:6" ht="28.5" customHeight="1">
      <c r="A92" s="8"/>
      <c r="B92" s="15"/>
      <c r="C92" s="15"/>
      <c r="D92" s="15" t="e">
        <f>VLOOKUP(B92,'[1]위험 안전문구'!$A$2:$C$100,2,0)</f>
        <v>#N/A</v>
      </c>
      <c r="E92" s="15"/>
      <c r="F92" s="15"/>
    </row>
    <row r="93" spans="1:6" ht="18.75" customHeight="1">
      <c r="A93" s="8"/>
      <c r="B93" s="15"/>
      <c r="C93" s="15"/>
      <c r="D93" s="15" t="e">
        <f>VLOOKUP(B93,'[1]위험 안전문구'!$A$2:$C$100,2,0)</f>
        <v>#N/A</v>
      </c>
      <c r="E93" s="15"/>
      <c r="F93" s="15"/>
    </row>
    <row r="94" spans="1:6" ht="18.75" customHeight="1">
      <c r="A94" s="8"/>
      <c r="B94" s="15"/>
      <c r="C94" s="15"/>
      <c r="D94" s="15" t="e">
        <f>VLOOKUP(B94,'[1]위험 안전문구'!$A$2:$C$100,2,0)</f>
        <v>#N/A</v>
      </c>
      <c r="E94" s="15"/>
      <c r="F94" s="15"/>
    </row>
    <row r="95" spans="1:6" ht="18.75" customHeight="1">
      <c r="A95" s="8"/>
      <c r="B95" s="15"/>
      <c r="C95" s="15"/>
      <c r="D95" s="15" t="e">
        <f>VLOOKUP(B95,'[1]위험 안전문구'!$A$2:$C$100,2,0)</f>
        <v>#N/A</v>
      </c>
      <c r="E95" s="15"/>
      <c r="F95" s="15"/>
    </row>
    <row r="96" spans="1:6" ht="18.75" customHeight="1">
      <c r="A96" s="8"/>
      <c r="B96" s="15"/>
      <c r="C96" s="15"/>
      <c r="D96" s="15" t="e">
        <f>VLOOKUP(B96,'[1]위험 안전문구'!$A$2:$C$100,2,0)</f>
        <v>#N/A</v>
      </c>
      <c r="E96" s="15"/>
      <c r="F96" s="15"/>
    </row>
    <row r="97" spans="1:6" ht="18.75" customHeight="1">
      <c r="A97" s="8"/>
      <c r="B97" s="15"/>
      <c r="C97" s="15"/>
      <c r="D97" s="15" t="e">
        <f>VLOOKUP(B97,'[1]위험 안전문구'!$A$2:$C$100,2,0)</f>
        <v>#N/A</v>
      </c>
      <c r="E97" s="15"/>
      <c r="F97" s="15"/>
    </row>
    <row r="98" spans="1:6" ht="18.75" customHeight="1">
      <c r="A98" s="8"/>
      <c r="B98" s="15"/>
      <c r="C98" s="15"/>
      <c r="D98" s="15" t="e">
        <f>VLOOKUP(B98,'[1]위험 안전문구'!$A$2:$C$100,2,0)</f>
        <v>#N/A</v>
      </c>
      <c r="E98" s="15"/>
      <c r="F98" s="15"/>
    </row>
    <row r="99" spans="1:6" ht="20.25" customHeight="1">
      <c r="A99" s="8"/>
      <c r="B99" s="15"/>
      <c r="C99" s="15"/>
      <c r="D99" s="15" t="e">
        <f>VLOOKUP(B99,'[1]위험 안전문구'!$A$2:$C$100,2,0)</f>
        <v>#N/A</v>
      </c>
      <c r="E99" s="15"/>
      <c r="F99" s="15"/>
    </row>
    <row r="100" spans="1:6" ht="20.25" customHeight="1">
      <c r="A100" s="8"/>
      <c r="B100" s="15"/>
      <c r="C100" s="15"/>
      <c r="D100" s="15" t="e">
        <f>VLOOKUP(B100,'[1]위험 안전문구'!$A$2:$C$100,2,0)</f>
        <v>#N/A</v>
      </c>
      <c r="E100" s="15"/>
      <c r="F100" s="15"/>
    </row>
    <row r="101" spans="1:6" ht="15" customHeight="1">
      <c r="B101" s="15"/>
      <c r="C101" s="15"/>
      <c r="D101" s="15" t="e">
        <f>VLOOKUP(B101,'[1]위험 안전문구'!$A$2:$C$100,2,0)</f>
        <v>#N/A</v>
      </c>
      <c r="E101" s="15"/>
      <c r="F101" s="15"/>
    </row>
    <row r="102" spans="1:6" ht="15" customHeight="1">
      <c r="A102" s="8"/>
      <c r="B102" s="15"/>
      <c r="C102" s="15"/>
      <c r="D102" s="15" t="e">
        <f>VLOOKUP(B102,'[1]위험 안전문구'!$A$2:$C$100,2,0)</f>
        <v>#N/A</v>
      </c>
      <c r="E102" s="15"/>
      <c r="F102" s="15"/>
    </row>
    <row r="103" spans="1:6" ht="15" customHeight="1">
      <c r="A103" s="8"/>
      <c r="B103" s="15"/>
      <c r="C103" s="15"/>
      <c r="D103" s="15" t="e">
        <f>VLOOKUP(B103,'[1]위험 안전문구'!$A$2:$C$100,2,0)</f>
        <v>#N/A</v>
      </c>
      <c r="E103" s="15"/>
      <c r="F103" s="15"/>
    </row>
    <row r="104" spans="1:6" ht="15" customHeight="1">
      <c r="A104" s="8"/>
      <c r="B104" s="15"/>
      <c r="C104" s="15"/>
      <c r="D104" s="15" t="e">
        <f>VLOOKUP(B104,'[1]위험 안전문구'!$A$2:$C$100,2,0)</f>
        <v>#N/A</v>
      </c>
      <c r="E104" s="15"/>
      <c r="F104" s="15"/>
    </row>
    <row r="105" spans="1:6" ht="15" customHeight="1">
      <c r="A105" s="8"/>
      <c r="B105" s="15"/>
      <c r="C105" s="15"/>
      <c r="D105" s="15" t="e">
        <f>VLOOKUP(B105,'[1]위험 안전문구'!$A$2:$C$100,2,0)</f>
        <v>#N/A</v>
      </c>
      <c r="E105" s="15"/>
      <c r="F105" s="15"/>
    </row>
    <row r="106" spans="1:6" ht="19.5" customHeight="1">
      <c r="A106" s="8" t="s">
        <v>174</v>
      </c>
      <c r="B106" s="15"/>
      <c r="C106" s="15"/>
      <c r="D106" s="15" t="e">
        <f>VLOOKUP(B106,'[1]위험 안전문구'!$A$2:$C$100,2,0)</f>
        <v>#N/A</v>
      </c>
      <c r="E106" s="15"/>
      <c r="F106" s="15"/>
    </row>
    <row r="107" spans="1:6" ht="15" customHeight="1">
      <c r="A107" s="8"/>
      <c r="B107" s="15"/>
      <c r="C107" s="15"/>
      <c r="D107" s="15" t="e">
        <f>VLOOKUP(B107,'[1]위험 안전문구'!$A$2:$C$100,2,0)</f>
        <v>#N/A</v>
      </c>
      <c r="E107" s="15"/>
      <c r="F107" s="15"/>
    </row>
    <row r="108" spans="1:6" ht="18.75" customHeight="1">
      <c r="A108" s="8"/>
      <c r="B108" s="15"/>
      <c r="C108" s="15"/>
      <c r="D108" s="15" t="e">
        <f>VLOOKUP(B108,'[1]위험 안전문구'!$A$2:$C$100,2,0)</f>
        <v>#N/A</v>
      </c>
      <c r="E108" s="15"/>
      <c r="F108" s="15"/>
    </row>
    <row r="109" spans="1:6" ht="18.75" customHeight="1">
      <c r="A109" s="8"/>
      <c r="B109" s="15"/>
      <c r="C109" s="15"/>
      <c r="D109" s="15" t="e">
        <f>VLOOKUP(B109,'[1]위험 안전문구'!$A$2:$C$100,2,0)</f>
        <v>#N/A</v>
      </c>
      <c r="E109" s="15"/>
      <c r="F109" s="15"/>
    </row>
    <row r="110" spans="1:6" ht="20.25" customHeight="1">
      <c r="A110" s="8"/>
      <c r="B110" s="15"/>
      <c r="C110" s="15"/>
      <c r="D110" s="15" t="e">
        <f>VLOOKUP(B110,'[1]위험 안전문구'!$A$2:$C$100,2,0)</f>
        <v>#N/A</v>
      </c>
      <c r="E110" s="15"/>
      <c r="F110" s="15"/>
    </row>
    <row r="111" spans="1:6" ht="28.5" customHeight="1">
      <c r="A111" s="8"/>
      <c r="B111" s="15"/>
      <c r="C111" s="15"/>
      <c r="D111" s="15" t="e">
        <f>VLOOKUP(B111,'[1]위험 안전문구'!$A$2:$C$100,2,0)</f>
        <v>#N/A</v>
      </c>
      <c r="E111" s="15"/>
      <c r="F111" s="15"/>
    </row>
    <row r="112" spans="1:6" ht="18.75" customHeight="1">
      <c r="A112" s="8"/>
      <c r="B112" s="15"/>
      <c r="C112" s="15"/>
      <c r="D112" s="15" t="e">
        <f>VLOOKUP(B112,'[1]위험 안전문구'!$A$2:$C$100,2,0)</f>
        <v>#N/A</v>
      </c>
      <c r="E112" s="15"/>
      <c r="F112" s="15"/>
    </row>
    <row r="113" spans="1:6" ht="18.75" customHeight="1">
      <c r="A113" s="8"/>
      <c r="B113" s="15"/>
      <c r="C113" s="15"/>
      <c r="D113" s="15" t="e">
        <f>VLOOKUP(B113,'[1]위험 안전문구'!$A$2:$C$100,2,0)</f>
        <v>#N/A</v>
      </c>
      <c r="E113" s="15"/>
      <c r="F113" s="15"/>
    </row>
    <row r="114" spans="1:6" ht="18.75" customHeight="1">
      <c r="A114" s="8"/>
      <c r="B114" s="15"/>
      <c r="C114" s="15"/>
      <c r="D114" s="15" t="e">
        <f>VLOOKUP(B114,'[1]위험 안전문구'!$A$2:$C$100,2,0)</f>
        <v>#N/A</v>
      </c>
      <c r="E114" s="15"/>
      <c r="F114" s="15"/>
    </row>
    <row r="115" spans="1:6" ht="18.75" customHeight="1">
      <c r="A115" s="8"/>
      <c r="B115" s="15"/>
      <c r="C115" s="15"/>
      <c r="D115" s="15" t="e">
        <f>VLOOKUP(B115,'[1]위험 안전문구'!$A$2:$C$100,2,0)</f>
        <v>#N/A</v>
      </c>
      <c r="E115" s="15"/>
      <c r="F115" s="15"/>
    </row>
    <row r="116" spans="1:6" ht="18.75" customHeight="1">
      <c r="A116" s="8"/>
      <c r="B116" s="15"/>
      <c r="C116" s="15"/>
      <c r="D116" s="15" t="e">
        <f>VLOOKUP(B116,'[1]위험 안전문구'!$A$2:$C$100,2,0)</f>
        <v>#N/A</v>
      </c>
      <c r="E116" s="15"/>
      <c r="F116" s="15"/>
    </row>
    <row r="117" spans="1:6" ht="18.75" customHeight="1">
      <c r="A117" s="8"/>
      <c r="B117" s="15"/>
      <c r="C117" s="15"/>
      <c r="D117" s="15" t="e">
        <f>VLOOKUP(B117,'[1]위험 안전문구'!$A$2:$C$100,2,0)</f>
        <v>#N/A</v>
      </c>
      <c r="E117" s="15"/>
      <c r="F117" s="15"/>
    </row>
    <row r="118" spans="1:6" ht="20.25" customHeight="1">
      <c r="A118" s="8"/>
      <c r="B118" s="15"/>
      <c r="C118" s="15"/>
      <c r="D118" s="15" t="e">
        <f>VLOOKUP(B118,'[1]위험 안전문구'!$A$2:$C$100,2,0)</f>
        <v>#N/A</v>
      </c>
      <c r="E118" s="15"/>
      <c r="F118" s="15"/>
    </row>
    <row r="119" spans="1:6" ht="20.25" customHeight="1">
      <c r="A119" s="8"/>
      <c r="B119" s="15"/>
      <c r="C119" s="15"/>
      <c r="D119" s="15" t="e">
        <f>VLOOKUP(B119,'[1]위험 안전문구'!$A$2:$C$100,2,0)</f>
        <v>#N/A</v>
      </c>
      <c r="E119" s="15"/>
      <c r="F119" s="15"/>
    </row>
    <row r="120" spans="1:6" ht="15" customHeight="1">
      <c r="B120" s="15"/>
      <c r="C120" s="15"/>
      <c r="D120" s="15" t="e">
        <f>VLOOKUP(B120,'[1]위험 안전문구'!$A$2:$C$100,2,0)</f>
        <v>#N/A</v>
      </c>
      <c r="E120" s="15"/>
      <c r="F120" s="15"/>
    </row>
    <row r="121" spans="1:6" ht="15" customHeight="1">
      <c r="A121" s="8"/>
      <c r="B121" s="15"/>
      <c r="C121" s="15"/>
      <c r="D121" s="15" t="e">
        <f>VLOOKUP(B121,'[1]위험 안전문구'!$A$2:$C$100,2,0)</f>
        <v>#N/A</v>
      </c>
      <c r="E121" s="15"/>
      <c r="F121" s="15"/>
    </row>
    <row r="122" spans="1:6" ht="15" customHeight="1">
      <c r="A122" s="8"/>
      <c r="B122" s="15"/>
      <c r="C122" s="15"/>
      <c r="D122" s="15" t="e">
        <f>VLOOKUP(B122,'[1]위험 안전문구'!$A$2:$C$100,2,0)</f>
        <v>#N/A</v>
      </c>
      <c r="E122" s="15"/>
      <c r="F122" s="15"/>
    </row>
    <row r="123" spans="1:6" ht="15" customHeight="1">
      <c r="A123" s="8"/>
      <c r="B123" s="15"/>
      <c r="C123" s="15"/>
      <c r="D123" s="15" t="e">
        <f>VLOOKUP(B123,'[1]위험 안전문구'!$A$2:$C$100,2,0)</f>
        <v>#N/A</v>
      </c>
      <c r="E123" s="15"/>
      <c r="F123" s="15"/>
    </row>
    <row r="124" spans="1:6" ht="15" customHeight="1">
      <c r="A124" s="8"/>
      <c r="B124" s="15"/>
      <c r="C124" s="15"/>
      <c r="D124" s="15" t="e">
        <f>VLOOKUP(B124,'[1]위험 안전문구'!$A$2:$C$100,2,0)</f>
        <v>#N/A</v>
      </c>
      <c r="E124" s="15"/>
      <c r="F124" s="15"/>
    </row>
    <row r="125" spans="1:6" ht="15" customHeight="1">
      <c r="A125" s="8"/>
      <c r="B125" s="15"/>
      <c r="C125" s="15"/>
      <c r="D125" s="15" t="e">
        <f>VLOOKUP(B125,'[1]위험 안전문구'!$A$2:$C$100,2,0)</f>
        <v>#N/A</v>
      </c>
      <c r="E125" s="15"/>
      <c r="F125" s="15"/>
    </row>
    <row r="126" spans="1:6" ht="15" customHeight="1">
      <c r="A126" s="15" t="s">
        <v>5</v>
      </c>
      <c r="B126" s="15"/>
      <c r="C126" s="15"/>
      <c r="D126" s="15"/>
      <c r="E126" s="15"/>
      <c r="F126" s="15"/>
    </row>
    <row r="127" spans="1:6" ht="15" customHeight="1">
      <c r="A127" s="8" t="s">
        <v>64</v>
      </c>
      <c r="B127" s="15" t="s">
        <v>177</v>
      </c>
      <c r="C127" s="15"/>
      <c r="D127" s="15"/>
      <c r="E127" s="15"/>
      <c r="F127" s="15"/>
    </row>
    <row r="128" spans="1:6" ht="15" customHeight="1">
      <c r="A128" s="8" t="s">
        <v>65</v>
      </c>
      <c r="B128" s="15" t="s">
        <v>177</v>
      </c>
      <c r="C128" s="15"/>
      <c r="D128" s="15"/>
      <c r="E128" s="15"/>
      <c r="F128" s="15"/>
    </row>
    <row r="129" spans="1:6" ht="15" customHeight="1">
      <c r="A129" s="8" t="s">
        <v>66</v>
      </c>
      <c r="B129" s="15" t="s">
        <v>177</v>
      </c>
      <c r="C129" s="15"/>
      <c r="D129" s="15"/>
      <c r="E129" s="15"/>
      <c r="F129" s="15"/>
    </row>
    <row r="130" spans="1:6" ht="8.25" customHeight="1">
      <c r="A130" s="18"/>
      <c r="B130" s="18"/>
      <c r="C130" s="18"/>
      <c r="D130" s="18"/>
      <c r="E130" s="18"/>
      <c r="F130" s="18"/>
    </row>
    <row r="131" spans="1:6" ht="20.25" customHeight="1">
      <c r="A131" s="9" t="s">
        <v>6</v>
      </c>
      <c r="B131" s="19"/>
      <c r="C131" s="19"/>
      <c r="D131" s="19"/>
      <c r="E131" s="19"/>
      <c r="F131" s="19"/>
    </row>
    <row r="132" spans="1:6" ht="15" customHeight="1">
      <c r="A132" s="16" t="s">
        <v>27</v>
      </c>
      <c r="B132" s="16"/>
      <c r="C132" s="16"/>
      <c r="D132" s="2" t="s">
        <v>28</v>
      </c>
      <c r="E132" s="2"/>
      <c r="F132" s="2" t="s">
        <v>33</v>
      </c>
    </row>
    <row r="133" spans="1:6" s="5" customFormat="1" ht="27" customHeight="1">
      <c r="A133" s="13" t="e">
        <f>VLOOKUP(D133,[1]국문!$1:$1048576,2,0)</f>
        <v>#N/A</v>
      </c>
      <c r="B133" s="13"/>
      <c r="C133" s="13"/>
      <c r="D133" s="3"/>
      <c r="E133" s="3"/>
      <c r="F133" s="4"/>
    </row>
    <row r="134" spans="1:6" s="5" customFormat="1" ht="27" customHeight="1">
      <c r="A134" s="13" t="e">
        <f>VLOOKUP(D134,[1]국문!$1:$1048576,2,0)</f>
        <v>#N/A</v>
      </c>
      <c r="B134" s="13"/>
      <c r="C134" s="13"/>
      <c r="D134" s="3"/>
      <c r="E134" s="3"/>
      <c r="F134" s="4"/>
    </row>
    <row r="135" spans="1:6" s="5" customFormat="1" ht="27" customHeight="1">
      <c r="A135" s="13" t="e">
        <f>VLOOKUP(D135,[1]국문!$1:$1048576,2,0)</f>
        <v>#N/A</v>
      </c>
      <c r="B135" s="13"/>
      <c r="C135" s="13"/>
      <c r="D135" s="3"/>
      <c r="E135" s="3"/>
      <c r="F135" s="4"/>
    </row>
    <row r="136" spans="1:6" s="5" customFormat="1" ht="27" customHeight="1">
      <c r="A136" s="13" t="e">
        <f>VLOOKUP(D136,[1]국문!$1:$1048576,2,0)</f>
        <v>#N/A</v>
      </c>
      <c r="B136" s="13"/>
      <c r="C136" s="13"/>
      <c r="D136" s="3"/>
      <c r="E136" s="3"/>
      <c r="F136" s="4"/>
    </row>
    <row r="137" spans="1:6" s="5" customFormat="1" ht="27" customHeight="1">
      <c r="A137" s="13" t="e">
        <f>VLOOKUP(D137,[1]국문!$1:$1048576,2,0)</f>
        <v>#N/A</v>
      </c>
      <c r="B137" s="13"/>
      <c r="C137" s="13"/>
      <c r="D137" s="3"/>
      <c r="E137" s="3"/>
      <c r="F137" s="4"/>
    </row>
    <row r="138" spans="1:6" s="5" customFormat="1" ht="27" customHeight="1">
      <c r="A138" s="13" t="e">
        <f>VLOOKUP(D138,[1]국문!$1:$1048576,2,0)</f>
        <v>#N/A</v>
      </c>
      <c r="B138" s="13"/>
      <c r="C138" s="13"/>
      <c r="D138" s="3"/>
      <c r="E138" s="3"/>
      <c r="F138" s="4"/>
    </row>
    <row r="139" spans="1:6" s="5" customFormat="1" ht="27" customHeight="1">
      <c r="A139" s="13" t="e">
        <f>VLOOKUP(D139,[1]국문!$1:$1048576,2,0)</f>
        <v>#N/A</v>
      </c>
      <c r="B139" s="13"/>
      <c r="C139" s="13"/>
      <c r="D139" s="3"/>
      <c r="E139" s="3"/>
      <c r="F139" s="4"/>
    </row>
    <row r="140" spans="1:6" s="5" customFormat="1" ht="27" customHeight="1">
      <c r="A140" s="13" t="e">
        <f>VLOOKUP(D140,[1]국문!$1:$1048576,2,0)</f>
        <v>#N/A</v>
      </c>
      <c r="B140" s="13"/>
      <c r="C140" s="13"/>
      <c r="D140" s="3"/>
      <c r="E140" s="3"/>
      <c r="F140" s="4"/>
    </row>
    <row r="141" spans="1:6" s="5" customFormat="1" ht="27" customHeight="1">
      <c r="A141" s="13" t="e">
        <f>VLOOKUP(D141,[1]국문!$1:$1048576,2,0)</f>
        <v>#N/A</v>
      </c>
      <c r="B141" s="13"/>
      <c r="C141" s="13"/>
      <c r="D141" s="3"/>
      <c r="E141" s="3"/>
      <c r="F141" s="4"/>
    </row>
    <row r="142" spans="1:6" s="5" customFormat="1" ht="27" customHeight="1">
      <c r="A142" s="13" t="e">
        <f>VLOOKUP(D142,[1]국문!$1:$1048576,2,0)</f>
        <v>#N/A</v>
      </c>
      <c r="B142" s="13"/>
      <c r="C142" s="13"/>
      <c r="D142" s="3"/>
      <c r="E142" s="3"/>
      <c r="F142" s="4"/>
    </row>
    <row r="143" spans="1:6" s="5" customFormat="1" ht="27" customHeight="1">
      <c r="A143" s="13" t="e">
        <f>VLOOKUP(D143,[1]국문!$1:$1048576,2,0)</f>
        <v>#N/A</v>
      </c>
      <c r="B143" s="13"/>
      <c r="C143" s="13"/>
      <c r="D143" s="3"/>
      <c r="E143" s="3"/>
      <c r="F143" s="4"/>
    </row>
    <row r="144" spans="1:6" s="5" customFormat="1" ht="27" customHeight="1">
      <c r="A144" s="13" t="e">
        <f>VLOOKUP(D144,[1]국문!$1:$1048576,2,0)</f>
        <v>#N/A</v>
      </c>
      <c r="B144" s="13"/>
      <c r="C144" s="13"/>
      <c r="D144" s="3"/>
      <c r="E144" s="3"/>
      <c r="F144" s="4"/>
    </row>
    <row r="145" spans="1:6" s="5" customFormat="1" ht="27" customHeight="1">
      <c r="A145" s="13" t="e">
        <f>VLOOKUP(D145,[1]국문!$1:$1048576,2,0)</f>
        <v>#N/A</v>
      </c>
      <c r="B145" s="13"/>
      <c r="C145" s="13"/>
      <c r="D145" s="3"/>
      <c r="E145" s="3"/>
      <c r="F145" s="4"/>
    </row>
    <row r="146" spans="1:6" s="5" customFormat="1" ht="27" customHeight="1">
      <c r="A146" s="13" t="e">
        <f>VLOOKUP(D146,[1]국문!$1:$1048576,2,0)</f>
        <v>#N/A</v>
      </c>
      <c r="B146" s="13"/>
      <c r="C146" s="13"/>
      <c r="D146" s="3"/>
      <c r="E146" s="3"/>
      <c r="F146" s="4"/>
    </row>
    <row r="147" spans="1:6" s="5" customFormat="1" ht="27" customHeight="1">
      <c r="A147" s="13" t="e">
        <f>VLOOKUP(D147,[1]국문!$1:$1048576,2,0)</f>
        <v>#N/A</v>
      </c>
      <c r="B147" s="13"/>
      <c r="C147" s="13"/>
      <c r="D147" s="3"/>
      <c r="E147" s="3"/>
      <c r="F147" s="4"/>
    </row>
    <row r="148" spans="1:6" s="5" customFormat="1" ht="27" customHeight="1">
      <c r="A148" s="13" t="e">
        <f>VLOOKUP(D148,[1]국문!$1:$1048576,2,0)</f>
        <v>#N/A</v>
      </c>
      <c r="B148" s="13"/>
      <c r="C148" s="13"/>
      <c r="D148" s="3"/>
      <c r="E148" s="3"/>
      <c r="F148" s="4"/>
    </row>
    <row r="149" spans="1:6" s="5" customFormat="1" ht="27" customHeight="1">
      <c r="A149" s="13" t="e">
        <f>VLOOKUP(D149,[1]국문!$1:$1048576,2,0)</f>
        <v>#N/A</v>
      </c>
      <c r="B149" s="13"/>
      <c r="C149" s="13"/>
      <c r="D149" s="3"/>
      <c r="E149" s="3"/>
      <c r="F149" s="4"/>
    </row>
    <row r="150" spans="1:6" s="5" customFormat="1" ht="27" customHeight="1">
      <c r="A150" s="13" t="e">
        <f>VLOOKUP(D150,[1]국문!$1:$1048576,2,0)</f>
        <v>#N/A</v>
      </c>
      <c r="B150" s="13"/>
      <c r="C150" s="13"/>
      <c r="D150" s="3"/>
      <c r="E150" s="3"/>
      <c r="F150" s="6"/>
    </row>
    <row r="151" spans="1:6" s="5" customFormat="1" ht="31.5" customHeight="1">
      <c r="A151" s="13" t="e">
        <f>VLOOKUP(D151,[1]국문!$1:$1048576,2,0)</f>
        <v>#N/A</v>
      </c>
      <c r="B151" s="13"/>
      <c r="C151" s="13"/>
      <c r="D151" s="3"/>
      <c r="E151" s="3"/>
      <c r="F151" s="6"/>
    </row>
    <row r="152" spans="1:6" s="5" customFormat="1" ht="27" customHeight="1">
      <c r="A152" s="13" t="e">
        <f>VLOOKUP(D152,[1]국문!$1:$1048576,2,0)</f>
        <v>#N/A</v>
      </c>
      <c r="B152" s="13"/>
      <c r="C152" s="13"/>
      <c r="D152" s="3"/>
      <c r="E152" s="3"/>
      <c r="F152" s="6"/>
    </row>
    <row r="153" spans="1:6" s="5" customFormat="1" ht="11.25" customHeight="1">
      <c r="A153" s="13" t="e">
        <f>VLOOKUP(D153,[1]국문!$1:$1048576,2,0)</f>
        <v>#N/A</v>
      </c>
      <c r="B153" s="13"/>
      <c r="C153" s="13"/>
      <c r="D153" s="3"/>
      <c r="E153" s="3"/>
      <c r="F153" s="6"/>
    </row>
    <row r="154" spans="1:6" s="5" customFormat="1" ht="27" customHeight="1">
      <c r="A154" s="13" t="e">
        <f>VLOOKUP(D154,[1]국문!$1:$1048576,2,0)</f>
        <v>#N/A</v>
      </c>
      <c r="B154" s="13"/>
      <c r="C154" s="13"/>
      <c r="D154" s="3"/>
      <c r="E154" s="3"/>
      <c r="F154" s="6"/>
    </row>
    <row r="155" spans="1:6" s="5" customFormat="1" ht="27" customHeight="1">
      <c r="A155" s="13" t="e">
        <f>VLOOKUP(D155,[1]국문!$1:$1048576,2,0)</f>
        <v>#N/A</v>
      </c>
      <c r="B155" s="13"/>
      <c r="C155" s="13"/>
      <c r="D155" s="3"/>
      <c r="E155" s="3"/>
      <c r="F155" s="6"/>
    </row>
    <row r="156" spans="1:6" s="5" customFormat="1" ht="27" customHeight="1">
      <c r="A156" s="13" t="e">
        <f>VLOOKUP(D156,[1]국문!$1:$1048576,2,0)</f>
        <v>#N/A</v>
      </c>
      <c r="B156" s="13"/>
      <c r="C156" s="13"/>
      <c r="D156" s="3"/>
      <c r="F156" s="6"/>
    </row>
    <row r="157" spans="1:6" s="5" customFormat="1" ht="27" customHeight="1">
      <c r="A157" s="13" t="e">
        <f>VLOOKUP(D157,[1]국문!$1:$1048576,2,0)</f>
        <v>#N/A</v>
      </c>
      <c r="B157" s="13"/>
      <c r="C157" s="13"/>
      <c r="D157" s="3"/>
      <c r="F157" s="6"/>
    </row>
    <row r="158" spans="1:6" s="5" customFormat="1" ht="11.25" customHeight="1">
      <c r="A158" s="13" t="e">
        <f>VLOOKUP(D158,[1]국문!$1:$1048576,2,0)</f>
        <v>#N/A</v>
      </c>
      <c r="B158" s="13"/>
      <c r="C158" s="13"/>
      <c r="D158" s="3"/>
      <c r="E158" s="3"/>
      <c r="F158" s="6"/>
    </row>
    <row r="159" spans="1:6" s="5" customFormat="1" ht="27" customHeight="1">
      <c r="A159" s="13" t="e">
        <f>VLOOKUP(D159,[1]국문!$1:$1048576,2,0)</f>
        <v>#N/A</v>
      </c>
      <c r="B159" s="13"/>
      <c r="C159" s="13"/>
      <c r="D159" s="3"/>
      <c r="E159" s="3"/>
      <c r="F159" s="6"/>
    </row>
    <row r="160" spans="1:6" s="5" customFormat="1" ht="27" customHeight="1">
      <c r="A160" s="13" t="e">
        <f>VLOOKUP(D160,[1]국문!$1:$1048576,2,0)</f>
        <v>#N/A</v>
      </c>
      <c r="B160" s="13"/>
      <c r="C160" s="13"/>
      <c r="D160" s="3"/>
      <c r="E160" s="3"/>
      <c r="F160" s="6"/>
    </row>
    <row r="161" spans="1:6" s="5" customFormat="1" ht="27" customHeight="1">
      <c r="A161" s="13" t="e">
        <f>VLOOKUP(D161,[1]국문!$1:$1048576,2,0)</f>
        <v>#N/A</v>
      </c>
      <c r="B161" s="13"/>
      <c r="C161" s="13"/>
      <c r="D161" s="3"/>
      <c r="E161" s="3"/>
      <c r="F161" s="6"/>
    </row>
    <row r="162" spans="1:6" s="5" customFormat="1" ht="27" customHeight="1">
      <c r="A162" s="13" t="e">
        <f>VLOOKUP(D162,[1]국문!$1:$1048576,2,0)</f>
        <v>#N/A</v>
      </c>
      <c r="B162" s="13"/>
      <c r="C162" s="13"/>
      <c r="D162" s="3"/>
      <c r="E162" s="3"/>
      <c r="F162" s="6"/>
    </row>
    <row r="163" spans="1:6" s="5" customFormat="1" ht="27" customHeight="1">
      <c r="A163" s="13" t="e">
        <f>VLOOKUP(D163,[1]국문!$1:$1048576,2,0)</f>
        <v>#N/A</v>
      </c>
      <c r="B163" s="13"/>
      <c r="C163" s="13"/>
      <c r="D163" s="3"/>
      <c r="E163" s="3"/>
      <c r="F163" s="6"/>
    </row>
    <row r="164" spans="1:6" s="5" customFormat="1" ht="27" customHeight="1">
      <c r="A164" s="13" t="e">
        <f>VLOOKUP(D164,[1]국문!$1:$1048576,2,0)</f>
        <v>#N/A</v>
      </c>
      <c r="B164" s="13"/>
      <c r="C164" s="13"/>
      <c r="D164" s="3"/>
      <c r="E164" s="3"/>
      <c r="F164" s="6"/>
    </row>
    <row r="165" spans="1:6" s="5" customFormat="1" ht="31.5" customHeight="1">
      <c r="A165" s="13" t="e">
        <f>VLOOKUP(D165,[1]국문!$1:$1048576,2,0)</f>
        <v>#N/A</v>
      </c>
      <c r="B165" s="13"/>
      <c r="C165" s="13"/>
      <c r="D165" s="3"/>
      <c r="E165" s="3"/>
      <c r="F165" s="6"/>
    </row>
    <row r="166" spans="1:6" s="5" customFormat="1" ht="27" customHeight="1">
      <c r="A166" s="13" t="e">
        <f>VLOOKUP(D166,[1]국문!$1:$1048576,2,0)</f>
        <v>#N/A</v>
      </c>
      <c r="B166" s="13"/>
      <c r="C166" s="13"/>
      <c r="D166" s="3"/>
      <c r="E166" s="3"/>
      <c r="F166" s="6"/>
    </row>
    <row r="167" spans="1:6" s="5" customFormat="1" ht="27" customHeight="1">
      <c r="A167" s="13" t="e">
        <f>VLOOKUP(D167,[1]국문!$1:$1048576,2,0)</f>
        <v>#N/A</v>
      </c>
      <c r="B167" s="13"/>
      <c r="C167" s="13"/>
      <c r="D167" s="3"/>
      <c r="E167" s="3"/>
      <c r="F167" s="6"/>
    </row>
    <row r="168" spans="1:6" s="5" customFormat="1" ht="27" customHeight="1">
      <c r="A168" s="13" t="e">
        <f>VLOOKUP(D168,[1]국문!$1:$1048576,2,0)</f>
        <v>#N/A</v>
      </c>
      <c r="B168" s="13"/>
      <c r="C168" s="13"/>
      <c r="D168" s="3"/>
      <c r="E168" s="3"/>
      <c r="F168" s="6"/>
    </row>
    <row r="169" spans="1:6" s="5" customFormat="1" ht="27" customHeight="1">
      <c r="A169" s="13" t="e">
        <f>VLOOKUP(D169,[1]국문!$1:$1048576,2,0)</f>
        <v>#N/A</v>
      </c>
      <c r="B169" s="13"/>
      <c r="C169" s="13"/>
      <c r="D169" s="3"/>
      <c r="E169" s="3"/>
      <c r="F169" s="6"/>
    </row>
    <row r="170" spans="1:6" s="5" customFormat="1" ht="27" customHeight="1">
      <c r="A170" s="13" t="e">
        <f>VLOOKUP(D170,[1]국문!$1:$1048576,2,0)</f>
        <v>#N/A</v>
      </c>
      <c r="B170" s="13"/>
      <c r="C170" s="13"/>
      <c r="D170" s="3"/>
      <c r="E170" s="3"/>
      <c r="F170" s="6"/>
    </row>
    <row r="171" spans="1:6" s="5" customFormat="1" ht="27" customHeight="1">
      <c r="A171" s="13" t="e">
        <f>VLOOKUP(D171,[1]국문!$1:$1048576,2,0)</f>
        <v>#N/A</v>
      </c>
      <c r="B171" s="13"/>
      <c r="C171" s="13"/>
      <c r="D171" s="3"/>
      <c r="E171" s="3"/>
      <c r="F171" s="6"/>
    </row>
    <row r="172" spans="1:6" s="5" customFormat="1" ht="27" customHeight="1">
      <c r="A172" s="13" t="e">
        <f>VLOOKUP(D172,[1]국문!$1:$1048576,2,0)</f>
        <v>#N/A</v>
      </c>
      <c r="B172" s="13"/>
      <c r="C172" s="13"/>
      <c r="D172" s="3"/>
      <c r="E172" s="3"/>
      <c r="F172" s="6"/>
    </row>
    <row r="173" spans="1:6" s="5" customFormat="1" ht="27" customHeight="1">
      <c r="A173" s="13" t="e">
        <f>VLOOKUP(D173,[1]국문!$1:$1048576,2,0)</f>
        <v>#N/A</v>
      </c>
      <c r="B173" s="13"/>
      <c r="C173" s="13"/>
      <c r="D173" s="3"/>
      <c r="E173" s="3"/>
      <c r="F173" s="6"/>
    </row>
    <row r="174" spans="1:6" s="5" customFormat="1" ht="27" customHeight="1">
      <c r="A174" s="13" t="e">
        <f>VLOOKUP(D174,[1]국문!$1:$1048576,2,0)</f>
        <v>#N/A</v>
      </c>
      <c r="B174" s="13"/>
      <c r="C174" s="13"/>
      <c r="D174" s="3"/>
      <c r="E174" s="3"/>
      <c r="F174" s="6"/>
    </row>
    <row r="175" spans="1:6" s="5" customFormat="1" ht="27" customHeight="1">
      <c r="A175" s="13" t="e">
        <f>VLOOKUP(D175,[1]국문!$1:$1048576,2,0)</f>
        <v>#N/A</v>
      </c>
      <c r="B175" s="13"/>
      <c r="C175" s="13"/>
      <c r="D175" s="3"/>
      <c r="E175" s="3"/>
      <c r="F175" s="6"/>
    </row>
    <row r="176" spans="1:6" s="5" customFormat="1" ht="27" customHeight="1">
      <c r="A176" s="13" t="e">
        <f>VLOOKUP(D176,[1]국문!$1:$1048576,2,0)</f>
        <v>#N/A</v>
      </c>
      <c r="B176" s="13"/>
      <c r="C176" s="13"/>
      <c r="D176" s="3"/>
      <c r="E176" s="3"/>
      <c r="F176" s="4"/>
    </row>
    <row r="177" spans="1:6" s="5" customFormat="1" ht="27" customHeight="1">
      <c r="A177" s="13" t="e">
        <f>VLOOKUP(D177,[1]국문!$1:$1048576,2,0)</f>
        <v>#N/A</v>
      </c>
      <c r="B177" s="13"/>
      <c r="C177" s="13"/>
      <c r="D177" s="3"/>
      <c r="E177" s="3"/>
      <c r="F177" s="4"/>
    </row>
    <row r="178" spans="1:6" s="5" customFormat="1" ht="27" customHeight="1">
      <c r="A178" s="13" t="e">
        <f>VLOOKUP(D178,[1]국문!$1:$1048576,2,0)</f>
        <v>#N/A</v>
      </c>
      <c r="B178" s="13"/>
      <c r="C178" s="13"/>
      <c r="D178" s="3"/>
      <c r="E178" s="3"/>
      <c r="F178" s="4"/>
    </row>
    <row r="179" spans="1:6" s="5" customFormat="1" ht="27" customHeight="1">
      <c r="A179" s="13" t="e">
        <f>VLOOKUP(D179,[1]국문!$1:$1048576,2,0)</f>
        <v>#N/A</v>
      </c>
      <c r="B179" s="13"/>
      <c r="C179" s="13"/>
      <c r="D179" s="3"/>
      <c r="E179" s="3"/>
      <c r="F179" s="4"/>
    </row>
    <row r="180" spans="1:6" s="5" customFormat="1" ht="27" customHeight="1">
      <c r="A180" s="13" t="e">
        <f>VLOOKUP(D180,[1]국문!$1:$1048576,2,0)</f>
        <v>#N/A</v>
      </c>
      <c r="B180" s="13"/>
      <c r="C180" s="13"/>
      <c r="D180" s="3"/>
      <c r="E180" s="3"/>
      <c r="F180" s="4"/>
    </row>
    <row r="181" spans="1:6" s="5" customFormat="1" ht="27" customHeight="1">
      <c r="A181" s="13" t="e">
        <f>VLOOKUP(D181,[1]국문!$1:$1048576,2,0)</f>
        <v>#N/A</v>
      </c>
      <c r="B181" s="13"/>
      <c r="C181" s="13"/>
      <c r="D181" s="3"/>
      <c r="E181" s="3"/>
      <c r="F181" s="4"/>
    </row>
    <row r="182" spans="1:6" s="5" customFormat="1" ht="27" customHeight="1">
      <c r="A182" s="13" t="e">
        <f>VLOOKUP(D182,[1]국문!$1:$1048576,2,0)</f>
        <v>#N/A</v>
      </c>
      <c r="B182" s="13"/>
      <c r="C182" s="13"/>
      <c r="D182" s="3"/>
      <c r="E182" s="3"/>
      <c r="F182" s="4"/>
    </row>
    <row r="183" spans="1:6" s="5" customFormat="1" ht="27" customHeight="1">
      <c r="A183" s="13" t="e">
        <f>VLOOKUP(D183,[1]국문!$1:$1048576,2,0)</f>
        <v>#N/A</v>
      </c>
      <c r="B183" s="13"/>
      <c r="C183" s="13"/>
      <c r="D183" s="3"/>
      <c r="E183" s="3"/>
      <c r="F183" s="4"/>
    </row>
    <row r="184" spans="1:6" s="5" customFormat="1" ht="27" customHeight="1">
      <c r="A184" s="13" t="e">
        <f>VLOOKUP(D184,[1]국문!$1:$1048576,2,0)</f>
        <v>#N/A</v>
      </c>
      <c r="B184" s="13"/>
      <c r="C184" s="13"/>
      <c r="D184" s="3"/>
      <c r="E184" s="3"/>
      <c r="F184" s="4"/>
    </row>
    <row r="185" spans="1:6" s="5" customFormat="1" ht="27" customHeight="1">
      <c r="A185" s="13" t="e">
        <f>VLOOKUP(D185,[1]국문!$1:$1048576,2,0)</f>
        <v>#N/A</v>
      </c>
      <c r="B185" s="13"/>
      <c r="C185" s="13"/>
      <c r="D185" s="3"/>
      <c r="E185" s="3"/>
      <c r="F185" s="4"/>
    </row>
    <row r="186" spans="1:6" s="5" customFormat="1" ht="27" customHeight="1">
      <c r="A186" s="13" t="e">
        <f>VLOOKUP(D186,[1]국문!$1:$1048576,2,0)</f>
        <v>#N/A</v>
      </c>
      <c r="B186" s="13"/>
      <c r="C186" s="13"/>
      <c r="D186" s="3"/>
      <c r="E186" s="3"/>
      <c r="F186" s="4"/>
    </row>
    <row r="187" spans="1:6" s="5" customFormat="1" ht="27" customHeight="1">
      <c r="A187" s="13" t="e">
        <f>VLOOKUP(D187,[1]국문!$1:$1048576,2,0)</f>
        <v>#N/A</v>
      </c>
      <c r="B187" s="13"/>
      <c r="C187" s="13"/>
      <c r="D187" s="3"/>
      <c r="E187" s="3"/>
      <c r="F187" s="4"/>
    </row>
    <row r="188" spans="1:6" s="5" customFormat="1" ht="27" customHeight="1">
      <c r="A188" s="13" t="e">
        <f>VLOOKUP(D188,[1]국문!$1:$1048576,2,0)</f>
        <v>#N/A</v>
      </c>
      <c r="B188" s="13"/>
      <c r="C188" s="13"/>
      <c r="D188" s="3"/>
      <c r="E188" s="3"/>
      <c r="F188" s="4"/>
    </row>
    <row r="189" spans="1:6" s="5" customFormat="1" ht="27" customHeight="1">
      <c r="A189" s="13" t="e">
        <f>VLOOKUP(D189,[1]국문!$1:$1048576,2,0)</f>
        <v>#N/A</v>
      </c>
      <c r="B189" s="13"/>
      <c r="C189" s="13"/>
      <c r="D189" s="3"/>
      <c r="E189" s="3"/>
      <c r="F189" s="4"/>
    </row>
    <row r="190" spans="1:6" s="5" customFormat="1" ht="27" customHeight="1">
      <c r="A190" s="13" t="e">
        <f>VLOOKUP(D190,[1]국문!$1:$1048576,2,0)</f>
        <v>#N/A</v>
      </c>
      <c r="B190" s="13"/>
      <c r="C190" s="13"/>
      <c r="D190" s="3"/>
      <c r="E190" s="3"/>
      <c r="F190" s="4"/>
    </row>
    <row r="191" spans="1:6" s="5" customFormat="1" ht="27" customHeight="1">
      <c r="A191" s="13" t="e">
        <f>VLOOKUP(D191,[1]국문!$1:$1048576,2,0)</f>
        <v>#N/A</v>
      </c>
      <c r="B191" s="13"/>
      <c r="C191" s="13"/>
      <c r="D191" s="3"/>
      <c r="E191" s="3"/>
      <c r="F191" s="4"/>
    </row>
    <row r="192" spans="1:6" s="5" customFormat="1" ht="27" customHeight="1">
      <c r="A192" s="13" t="e">
        <f>VLOOKUP(D192,[1]국문!$1:$1048576,2,0)</f>
        <v>#N/A</v>
      </c>
      <c r="B192" s="13"/>
      <c r="C192" s="13"/>
      <c r="D192" s="3"/>
      <c r="E192" s="3"/>
      <c r="F192" s="4"/>
    </row>
    <row r="193" spans="1:6" s="5" customFormat="1" ht="27" customHeight="1">
      <c r="A193" s="13" t="e">
        <f>VLOOKUP(D193,[1]국문!$1:$1048576,2,0)</f>
        <v>#N/A</v>
      </c>
      <c r="B193" s="13"/>
      <c r="C193" s="13"/>
      <c r="D193" s="3"/>
      <c r="E193" s="3"/>
      <c r="F193" s="6"/>
    </row>
    <row r="194" spans="1:6" s="5" customFormat="1" ht="31.5" customHeight="1">
      <c r="A194" s="13" t="e">
        <f>VLOOKUP(D194,[1]국문!$1:$1048576,2,0)</f>
        <v>#N/A</v>
      </c>
      <c r="B194" s="13"/>
      <c r="C194" s="13"/>
      <c r="D194" s="3"/>
      <c r="E194" s="3"/>
      <c r="F194" s="6"/>
    </row>
    <row r="195" spans="1:6" s="5" customFormat="1" ht="27" customHeight="1">
      <c r="A195" s="13" t="e">
        <f>VLOOKUP(D195,[1]국문!$1:$1048576,2,0)</f>
        <v>#N/A</v>
      </c>
      <c r="B195" s="13"/>
      <c r="C195" s="13"/>
      <c r="D195" s="3"/>
      <c r="E195" s="3"/>
      <c r="F195" s="6"/>
    </row>
    <row r="196" spans="1:6" s="5" customFormat="1" ht="11.25" customHeight="1">
      <c r="A196" s="13" t="e">
        <f>VLOOKUP(D196,[1]국문!$1:$1048576,2,0)</f>
        <v>#N/A</v>
      </c>
      <c r="B196" s="13"/>
      <c r="C196" s="13"/>
      <c r="D196" s="3"/>
      <c r="E196" s="3"/>
      <c r="F196" s="6"/>
    </row>
    <row r="197" spans="1:6" s="5" customFormat="1" ht="27" customHeight="1">
      <c r="A197" s="13" t="e">
        <f>VLOOKUP(D197,[1]국문!$1:$1048576,2,0)</f>
        <v>#N/A</v>
      </c>
      <c r="B197" s="13"/>
      <c r="C197" s="13"/>
      <c r="D197" s="3"/>
      <c r="E197" s="3"/>
      <c r="F197" s="6"/>
    </row>
    <row r="198" spans="1:6" s="5" customFormat="1" ht="27" customHeight="1">
      <c r="A198" s="13" t="e">
        <f>VLOOKUP(D198,[1]국문!$1:$1048576,2,0)</f>
        <v>#N/A</v>
      </c>
      <c r="B198" s="13"/>
      <c r="C198" s="13"/>
      <c r="D198" s="3"/>
      <c r="E198" s="3"/>
      <c r="F198" s="6"/>
    </row>
    <row r="199" spans="1:6" s="5" customFormat="1" ht="27" customHeight="1">
      <c r="A199" s="13" t="e">
        <f>VLOOKUP(D199,[1]국문!$1:$1048576,2,0)</f>
        <v>#N/A</v>
      </c>
      <c r="B199" s="13"/>
      <c r="C199" s="13"/>
      <c r="D199" s="3"/>
      <c r="F199" s="6"/>
    </row>
    <row r="200" spans="1:6" s="5" customFormat="1" ht="27" customHeight="1">
      <c r="A200" s="13" t="e">
        <f>VLOOKUP(D200,[1]국문!$1:$1048576,2,0)</f>
        <v>#N/A</v>
      </c>
      <c r="B200" s="13"/>
      <c r="C200" s="13"/>
      <c r="D200" s="3"/>
      <c r="F200" s="6"/>
    </row>
    <row r="201" spans="1:6" s="5" customFormat="1" ht="11.25" customHeight="1">
      <c r="A201" s="13" t="e">
        <f>VLOOKUP(D201,[1]국문!$1:$1048576,2,0)</f>
        <v>#N/A</v>
      </c>
      <c r="B201" s="13"/>
      <c r="C201" s="13"/>
      <c r="D201" s="3"/>
      <c r="E201" s="3"/>
      <c r="F201" s="6"/>
    </row>
    <row r="202" spans="1:6" s="5" customFormat="1" ht="27" customHeight="1">
      <c r="A202" s="13" t="e">
        <f>VLOOKUP(D202,[1]국문!$1:$1048576,2,0)</f>
        <v>#N/A</v>
      </c>
      <c r="B202" s="13"/>
      <c r="C202" s="13"/>
      <c r="D202" s="3"/>
      <c r="E202" s="3"/>
      <c r="F202" s="6"/>
    </row>
    <row r="203" spans="1:6" s="5" customFormat="1" ht="27" customHeight="1">
      <c r="A203" s="13" t="e">
        <f>VLOOKUP(D203,[1]국문!$1:$1048576,2,0)</f>
        <v>#N/A</v>
      </c>
      <c r="B203" s="13"/>
      <c r="C203" s="13"/>
      <c r="D203" s="3"/>
      <c r="E203" s="3"/>
      <c r="F203" s="6"/>
    </row>
    <row r="204" spans="1:6" s="5" customFormat="1" ht="27" customHeight="1">
      <c r="A204" s="13" t="e">
        <f>VLOOKUP(D204,[1]국문!$1:$1048576,2,0)</f>
        <v>#N/A</v>
      </c>
      <c r="B204" s="13"/>
      <c r="C204" s="13"/>
      <c r="D204" s="3"/>
      <c r="E204" s="3"/>
      <c r="F204" s="6"/>
    </row>
    <row r="205" spans="1:6" s="5" customFormat="1" ht="27" customHeight="1">
      <c r="A205" s="13" t="e">
        <f>VLOOKUP(D205,[1]국문!$1:$1048576,2,0)</f>
        <v>#N/A</v>
      </c>
      <c r="B205" s="13"/>
      <c r="C205" s="13"/>
      <c r="D205" s="3"/>
      <c r="E205" s="3"/>
      <c r="F205" s="6"/>
    </row>
    <row r="206" spans="1:6" s="5" customFormat="1" ht="27" customHeight="1">
      <c r="A206" s="13" t="e">
        <f>VLOOKUP(D206,[1]국문!$1:$1048576,2,0)</f>
        <v>#N/A</v>
      </c>
      <c r="B206" s="13"/>
      <c r="C206" s="13"/>
      <c r="D206" s="3"/>
      <c r="E206" s="3"/>
      <c r="F206" s="6"/>
    </row>
    <row r="207" spans="1:6" s="5" customFormat="1" ht="27" customHeight="1">
      <c r="A207" s="13" t="e">
        <f>VLOOKUP(D207,[1]국문!$1:$1048576,2,0)</f>
        <v>#N/A</v>
      </c>
      <c r="B207" s="13"/>
      <c r="C207" s="13"/>
      <c r="D207" s="3"/>
      <c r="E207" s="3"/>
      <c r="F207" s="6"/>
    </row>
    <row r="208" spans="1:6" s="5" customFormat="1" ht="31.5" customHeight="1">
      <c r="A208" s="13" t="e">
        <f>VLOOKUP(D208,[1]국문!$1:$1048576,2,0)</f>
        <v>#N/A</v>
      </c>
      <c r="B208" s="13"/>
      <c r="C208" s="13"/>
      <c r="D208" s="3"/>
      <c r="E208" s="3"/>
      <c r="F208" s="6"/>
    </row>
    <row r="209" spans="1:6" s="5" customFormat="1" ht="27" customHeight="1">
      <c r="A209" s="13" t="e">
        <f>VLOOKUP(D209,[1]국문!$1:$1048576,2,0)</f>
        <v>#N/A</v>
      </c>
      <c r="B209" s="13"/>
      <c r="C209" s="13"/>
      <c r="D209" s="3"/>
      <c r="E209" s="3"/>
      <c r="F209" s="6"/>
    </row>
    <row r="210" spans="1:6" s="5" customFormat="1" ht="27" customHeight="1">
      <c r="A210" s="13" t="e">
        <f>VLOOKUP(D210,[1]국문!$1:$1048576,2,0)</f>
        <v>#N/A</v>
      </c>
      <c r="B210" s="13"/>
      <c r="C210" s="13"/>
      <c r="D210" s="3"/>
      <c r="E210" s="3"/>
      <c r="F210" s="6"/>
    </row>
    <row r="211" spans="1:6" s="5" customFormat="1" ht="27" customHeight="1">
      <c r="A211" s="13" t="e">
        <f>VLOOKUP(D211,[1]국문!$1:$1048576,2,0)</f>
        <v>#N/A</v>
      </c>
      <c r="B211" s="13"/>
      <c r="C211" s="13"/>
      <c r="D211" s="3"/>
      <c r="E211" s="3"/>
      <c r="F211" s="6"/>
    </row>
    <row r="212" spans="1:6" s="5" customFormat="1" ht="27" customHeight="1">
      <c r="A212" s="13" t="e">
        <f>VLOOKUP(D212,[1]국문!$1:$1048576,2,0)</f>
        <v>#N/A</v>
      </c>
      <c r="B212" s="13"/>
      <c r="C212" s="13"/>
      <c r="D212" s="3"/>
      <c r="E212" s="3"/>
      <c r="F212" s="6"/>
    </row>
    <row r="213" spans="1:6" s="5" customFormat="1" ht="27" customHeight="1">
      <c r="A213" s="13" t="e">
        <f>VLOOKUP(D213,[1]국문!$1:$1048576,2,0)</f>
        <v>#N/A</v>
      </c>
      <c r="B213" s="13"/>
      <c r="C213" s="13"/>
      <c r="D213" s="3"/>
      <c r="E213" s="3"/>
      <c r="F213" s="6"/>
    </row>
    <row r="214" spans="1:6" s="5" customFormat="1" ht="27" customHeight="1">
      <c r="A214" s="13" t="e">
        <f>VLOOKUP(D214,[1]국문!$1:$1048576,2,0)</f>
        <v>#N/A</v>
      </c>
      <c r="B214" s="13"/>
      <c r="C214" s="13"/>
      <c r="D214" s="3"/>
      <c r="E214" s="3"/>
      <c r="F214" s="6"/>
    </row>
    <row r="215" spans="1:6" s="5" customFormat="1" ht="27" customHeight="1">
      <c r="A215" s="13" t="e">
        <f>VLOOKUP(D215,[1]국문!$1:$1048576,2,0)</f>
        <v>#N/A</v>
      </c>
      <c r="B215" s="13"/>
      <c r="C215" s="13"/>
      <c r="D215" s="3"/>
      <c r="E215" s="3"/>
      <c r="F215" s="6"/>
    </row>
    <row r="216" spans="1:6" s="5" customFormat="1" ht="27" customHeight="1">
      <c r="A216" s="13" t="e">
        <f>VLOOKUP(D216,[1]국문!$1:$1048576,2,0)</f>
        <v>#N/A</v>
      </c>
      <c r="B216" s="13"/>
      <c r="C216" s="13"/>
      <c r="D216" s="3"/>
      <c r="E216" s="3"/>
      <c r="F216" s="6"/>
    </row>
    <row r="217" spans="1:6" s="5" customFormat="1" ht="27" customHeight="1">
      <c r="A217" s="13" t="e">
        <f>VLOOKUP(D217,[1]국문!$1:$1048576,2,0)</f>
        <v>#N/A</v>
      </c>
      <c r="B217" s="13"/>
      <c r="C217" s="13"/>
      <c r="D217" s="3"/>
      <c r="E217" s="3"/>
      <c r="F217" s="6"/>
    </row>
    <row r="218" spans="1:6" s="5" customFormat="1" ht="27" customHeight="1">
      <c r="A218" s="13" t="e">
        <f>VLOOKUP(D218,[1]국문!$1:$1048576,2,0)</f>
        <v>#N/A</v>
      </c>
      <c r="B218" s="13"/>
      <c r="C218" s="13"/>
      <c r="D218" s="3"/>
      <c r="E218" s="3"/>
      <c r="F218" s="6"/>
    </row>
    <row r="219" spans="1:6" s="5" customFormat="1" ht="27" customHeight="1">
      <c r="A219" s="13" t="e">
        <f>VLOOKUP(D219,[1]국문!$1:$1048576,2,0)</f>
        <v>#N/A</v>
      </c>
      <c r="B219" s="13"/>
      <c r="C219" s="13"/>
      <c r="D219" s="3"/>
      <c r="E219" s="3"/>
      <c r="F219" s="4"/>
    </row>
    <row r="220" spans="1:6" s="5" customFormat="1" ht="27" customHeight="1">
      <c r="A220" s="13" t="e">
        <f>VLOOKUP(D220,[1]국문!$1:$1048576,2,0)</f>
        <v>#N/A</v>
      </c>
      <c r="B220" s="13"/>
      <c r="C220" s="13"/>
      <c r="D220" s="3"/>
      <c r="E220" s="3"/>
      <c r="F220" s="4"/>
    </row>
    <row r="221" spans="1:6" s="5" customFormat="1" ht="27" customHeight="1">
      <c r="A221" s="13" t="e">
        <f>VLOOKUP(D221,[1]국문!$1:$1048576,2,0)</f>
        <v>#N/A</v>
      </c>
      <c r="B221" s="13"/>
      <c r="C221" s="13"/>
      <c r="D221" s="3"/>
      <c r="E221" s="3"/>
      <c r="F221" s="4"/>
    </row>
    <row r="222" spans="1:6" s="5" customFormat="1" ht="27" customHeight="1">
      <c r="A222" s="13" t="e">
        <f>VLOOKUP(D222,[1]국문!$1:$1048576,2,0)</f>
        <v>#N/A</v>
      </c>
      <c r="B222" s="13"/>
      <c r="C222" s="13"/>
      <c r="D222" s="3"/>
      <c r="E222" s="3"/>
      <c r="F222" s="4"/>
    </row>
    <row r="223" spans="1:6" s="5" customFormat="1" ht="27" customHeight="1">
      <c r="A223" s="13" t="e">
        <f>VLOOKUP(D223,[1]국문!$1:$1048576,2,0)</f>
        <v>#N/A</v>
      </c>
      <c r="B223" s="13"/>
      <c r="C223" s="13"/>
      <c r="D223" s="3"/>
      <c r="E223" s="3"/>
      <c r="F223" s="4"/>
    </row>
    <row r="224" spans="1:6" s="5" customFormat="1" ht="27" customHeight="1">
      <c r="A224" s="13" t="e">
        <f>VLOOKUP(D224,[1]국문!$1:$1048576,2,0)</f>
        <v>#N/A</v>
      </c>
      <c r="B224" s="13"/>
      <c r="C224" s="13"/>
      <c r="D224" s="3"/>
      <c r="E224" s="3"/>
      <c r="F224" s="4"/>
    </row>
    <row r="225" spans="1:6" s="5" customFormat="1" ht="27" customHeight="1">
      <c r="A225" s="13" t="e">
        <f>VLOOKUP(D225,[1]국문!$1:$1048576,2,0)</f>
        <v>#N/A</v>
      </c>
      <c r="B225" s="13"/>
      <c r="C225" s="13"/>
      <c r="D225" s="3"/>
      <c r="E225" s="3"/>
      <c r="F225" s="4"/>
    </row>
    <row r="226" spans="1:6" s="5" customFormat="1" ht="27" customHeight="1">
      <c r="A226" s="13" t="e">
        <f>VLOOKUP(D226,[1]국문!$1:$1048576,2,0)</f>
        <v>#N/A</v>
      </c>
      <c r="B226" s="13"/>
      <c r="C226" s="13"/>
      <c r="D226" s="3"/>
      <c r="E226" s="3"/>
      <c r="F226" s="4"/>
    </row>
    <row r="227" spans="1:6" s="5" customFormat="1" ht="27" customHeight="1">
      <c r="A227" s="13" t="e">
        <f>VLOOKUP(D227,[1]국문!$1:$1048576,2,0)</f>
        <v>#N/A</v>
      </c>
      <c r="B227" s="13"/>
      <c r="C227" s="13"/>
      <c r="D227" s="3"/>
      <c r="E227" s="3"/>
      <c r="F227" s="4"/>
    </row>
    <row r="228" spans="1:6" s="5" customFormat="1" ht="27" customHeight="1">
      <c r="A228" s="13" t="e">
        <f>VLOOKUP(D228,[1]국문!$1:$1048576,2,0)</f>
        <v>#N/A</v>
      </c>
      <c r="B228" s="13"/>
      <c r="C228" s="13"/>
      <c r="D228" s="3"/>
      <c r="E228" s="3"/>
      <c r="F228" s="4"/>
    </row>
    <row r="229" spans="1:6" s="5" customFormat="1" ht="27" customHeight="1">
      <c r="A229" s="13" t="e">
        <f>VLOOKUP(D229,[1]국문!$1:$1048576,2,0)</f>
        <v>#N/A</v>
      </c>
      <c r="B229" s="13"/>
      <c r="C229" s="13"/>
      <c r="D229" s="3"/>
      <c r="E229" s="3"/>
      <c r="F229" s="4"/>
    </row>
    <row r="230" spans="1:6" s="5" customFormat="1" ht="27" customHeight="1">
      <c r="A230" s="13" t="e">
        <f>VLOOKUP(D230,[1]국문!$1:$1048576,2,0)</f>
        <v>#N/A</v>
      </c>
      <c r="B230" s="13"/>
      <c r="C230" s="13"/>
      <c r="D230" s="3"/>
      <c r="E230" s="3"/>
      <c r="F230" s="4"/>
    </row>
    <row r="231" spans="1:6" s="5" customFormat="1" ht="27" customHeight="1">
      <c r="A231" s="13" t="e">
        <f>VLOOKUP(D231,[1]국문!$1:$1048576,2,0)</f>
        <v>#N/A</v>
      </c>
      <c r="B231" s="13"/>
      <c r="C231" s="13"/>
      <c r="D231" s="3"/>
      <c r="E231" s="3"/>
      <c r="F231" s="4"/>
    </row>
    <row r="232" spans="1:6" s="5" customFormat="1" ht="27" customHeight="1">
      <c r="A232" s="13" t="e">
        <f>VLOOKUP(D232,[1]국문!$1:$1048576,2,0)</f>
        <v>#N/A</v>
      </c>
      <c r="B232" s="13"/>
      <c r="C232" s="13"/>
      <c r="D232" s="3"/>
      <c r="E232" s="3"/>
      <c r="F232" s="4"/>
    </row>
    <row r="233" spans="1:6" s="5" customFormat="1" ht="27" customHeight="1">
      <c r="A233" s="13" t="e">
        <f>VLOOKUP(D233,[1]국문!$1:$1048576,2,0)</f>
        <v>#N/A</v>
      </c>
      <c r="B233" s="13"/>
      <c r="C233" s="13"/>
      <c r="D233" s="3"/>
      <c r="E233" s="3"/>
      <c r="F233" s="4"/>
    </row>
    <row r="234" spans="1:6" s="5" customFormat="1" ht="27" customHeight="1">
      <c r="A234" s="13" t="e">
        <f>VLOOKUP(D234,[1]국문!$1:$1048576,2,0)</f>
        <v>#N/A</v>
      </c>
      <c r="B234" s="13"/>
      <c r="C234" s="13"/>
      <c r="D234" s="3"/>
      <c r="E234" s="3"/>
      <c r="F234" s="4"/>
    </row>
    <row r="235" spans="1:6" s="5" customFormat="1" ht="27" customHeight="1">
      <c r="A235" s="13" t="e">
        <f>VLOOKUP(D235,[1]국문!$1:$1048576,2,0)</f>
        <v>#N/A</v>
      </c>
      <c r="B235" s="13"/>
      <c r="C235" s="13"/>
      <c r="D235" s="3"/>
      <c r="E235" s="3"/>
      <c r="F235" s="4"/>
    </row>
    <row r="236" spans="1:6" s="5" customFormat="1" ht="27" customHeight="1">
      <c r="A236" s="13" t="e">
        <f>VLOOKUP(D236,[1]국문!$1:$1048576,2,0)</f>
        <v>#N/A</v>
      </c>
      <c r="B236" s="13"/>
      <c r="C236" s="13"/>
      <c r="D236" s="3"/>
      <c r="E236" s="3"/>
      <c r="F236" s="6"/>
    </row>
    <row r="237" spans="1:6" s="5" customFormat="1" ht="31.5" customHeight="1">
      <c r="A237" s="13" t="e">
        <f>VLOOKUP(D237,[1]국문!$1:$1048576,2,0)</f>
        <v>#N/A</v>
      </c>
      <c r="B237" s="13"/>
      <c r="C237" s="13"/>
      <c r="D237" s="3"/>
      <c r="E237" s="3"/>
      <c r="F237" s="6"/>
    </row>
    <row r="238" spans="1:6" s="5" customFormat="1" ht="27" customHeight="1">
      <c r="A238" s="13" t="e">
        <f>VLOOKUP(D238,[1]국문!$1:$1048576,2,0)</f>
        <v>#N/A</v>
      </c>
      <c r="B238" s="13"/>
      <c r="C238" s="13"/>
      <c r="D238" s="3"/>
      <c r="E238" s="3"/>
      <c r="F238" s="6"/>
    </row>
    <row r="239" spans="1:6" s="5" customFormat="1" ht="11.25" customHeight="1">
      <c r="A239" s="13" t="e">
        <f>VLOOKUP(D239,[1]국문!$1:$1048576,2,0)</f>
        <v>#N/A</v>
      </c>
      <c r="B239" s="13"/>
      <c r="C239" s="13"/>
      <c r="D239" s="3"/>
      <c r="E239" s="3"/>
      <c r="F239" s="6"/>
    </row>
    <row r="240" spans="1:6" s="5" customFormat="1" ht="27" customHeight="1">
      <c r="A240" s="13" t="e">
        <f>VLOOKUP(D240,[1]국문!$1:$1048576,2,0)</f>
        <v>#N/A</v>
      </c>
      <c r="B240" s="13"/>
      <c r="C240" s="13"/>
      <c r="D240" s="3"/>
      <c r="E240" s="3"/>
      <c r="F240" s="6"/>
    </row>
    <row r="241" spans="1:6" s="5" customFormat="1" ht="27" customHeight="1">
      <c r="A241" s="13" t="e">
        <f>VLOOKUP(D241,[1]국문!$1:$1048576,2,0)</f>
        <v>#N/A</v>
      </c>
      <c r="B241" s="13"/>
      <c r="C241" s="13"/>
      <c r="D241" s="3"/>
      <c r="E241" s="3"/>
      <c r="F241" s="6"/>
    </row>
    <row r="242" spans="1:6" s="5" customFormat="1" ht="27" customHeight="1">
      <c r="A242" s="13" t="e">
        <f>VLOOKUP(D242,[1]국문!$1:$1048576,2,0)</f>
        <v>#N/A</v>
      </c>
      <c r="B242" s="13"/>
      <c r="C242" s="13"/>
      <c r="D242" s="3"/>
      <c r="F242" s="6"/>
    </row>
    <row r="243" spans="1:6" s="5" customFormat="1" ht="27" customHeight="1">
      <c r="A243" s="13" t="e">
        <f>VLOOKUP(D243,[1]국문!$1:$1048576,2,0)</f>
        <v>#N/A</v>
      </c>
      <c r="B243" s="13"/>
      <c r="C243" s="13"/>
      <c r="D243" s="3"/>
      <c r="F243" s="6"/>
    </row>
    <row r="244" spans="1:6" s="5" customFormat="1" ht="11.25" customHeight="1">
      <c r="A244" s="13" t="e">
        <f>VLOOKUP(D244,[1]국문!$1:$1048576,2,0)</f>
        <v>#N/A</v>
      </c>
      <c r="B244" s="13"/>
      <c r="C244" s="13"/>
      <c r="D244" s="3"/>
      <c r="E244" s="3"/>
      <c r="F244" s="6"/>
    </row>
    <row r="245" spans="1:6" s="5" customFormat="1" ht="27" customHeight="1">
      <c r="A245" s="13" t="e">
        <f>VLOOKUP(D245,[1]국문!$1:$1048576,2,0)</f>
        <v>#N/A</v>
      </c>
      <c r="B245" s="13"/>
      <c r="C245" s="13"/>
      <c r="D245" s="3"/>
      <c r="E245" s="3"/>
      <c r="F245" s="6"/>
    </row>
    <row r="246" spans="1:6" s="5" customFormat="1" ht="27" customHeight="1">
      <c r="A246" s="13" t="e">
        <f>VLOOKUP(D246,[1]국문!$1:$1048576,2,0)</f>
        <v>#N/A</v>
      </c>
      <c r="B246" s="13"/>
      <c r="C246" s="13"/>
      <c r="D246" s="3"/>
      <c r="E246" s="3"/>
      <c r="F246" s="6"/>
    </row>
    <row r="247" spans="1:6" s="5" customFormat="1" ht="27" customHeight="1">
      <c r="A247" s="13" t="e">
        <f>VLOOKUP(D247,[1]국문!$1:$1048576,2,0)</f>
        <v>#N/A</v>
      </c>
      <c r="B247" s="13"/>
      <c r="C247" s="13"/>
      <c r="D247" s="3"/>
      <c r="E247" s="3"/>
      <c r="F247" s="6"/>
    </row>
    <row r="248" spans="1:6" s="5" customFormat="1" ht="27" customHeight="1">
      <c r="A248" s="13" t="e">
        <f>VLOOKUP(D248,[1]국문!$1:$1048576,2,0)</f>
        <v>#N/A</v>
      </c>
      <c r="B248" s="13"/>
      <c r="C248" s="13"/>
      <c r="D248" s="3"/>
      <c r="E248" s="3"/>
      <c r="F248" s="6"/>
    </row>
    <row r="249" spans="1:6" s="5" customFormat="1" ht="27" customHeight="1">
      <c r="A249" s="13" t="e">
        <f>VLOOKUP(D249,[1]국문!$1:$1048576,2,0)</f>
        <v>#N/A</v>
      </c>
      <c r="B249" s="13"/>
      <c r="C249" s="13"/>
      <c r="D249" s="3"/>
      <c r="E249" s="3"/>
      <c r="F249" s="6"/>
    </row>
    <row r="250" spans="1:6" s="5" customFormat="1" ht="27" customHeight="1">
      <c r="A250" s="13" t="e">
        <f>VLOOKUP(D250,[1]국문!$1:$1048576,2,0)</f>
        <v>#N/A</v>
      </c>
      <c r="B250" s="13"/>
      <c r="C250" s="13"/>
      <c r="D250" s="3"/>
      <c r="E250" s="3"/>
      <c r="F250" s="6"/>
    </row>
    <row r="251" spans="1:6" s="5" customFormat="1" ht="31.5" customHeight="1">
      <c r="A251" s="13" t="e">
        <f>VLOOKUP(D251,[1]국문!$1:$1048576,2,0)</f>
        <v>#N/A</v>
      </c>
      <c r="B251" s="13"/>
      <c r="C251" s="13"/>
      <c r="D251" s="3"/>
      <c r="E251" s="3"/>
      <c r="F251" s="6"/>
    </row>
    <row r="252" spans="1:6" s="5" customFormat="1" ht="27" customHeight="1">
      <c r="A252" s="13" t="e">
        <f>VLOOKUP(D252,[1]국문!$1:$1048576,2,0)</f>
        <v>#N/A</v>
      </c>
      <c r="B252" s="13"/>
      <c r="C252" s="13"/>
      <c r="D252" s="3"/>
      <c r="E252" s="3"/>
      <c r="F252" s="6"/>
    </row>
    <row r="253" spans="1:6" s="5" customFormat="1" ht="27" customHeight="1">
      <c r="A253" s="13" t="e">
        <f>VLOOKUP(D253,[1]국문!$1:$1048576,2,0)</f>
        <v>#N/A</v>
      </c>
      <c r="B253" s="13"/>
      <c r="C253" s="13"/>
      <c r="D253" s="3"/>
      <c r="E253" s="3"/>
      <c r="F253" s="6"/>
    </row>
    <row r="254" spans="1:6" s="5" customFormat="1" ht="27" customHeight="1">
      <c r="A254" s="13" t="e">
        <f>VLOOKUP(D254,[1]국문!$1:$1048576,2,0)</f>
        <v>#N/A</v>
      </c>
      <c r="B254" s="13"/>
      <c r="C254" s="13"/>
      <c r="D254" s="3"/>
      <c r="E254" s="3"/>
      <c r="F254" s="6"/>
    </row>
    <row r="255" spans="1:6" s="5" customFormat="1" ht="27" customHeight="1">
      <c r="A255" s="13" t="e">
        <f>VLOOKUP(D255,[1]국문!$1:$1048576,2,0)</f>
        <v>#N/A</v>
      </c>
      <c r="B255" s="13"/>
      <c r="C255" s="13"/>
      <c r="D255" s="3"/>
      <c r="E255" s="3"/>
      <c r="F255" s="6"/>
    </row>
    <row r="256" spans="1:6" s="5" customFormat="1" ht="27" customHeight="1">
      <c r="A256" s="13" t="e">
        <f>VLOOKUP(D256,[1]국문!$1:$1048576,2,0)</f>
        <v>#N/A</v>
      </c>
      <c r="B256" s="13"/>
      <c r="C256" s="13"/>
      <c r="D256" s="3"/>
      <c r="E256" s="3"/>
      <c r="F256" s="6"/>
    </row>
    <row r="257" spans="1:6" s="5" customFormat="1" ht="27" customHeight="1">
      <c r="A257" s="13" t="e">
        <f>VLOOKUP(D257,[1]국문!$1:$1048576,2,0)</f>
        <v>#N/A</v>
      </c>
      <c r="B257" s="13"/>
      <c r="C257" s="13"/>
      <c r="D257" s="3"/>
      <c r="E257" s="3"/>
      <c r="F257" s="6"/>
    </row>
    <row r="258" spans="1:6" s="5" customFormat="1" ht="27" customHeight="1">
      <c r="A258" s="13" t="e">
        <f>VLOOKUP(D258,[1]국문!$1:$1048576,2,0)</f>
        <v>#N/A</v>
      </c>
      <c r="B258" s="13"/>
      <c r="C258" s="13"/>
      <c r="D258" s="3"/>
      <c r="E258" s="3"/>
      <c r="F258" s="6"/>
    </row>
    <row r="259" spans="1:6" s="5" customFormat="1" ht="27" customHeight="1">
      <c r="A259" s="13" t="e">
        <f>VLOOKUP(D259,[1]국문!$1:$1048576,2,0)</f>
        <v>#N/A</v>
      </c>
      <c r="B259" s="13"/>
      <c r="C259" s="13"/>
      <c r="D259" s="3"/>
      <c r="E259" s="3"/>
      <c r="F259" s="6"/>
    </row>
    <row r="260" spans="1:6" s="5" customFormat="1" ht="27" customHeight="1">
      <c r="A260" s="13" t="e">
        <f>VLOOKUP(D260,[1]국문!$1:$1048576,2,0)</f>
        <v>#N/A</v>
      </c>
      <c r="B260" s="13"/>
      <c r="C260" s="13"/>
      <c r="D260" s="3"/>
      <c r="E260" s="3"/>
      <c r="F260" s="6"/>
    </row>
    <row r="261" spans="1:6" s="5" customFormat="1" ht="27" customHeight="1">
      <c r="A261" s="13" t="e">
        <f>VLOOKUP(D261,[1]국문!$1:$1048576,2,0)</f>
        <v>#N/A</v>
      </c>
      <c r="B261" s="13"/>
      <c r="C261" s="13"/>
      <c r="D261" s="3"/>
      <c r="E261" s="3"/>
      <c r="F261" s="6"/>
    </row>
    <row r="262" spans="1:6" s="5" customFormat="1" ht="27" customHeight="1">
      <c r="A262" s="13" t="e">
        <f>VLOOKUP(D262,[1]국문!$1:$1048576,2,0)</f>
        <v>#N/A</v>
      </c>
      <c r="B262" s="13"/>
      <c r="C262" s="13"/>
      <c r="D262" s="3"/>
      <c r="E262" s="3"/>
      <c r="F262" s="4"/>
    </row>
    <row r="263" spans="1:6" s="5" customFormat="1" ht="27" customHeight="1">
      <c r="A263" s="13" t="e">
        <f>VLOOKUP(D263,[1]국문!$1:$1048576,2,0)</f>
        <v>#N/A</v>
      </c>
      <c r="B263" s="13"/>
      <c r="C263" s="13"/>
      <c r="D263" s="3"/>
      <c r="E263" s="3"/>
      <c r="F263" s="4"/>
    </row>
    <row r="264" spans="1:6" s="5" customFormat="1" ht="27" customHeight="1">
      <c r="A264" s="13" t="e">
        <f>VLOOKUP(D264,[1]국문!$1:$1048576,2,0)</f>
        <v>#N/A</v>
      </c>
      <c r="B264" s="13"/>
      <c r="C264" s="13"/>
      <c r="D264" s="3"/>
      <c r="E264" s="3"/>
      <c r="F264" s="4"/>
    </row>
    <row r="265" spans="1:6" s="5" customFormat="1" ht="27" customHeight="1">
      <c r="A265" s="13" t="e">
        <f>VLOOKUP(D265,[1]국문!$1:$1048576,2,0)</f>
        <v>#N/A</v>
      </c>
      <c r="B265" s="13"/>
      <c r="C265" s="13"/>
      <c r="D265" s="3"/>
      <c r="E265" s="3"/>
      <c r="F265" s="4"/>
    </row>
    <row r="266" spans="1:6" s="5" customFormat="1" ht="27" customHeight="1">
      <c r="A266" s="13" t="e">
        <f>VLOOKUP(D266,[1]국문!$1:$1048576,2,0)</f>
        <v>#N/A</v>
      </c>
      <c r="B266" s="13"/>
      <c r="C266" s="13"/>
      <c r="D266" s="3"/>
      <c r="E266" s="3"/>
      <c r="F266" s="4"/>
    </row>
    <row r="267" spans="1:6" s="5" customFormat="1" ht="27" customHeight="1">
      <c r="A267" s="13" t="e">
        <f>VLOOKUP(D267,[1]국문!$1:$1048576,2,0)</f>
        <v>#N/A</v>
      </c>
      <c r="B267" s="13"/>
      <c r="C267" s="13"/>
      <c r="D267" s="3"/>
      <c r="E267" s="3"/>
      <c r="F267" s="4"/>
    </row>
    <row r="268" spans="1:6" s="5" customFormat="1" ht="27" customHeight="1">
      <c r="A268" s="13" t="e">
        <f>VLOOKUP(D268,[1]국문!$1:$1048576,2,0)</f>
        <v>#N/A</v>
      </c>
      <c r="B268" s="13"/>
      <c r="C268" s="13"/>
      <c r="D268" s="3"/>
      <c r="E268" s="3"/>
      <c r="F268" s="4"/>
    </row>
    <row r="269" spans="1:6" s="5" customFormat="1" ht="27" customHeight="1">
      <c r="A269" s="13" t="e">
        <f>VLOOKUP(D269,[1]국문!$1:$1048576,2,0)</f>
        <v>#N/A</v>
      </c>
      <c r="B269" s="13"/>
      <c r="C269" s="13"/>
      <c r="D269" s="3"/>
      <c r="E269" s="3"/>
      <c r="F269" s="4"/>
    </row>
    <row r="270" spans="1:6" s="5" customFormat="1" ht="27" customHeight="1">
      <c r="A270" s="13" t="e">
        <f>VLOOKUP(D270,[1]국문!$1:$1048576,2,0)</f>
        <v>#N/A</v>
      </c>
      <c r="B270" s="13"/>
      <c r="C270" s="13"/>
      <c r="D270" s="3"/>
      <c r="E270" s="3"/>
      <c r="F270" s="4"/>
    </row>
    <row r="271" spans="1:6" s="5" customFormat="1" ht="27" customHeight="1">
      <c r="A271" s="13" t="e">
        <f>VLOOKUP(D271,[1]국문!$1:$1048576,2,0)</f>
        <v>#N/A</v>
      </c>
      <c r="B271" s="13"/>
      <c r="C271" s="13"/>
      <c r="D271" s="3"/>
      <c r="E271" s="3"/>
      <c r="F271" s="4"/>
    </row>
    <row r="272" spans="1:6" s="5" customFormat="1" ht="27" customHeight="1">
      <c r="A272" s="13" t="e">
        <f>VLOOKUP(D272,[1]국문!$1:$1048576,2,0)</f>
        <v>#N/A</v>
      </c>
      <c r="B272" s="13"/>
      <c r="C272" s="13"/>
      <c r="D272" s="3"/>
      <c r="E272" s="3"/>
      <c r="F272" s="4"/>
    </row>
    <row r="273" spans="1:6" s="5" customFormat="1" ht="27" customHeight="1">
      <c r="A273" s="13" t="e">
        <f>VLOOKUP(D273,[1]국문!$1:$1048576,2,0)</f>
        <v>#N/A</v>
      </c>
      <c r="B273" s="13"/>
      <c r="C273" s="13"/>
      <c r="D273" s="3"/>
      <c r="E273" s="3"/>
      <c r="F273" s="4"/>
    </row>
    <row r="274" spans="1:6" s="5" customFormat="1" ht="27" customHeight="1">
      <c r="A274" s="13" t="e">
        <f>VLOOKUP(D274,[1]국문!$1:$1048576,2,0)</f>
        <v>#N/A</v>
      </c>
      <c r="B274" s="13"/>
      <c r="C274" s="13"/>
      <c r="D274" s="3"/>
      <c r="E274" s="3"/>
      <c r="F274" s="4"/>
    </row>
    <row r="275" spans="1:6" s="5" customFormat="1" ht="27" customHeight="1">
      <c r="A275" s="13" t="e">
        <f>VLOOKUP(D275,[1]국문!$1:$1048576,2,0)</f>
        <v>#N/A</v>
      </c>
      <c r="B275" s="13"/>
      <c r="C275" s="13"/>
      <c r="D275" s="3"/>
      <c r="E275" s="3"/>
      <c r="F275" s="4"/>
    </row>
    <row r="276" spans="1:6" s="5" customFormat="1" ht="27" customHeight="1">
      <c r="A276" s="13" t="e">
        <f>VLOOKUP(D276,[1]국문!$1:$1048576,2,0)</f>
        <v>#N/A</v>
      </c>
      <c r="B276" s="13"/>
      <c r="C276" s="13"/>
      <c r="D276" s="3"/>
      <c r="E276" s="3"/>
      <c r="F276" s="4"/>
    </row>
    <row r="277" spans="1:6" s="5" customFormat="1" ht="27" customHeight="1">
      <c r="A277" s="13" t="e">
        <f>VLOOKUP(D277,[1]국문!$1:$1048576,2,0)</f>
        <v>#N/A</v>
      </c>
      <c r="B277" s="13"/>
      <c r="C277" s="13"/>
      <c r="D277" s="3"/>
      <c r="E277" s="3"/>
      <c r="F277" s="4"/>
    </row>
    <row r="278" spans="1:6" s="5" customFormat="1" ht="27" customHeight="1">
      <c r="A278" s="13" t="e">
        <f>VLOOKUP(D278,[1]국문!$1:$1048576,2,0)</f>
        <v>#N/A</v>
      </c>
      <c r="B278" s="13"/>
      <c r="C278" s="13"/>
      <c r="D278" s="3"/>
      <c r="E278" s="3"/>
      <c r="F278" s="4"/>
    </row>
    <row r="279" spans="1:6" s="5" customFormat="1" ht="27" customHeight="1">
      <c r="A279" s="13" t="e">
        <f>VLOOKUP(D279,[1]국문!$1:$1048576,2,0)</f>
        <v>#N/A</v>
      </c>
      <c r="B279" s="13"/>
      <c r="C279" s="13"/>
      <c r="D279" s="3"/>
      <c r="E279" s="3"/>
      <c r="F279" s="6"/>
    </row>
    <row r="280" spans="1:6" s="5" customFormat="1" ht="31.5" customHeight="1">
      <c r="A280" s="13" t="e">
        <f>VLOOKUP(D280,[1]국문!$1:$1048576,2,0)</f>
        <v>#N/A</v>
      </c>
      <c r="B280" s="13"/>
      <c r="C280" s="13"/>
      <c r="D280" s="3"/>
      <c r="E280" s="3"/>
      <c r="F280" s="6"/>
    </row>
    <row r="281" spans="1:6" s="5" customFormat="1" ht="27" customHeight="1">
      <c r="A281" s="13" t="e">
        <f>VLOOKUP(D281,[1]국문!$1:$1048576,2,0)</f>
        <v>#N/A</v>
      </c>
      <c r="B281" s="13"/>
      <c r="C281" s="13"/>
      <c r="D281" s="3"/>
      <c r="E281" s="3"/>
      <c r="F281" s="6"/>
    </row>
    <row r="282" spans="1:6" s="5" customFormat="1" ht="11.25" customHeight="1">
      <c r="A282" s="13" t="e">
        <f>VLOOKUP(D282,[1]국문!$1:$1048576,2,0)</f>
        <v>#N/A</v>
      </c>
      <c r="B282" s="13"/>
      <c r="C282" s="13"/>
      <c r="D282" s="3"/>
      <c r="E282" s="3"/>
      <c r="F282" s="6"/>
    </row>
    <row r="283" spans="1:6" s="5" customFormat="1" ht="27" customHeight="1">
      <c r="A283" s="13" t="e">
        <f>VLOOKUP(D283,[1]국문!$1:$1048576,2,0)</f>
        <v>#N/A</v>
      </c>
      <c r="B283" s="13"/>
      <c r="C283" s="13"/>
      <c r="D283" s="3"/>
      <c r="E283" s="3"/>
      <c r="F283" s="6"/>
    </row>
    <row r="284" spans="1:6" s="5" customFormat="1" ht="27" customHeight="1">
      <c r="A284" s="13" t="e">
        <f>VLOOKUP(D284,[1]국문!$1:$1048576,2,0)</f>
        <v>#N/A</v>
      </c>
      <c r="B284" s="13"/>
      <c r="C284" s="13"/>
      <c r="D284" s="3"/>
      <c r="E284" s="3"/>
      <c r="F284" s="6"/>
    </row>
    <row r="285" spans="1:6" s="5" customFormat="1" ht="27" customHeight="1">
      <c r="A285" s="13" t="e">
        <f>VLOOKUP(D285,[1]국문!$1:$1048576,2,0)</f>
        <v>#N/A</v>
      </c>
      <c r="B285" s="13"/>
      <c r="C285" s="13"/>
      <c r="D285" s="3"/>
      <c r="F285" s="6"/>
    </row>
    <row r="286" spans="1:6" s="5" customFormat="1" ht="27" customHeight="1">
      <c r="A286" s="13" t="e">
        <f>VLOOKUP(D286,[1]국문!$1:$1048576,2,0)</f>
        <v>#N/A</v>
      </c>
      <c r="B286" s="13"/>
      <c r="C286" s="13"/>
      <c r="D286" s="3"/>
      <c r="F286" s="6"/>
    </row>
    <row r="287" spans="1:6" s="5" customFormat="1" ht="11.25" customHeight="1">
      <c r="A287" s="13" t="e">
        <f>VLOOKUP(D287,[1]국문!$1:$1048576,2,0)</f>
        <v>#N/A</v>
      </c>
      <c r="B287" s="13"/>
      <c r="C287" s="13"/>
      <c r="D287" s="3"/>
      <c r="E287" s="3"/>
      <c r="F287" s="6"/>
    </row>
    <row r="288" spans="1:6" s="5" customFormat="1" ht="27" customHeight="1">
      <c r="A288" s="13" t="e">
        <f>VLOOKUP(D288,[1]국문!$1:$1048576,2,0)</f>
        <v>#N/A</v>
      </c>
      <c r="B288" s="13"/>
      <c r="C288" s="13"/>
      <c r="D288" s="3"/>
      <c r="E288" s="3"/>
      <c r="F288" s="6"/>
    </row>
    <row r="289" spans="1:6" s="5" customFormat="1" ht="27" customHeight="1">
      <c r="A289" s="13" t="e">
        <f>VLOOKUP(D289,[1]국문!$1:$1048576,2,0)</f>
        <v>#N/A</v>
      </c>
      <c r="B289" s="13"/>
      <c r="C289" s="13"/>
      <c r="D289" s="3"/>
      <c r="E289" s="3"/>
      <c r="F289" s="6"/>
    </row>
    <row r="290" spans="1:6" s="5" customFormat="1" ht="27" customHeight="1">
      <c r="A290" s="13" t="e">
        <f>VLOOKUP(D290,[1]국문!$1:$1048576,2,0)</f>
        <v>#N/A</v>
      </c>
      <c r="B290" s="13"/>
      <c r="C290" s="13"/>
      <c r="D290" s="3"/>
      <c r="E290" s="3"/>
      <c r="F290" s="6"/>
    </row>
    <row r="291" spans="1:6" s="5" customFormat="1" ht="27" customHeight="1">
      <c r="A291" s="13" t="e">
        <f>VLOOKUP(D291,[1]국문!$1:$1048576,2,0)</f>
        <v>#N/A</v>
      </c>
      <c r="B291" s="13"/>
      <c r="C291" s="13"/>
      <c r="D291" s="3"/>
      <c r="E291" s="3"/>
      <c r="F291" s="6"/>
    </row>
    <row r="292" spans="1:6" s="5" customFormat="1" ht="27" customHeight="1">
      <c r="A292" s="13" t="e">
        <f>VLOOKUP(D292,[1]국문!$1:$1048576,2,0)</f>
        <v>#N/A</v>
      </c>
      <c r="B292" s="13"/>
      <c r="C292" s="13"/>
      <c r="D292" s="3"/>
      <c r="E292" s="3"/>
      <c r="F292" s="6"/>
    </row>
    <row r="293" spans="1:6" s="5" customFormat="1" ht="27" customHeight="1">
      <c r="A293" s="13" t="e">
        <f>VLOOKUP(D293,[1]국문!$1:$1048576,2,0)</f>
        <v>#N/A</v>
      </c>
      <c r="B293" s="13"/>
      <c r="C293" s="13"/>
      <c r="D293" s="3"/>
      <c r="E293" s="3"/>
      <c r="F293" s="6"/>
    </row>
    <row r="294" spans="1:6" s="5" customFormat="1" ht="31.5" customHeight="1">
      <c r="A294" s="13" t="e">
        <f>VLOOKUP(D294,[1]국문!$1:$1048576,2,0)</f>
        <v>#N/A</v>
      </c>
      <c r="B294" s="13"/>
      <c r="C294" s="13"/>
      <c r="D294" s="3"/>
      <c r="E294" s="3"/>
      <c r="F294" s="6"/>
    </row>
    <row r="295" spans="1:6" s="5" customFormat="1" ht="27" customHeight="1">
      <c r="A295" s="13" t="e">
        <f>VLOOKUP(D295,[1]국문!$1:$1048576,2,0)</f>
        <v>#N/A</v>
      </c>
      <c r="B295" s="13"/>
      <c r="C295" s="13"/>
      <c r="D295" s="3"/>
      <c r="E295" s="3"/>
      <c r="F295" s="6"/>
    </row>
    <row r="296" spans="1:6" s="5" customFormat="1" ht="27" customHeight="1">
      <c r="A296" s="13" t="e">
        <f>VLOOKUP(D296,[1]국문!$1:$1048576,2,0)</f>
        <v>#N/A</v>
      </c>
      <c r="B296" s="13"/>
      <c r="C296" s="13"/>
      <c r="D296" s="3"/>
      <c r="E296" s="3"/>
      <c r="F296" s="6"/>
    </row>
    <row r="297" spans="1:6" s="5" customFormat="1" ht="27" customHeight="1">
      <c r="A297" s="13" t="e">
        <f>VLOOKUP(D297,[1]국문!$1:$1048576,2,0)</f>
        <v>#N/A</v>
      </c>
      <c r="B297" s="13"/>
      <c r="C297" s="13"/>
      <c r="D297" s="3"/>
      <c r="E297" s="3"/>
      <c r="F297" s="6"/>
    </row>
    <row r="298" spans="1:6" s="5" customFormat="1" ht="27" customHeight="1">
      <c r="A298" s="13" t="e">
        <f>VLOOKUP(D298,[1]국문!$1:$1048576,2,0)</f>
        <v>#N/A</v>
      </c>
      <c r="B298" s="13"/>
      <c r="C298" s="13"/>
      <c r="D298" s="3"/>
      <c r="E298" s="3"/>
      <c r="F298" s="6"/>
    </row>
    <row r="299" spans="1:6" s="5" customFormat="1" ht="27" customHeight="1">
      <c r="A299" s="13" t="e">
        <f>VLOOKUP(D299,[1]국문!$1:$1048576,2,0)</f>
        <v>#N/A</v>
      </c>
      <c r="B299" s="13"/>
      <c r="C299" s="13"/>
      <c r="D299" s="3"/>
      <c r="E299" s="3"/>
      <c r="F299" s="6"/>
    </row>
    <row r="300" spans="1:6" s="5" customFormat="1" ht="27" customHeight="1">
      <c r="A300" s="13" t="e">
        <f>VLOOKUP(D300,[1]국문!$1:$1048576,2,0)</f>
        <v>#N/A</v>
      </c>
      <c r="B300" s="13"/>
      <c r="C300" s="13"/>
      <c r="D300" s="3"/>
      <c r="E300" s="3"/>
      <c r="F300" s="6"/>
    </row>
    <row r="301" spans="1:6" s="5" customFormat="1" ht="27" customHeight="1">
      <c r="A301" s="13" t="e">
        <f>VLOOKUP(D301,[1]국문!$1:$1048576,2,0)</f>
        <v>#N/A</v>
      </c>
      <c r="B301" s="13"/>
      <c r="C301" s="13"/>
      <c r="D301" s="3"/>
      <c r="E301" s="3"/>
      <c r="F301" s="6"/>
    </row>
    <row r="302" spans="1:6" s="5" customFormat="1" ht="27" customHeight="1">
      <c r="A302" s="13" t="e">
        <f>VLOOKUP(D302,[1]국문!$1:$1048576,2,0)</f>
        <v>#N/A</v>
      </c>
      <c r="B302" s="13"/>
      <c r="C302" s="13"/>
      <c r="D302" s="3"/>
      <c r="E302" s="3"/>
      <c r="F302" s="6"/>
    </row>
    <row r="303" spans="1:6" s="5" customFormat="1" ht="27" customHeight="1">
      <c r="A303" s="13" t="e">
        <f>VLOOKUP(D303,[1]국문!$1:$1048576,2,0)</f>
        <v>#N/A</v>
      </c>
      <c r="B303" s="13"/>
      <c r="C303" s="13"/>
      <c r="D303" s="3"/>
      <c r="E303" s="3"/>
      <c r="F303" s="6"/>
    </row>
    <row r="304" spans="1:6" s="5" customFormat="1" ht="27" customHeight="1">
      <c r="A304" s="13" t="e">
        <f>VLOOKUP(D304,[1]국문!$1:$1048576,2,0)</f>
        <v>#N/A</v>
      </c>
      <c r="B304" s="13"/>
      <c r="C304" s="13"/>
      <c r="D304" s="3"/>
      <c r="E304" s="3"/>
      <c r="F304" s="6"/>
    </row>
    <row r="305" spans="1:6" s="5" customFormat="1" ht="27" customHeight="1">
      <c r="A305" s="13" t="e">
        <f>VLOOKUP(D305,[1]국문!$1:$1048576,2,0)</f>
        <v>#N/A</v>
      </c>
      <c r="B305" s="13"/>
      <c r="C305" s="13"/>
      <c r="D305" s="3"/>
      <c r="E305" s="3"/>
      <c r="F305" s="4"/>
    </row>
    <row r="306" spans="1:6" s="5" customFormat="1" ht="27" customHeight="1">
      <c r="A306" s="13" t="e">
        <f>VLOOKUP(D306,[1]국문!$1:$1048576,2,0)</f>
        <v>#N/A</v>
      </c>
      <c r="B306" s="13"/>
      <c r="C306" s="13"/>
      <c r="D306" s="3"/>
      <c r="E306" s="3"/>
      <c r="F306" s="4"/>
    </row>
    <row r="307" spans="1:6" s="5" customFormat="1" ht="27" customHeight="1">
      <c r="A307" s="13" t="e">
        <f>VLOOKUP(D307,[1]국문!$1:$1048576,2,0)</f>
        <v>#N/A</v>
      </c>
      <c r="B307" s="13"/>
      <c r="C307" s="13"/>
      <c r="D307" s="3"/>
      <c r="E307" s="3"/>
      <c r="F307" s="6"/>
    </row>
    <row r="308" spans="1:6" s="5" customFormat="1" ht="31.5" customHeight="1">
      <c r="A308" s="13" t="e">
        <f>VLOOKUP(D308,[1]국문!$1:$1048576,2,0)</f>
        <v>#N/A</v>
      </c>
      <c r="B308" s="13"/>
      <c r="C308" s="13"/>
      <c r="D308" s="3"/>
      <c r="E308" s="3"/>
      <c r="F308" s="6"/>
    </row>
    <row r="309" spans="1:6" s="5" customFormat="1" ht="27" customHeight="1">
      <c r="A309" s="13" t="e">
        <f>VLOOKUP(D309,[1]국문!$1:$1048576,2,0)</f>
        <v>#N/A</v>
      </c>
      <c r="B309" s="13"/>
      <c r="C309" s="13"/>
      <c r="D309" s="3"/>
      <c r="E309" s="3"/>
      <c r="F309" s="6"/>
    </row>
    <row r="310" spans="1:6" s="5" customFormat="1" ht="11.25" customHeight="1">
      <c r="A310" s="13" t="e">
        <f>VLOOKUP(D310,[1]국문!$1:$1048576,2,0)</f>
        <v>#N/A</v>
      </c>
      <c r="B310" s="13"/>
      <c r="C310" s="13"/>
      <c r="D310" s="3"/>
      <c r="E310" s="3"/>
      <c r="F310" s="6"/>
    </row>
    <row r="311" spans="1:6" s="5" customFormat="1" ht="27" customHeight="1">
      <c r="A311" s="13" t="e">
        <f>VLOOKUP(D311,[1]국문!$1:$1048576,2,0)</f>
        <v>#N/A</v>
      </c>
      <c r="B311" s="13"/>
      <c r="C311" s="13"/>
      <c r="D311" s="3"/>
      <c r="E311" s="3"/>
      <c r="F311" s="6"/>
    </row>
    <row r="312" spans="1:6" s="5" customFormat="1" ht="27" customHeight="1">
      <c r="A312" s="13" t="e">
        <f>VLOOKUP(D312,[1]국문!$1:$1048576,2,0)</f>
        <v>#N/A</v>
      </c>
      <c r="B312" s="13"/>
      <c r="C312" s="13"/>
      <c r="D312" s="3"/>
      <c r="E312" s="3"/>
      <c r="F312" s="6"/>
    </row>
    <row r="313" spans="1:6" s="5" customFormat="1" ht="27" customHeight="1">
      <c r="A313" s="13" t="e">
        <f>VLOOKUP(D313,[1]국문!$1:$1048576,2,0)</f>
        <v>#N/A</v>
      </c>
      <c r="B313" s="13"/>
      <c r="C313" s="13"/>
      <c r="D313" s="3"/>
      <c r="F313" s="6"/>
    </row>
    <row r="314" spans="1:6" s="5" customFormat="1" ht="27" customHeight="1">
      <c r="A314" s="13" t="e">
        <f>VLOOKUP(D314,[1]국문!$1:$1048576,2,0)</f>
        <v>#N/A</v>
      </c>
      <c r="B314" s="13"/>
      <c r="C314" s="13"/>
      <c r="D314" s="3"/>
      <c r="F314" s="6"/>
    </row>
    <row r="315" spans="1:6" s="5" customFormat="1" ht="11.25" customHeight="1">
      <c r="A315" s="13" t="e">
        <f>VLOOKUP(D315,[1]국문!$1:$1048576,2,0)</f>
        <v>#N/A</v>
      </c>
      <c r="B315" s="13"/>
      <c r="C315" s="13"/>
      <c r="D315" s="3"/>
      <c r="E315" s="3"/>
      <c r="F315" s="6"/>
    </row>
    <row r="316" spans="1:6" s="5" customFormat="1" ht="27" customHeight="1">
      <c r="A316" s="13" t="e">
        <f>VLOOKUP(D316,[1]국문!$1:$1048576,2,0)</f>
        <v>#N/A</v>
      </c>
      <c r="B316" s="13"/>
      <c r="C316" s="13"/>
      <c r="D316" s="3"/>
      <c r="E316" s="3"/>
      <c r="F316" s="6"/>
    </row>
    <row r="317" spans="1:6" s="5" customFormat="1" ht="27" customHeight="1">
      <c r="A317" s="13" t="e">
        <f>VLOOKUP(D317,[1]국문!$1:$1048576,2,0)</f>
        <v>#N/A</v>
      </c>
      <c r="B317" s="13"/>
      <c r="C317" s="13"/>
      <c r="D317" s="3"/>
      <c r="E317" s="3"/>
      <c r="F317" s="6"/>
    </row>
    <row r="318" spans="1:6" s="5" customFormat="1" ht="27" customHeight="1">
      <c r="A318" s="13" t="e">
        <f>VLOOKUP(D318,[1]국문!$1:$1048576,2,0)</f>
        <v>#N/A</v>
      </c>
      <c r="B318" s="13"/>
      <c r="C318" s="13"/>
      <c r="D318" s="3"/>
      <c r="E318" s="3"/>
      <c r="F318" s="6"/>
    </row>
    <row r="319" spans="1:6" s="5" customFormat="1" ht="27" customHeight="1">
      <c r="A319" s="13" t="e">
        <f>VLOOKUP(D319,[1]국문!$1:$1048576,2,0)</f>
        <v>#N/A</v>
      </c>
      <c r="B319" s="13"/>
      <c r="C319" s="13"/>
      <c r="D319" s="3"/>
      <c r="E319" s="3"/>
      <c r="F319" s="6"/>
    </row>
    <row r="320" spans="1:6" s="5" customFormat="1" ht="27" customHeight="1">
      <c r="A320" s="13" t="e">
        <f>VLOOKUP(D320,[1]국문!$1:$1048576,2,0)</f>
        <v>#N/A</v>
      </c>
      <c r="B320" s="13"/>
      <c r="C320" s="13"/>
      <c r="D320" s="3"/>
      <c r="E320" s="3"/>
      <c r="F320" s="6"/>
    </row>
    <row r="321" spans="1:6" s="5" customFormat="1" ht="27" customHeight="1">
      <c r="A321" s="13" t="e">
        <f>VLOOKUP(D321,[1]국문!$1:$1048576,2,0)</f>
        <v>#N/A</v>
      </c>
      <c r="B321" s="13"/>
      <c r="C321" s="13"/>
      <c r="D321" s="3"/>
      <c r="E321" s="3"/>
      <c r="F321" s="6"/>
    </row>
    <row r="322" spans="1:6" s="5" customFormat="1" ht="31.5" customHeight="1">
      <c r="A322" s="13" t="e">
        <f>VLOOKUP(D322,[1]국문!$1:$1048576,2,0)</f>
        <v>#N/A</v>
      </c>
      <c r="B322" s="13"/>
      <c r="C322" s="13"/>
      <c r="D322" s="3"/>
      <c r="E322" s="3"/>
      <c r="F322" s="6"/>
    </row>
    <row r="323" spans="1:6" s="5" customFormat="1" ht="27" customHeight="1">
      <c r="A323" s="13" t="e">
        <f>VLOOKUP(D323,[1]국문!$1:$1048576,2,0)</f>
        <v>#N/A</v>
      </c>
      <c r="B323" s="13"/>
      <c r="C323" s="13"/>
      <c r="D323" s="3"/>
      <c r="E323" s="3"/>
      <c r="F323" s="6"/>
    </row>
    <row r="324" spans="1:6" s="5" customFormat="1" ht="27" customHeight="1">
      <c r="A324" s="13" t="e">
        <f>VLOOKUP(D324,[1]국문!$1:$1048576,2,0)</f>
        <v>#N/A</v>
      </c>
      <c r="B324" s="13"/>
      <c r="C324" s="13"/>
      <c r="D324" s="3"/>
      <c r="E324" s="3"/>
      <c r="F324" s="6"/>
    </row>
    <row r="325" spans="1:6" s="5" customFormat="1" ht="27" customHeight="1">
      <c r="A325" s="13" t="e">
        <f>VLOOKUP(D325,[1]국문!$1:$1048576,2,0)</f>
        <v>#N/A</v>
      </c>
      <c r="B325" s="13"/>
      <c r="C325" s="13"/>
      <c r="D325" s="3"/>
      <c r="E325" s="3"/>
      <c r="F325" s="6"/>
    </row>
    <row r="326" spans="1:6" s="5" customFormat="1" ht="27" customHeight="1">
      <c r="A326" s="13" t="e">
        <f>VLOOKUP(D326,[1]국문!$1:$1048576,2,0)</f>
        <v>#N/A</v>
      </c>
      <c r="B326" s="13"/>
      <c r="C326" s="13"/>
      <c r="D326" s="3"/>
      <c r="E326" s="3"/>
      <c r="F326" s="6"/>
    </row>
    <row r="327" spans="1:6" s="5" customFormat="1" ht="27" customHeight="1">
      <c r="A327" s="13" t="e">
        <f>VLOOKUP(D327,[1]국문!$1:$1048576,2,0)</f>
        <v>#N/A</v>
      </c>
      <c r="B327" s="13"/>
      <c r="C327" s="13"/>
      <c r="D327" s="3"/>
      <c r="E327" s="3"/>
      <c r="F327" s="6"/>
    </row>
    <row r="328" spans="1:6" s="5" customFormat="1" ht="27" customHeight="1">
      <c r="A328" s="13" t="e">
        <f>VLOOKUP(D328,[1]국문!$1:$1048576,2,0)</f>
        <v>#N/A</v>
      </c>
      <c r="B328" s="13"/>
      <c r="C328" s="13"/>
      <c r="D328" s="3"/>
      <c r="E328" s="3"/>
      <c r="F328" s="6"/>
    </row>
    <row r="329" spans="1:6" s="5" customFormat="1" ht="27" customHeight="1">
      <c r="A329" s="13" t="e">
        <f>VLOOKUP(D329,[1]국문!$1:$1048576,2,0)</f>
        <v>#N/A</v>
      </c>
      <c r="B329" s="13"/>
      <c r="C329" s="13"/>
      <c r="D329" s="3"/>
      <c r="E329" s="3"/>
      <c r="F329" s="6"/>
    </row>
    <row r="330" spans="1:6" s="5" customFormat="1" ht="27" customHeight="1">
      <c r="A330" s="13" t="e">
        <f>VLOOKUP(D330,[1]국문!$1:$1048576,2,0)</f>
        <v>#N/A</v>
      </c>
      <c r="B330" s="13"/>
      <c r="C330" s="13"/>
      <c r="D330" s="3"/>
      <c r="E330" s="3"/>
      <c r="F330" s="6"/>
    </row>
    <row r="331" spans="1:6" s="5" customFormat="1" ht="27" customHeight="1">
      <c r="A331" s="13" t="e">
        <f>VLOOKUP(D331,[1]국문!$1:$1048576,2,0)</f>
        <v>#N/A</v>
      </c>
      <c r="B331" s="13"/>
      <c r="C331" s="13"/>
      <c r="D331" s="3"/>
      <c r="E331" s="3"/>
      <c r="F331" s="6"/>
    </row>
    <row r="332" spans="1:6" s="5" customFormat="1" ht="27" customHeight="1">
      <c r="A332" s="13" t="e">
        <f>VLOOKUP(D332,[1]국문!$1:$1048576,2,0)</f>
        <v>#N/A</v>
      </c>
      <c r="B332" s="13"/>
      <c r="C332" s="13"/>
      <c r="D332" s="3"/>
      <c r="E332" s="3"/>
      <c r="F332" s="6"/>
    </row>
    <row r="333" spans="1:6">
      <c r="A333" s="18"/>
      <c r="B333" s="18"/>
      <c r="C333" s="18"/>
      <c r="D333" s="18"/>
      <c r="E333" s="18"/>
      <c r="F333" s="18"/>
    </row>
    <row r="334" spans="1:6" ht="20.25" customHeight="1">
      <c r="A334" s="20" t="s">
        <v>169</v>
      </c>
      <c r="B334" s="20"/>
      <c r="C334" s="20"/>
      <c r="D334" s="20"/>
      <c r="E334" s="20"/>
      <c r="F334" s="20"/>
    </row>
    <row r="335" spans="1:6" ht="60.4" customHeight="1">
      <c r="A335" s="8" t="s">
        <v>164</v>
      </c>
      <c r="B335" s="15" t="s">
        <v>190</v>
      </c>
      <c r="C335" s="15"/>
      <c r="D335" s="15"/>
      <c r="E335" s="15"/>
      <c r="F335" s="15"/>
    </row>
    <row r="336" spans="1:6" ht="159.75" customHeight="1">
      <c r="A336" s="8" t="s">
        <v>165</v>
      </c>
      <c r="B336" s="15" t="s">
        <v>194</v>
      </c>
      <c r="C336" s="15"/>
      <c r="D336" s="15"/>
      <c r="E336" s="15"/>
      <c r="F336" s="15"/>
    </row>
    <row r="337" spans="1:6" ht="57" customHeight="1">
      <c r="A337" s="8" t="s">
        <v>166</v>
      </c>
      <c r="B337" s="15" t="s">
        <v>191</v>
      </c>
      <c r="C337" s="15"/>
      <c r="D337" s="15"/>
      <c r="E337" s="15"/>
      <c r="F337" s="15"/>
    </row>
    <row r="338" spans="1:6" ht="24.95" customHeight="1">
      <c r="A338" s="8" t="s">
        <v>167</v>
      </c>
      <c r="B338" s="15" t="s">
        <v>192</v>
      </c>
      <c r="C338" s="15"/>
      <c r="D338" s="15"/>
      <c r="E338" s="15"/>
      <c r="F338" s="15"/>
    </row>
    <row r="339" spans="1:6" ht="25.5" customHeight="1">
      <c r="A339" s="8" t="s">
        <v>168</v>
      </c>
      <c r="B339" s="15" t="s">
        <v>193</v>
      </c>
      <c r="C339" s="15"/>
      <c r="D339" s="15"/>
      <c r="E339" s="15"/>
      <c r="F339" s="15"/>
    </row>
    <row r="340" spans="1:6" ht="8.25" customHeight="1">
      <c r="A340" s="18"/>
      <c r="B340" s="18"/>
      <c r="C340" s="18"/>
      <c r="D340" s="18"/>
      <c r="E340" s="18"/>
      <c r="F340" s="18"/>
    </row>
    <row r="341" spans="1:6" ht="20.25" customHeight="1">
      <c r="A341" s="9" t="s">
        <v>7</v>
      </c>
      <c r="B341" s="19"/>
      <c r="C341" s="19"/>
      <c r="D341" s="19"/>
      <c r="E341" s="19"/>
      <c r="F341" s="19"/>
    </row>
    <row r="342" spans="1:6" ht="36" customHeight="1">
      <c r="A342" s="8" t="s">
        <v>154</v>
      </c>
      <c r="B342" s="15" t="s">
        <v>195</v>
      </c>
      <c r="C342" s="15"/>
      <c r="D342" s="15"/>
      <c r="E342" s="15"/>
      <c r="F342" s="15"/>
    </row>
    <row r="343" spans="1:6" ht="135" customHeight="1">
      <c r="A343" s="8" t="s">
        <v>197</v>
      </c>
      <c r="B343" s="15" t="s">
        <v>196</v>
      </c>
      <c r="C343" s="15"/>
      <c r="D343" s="15"/>
      <c r="E343" s="15"/>
      <c r="F343" s="15"/>
    </row>
    <row r="344" spans="1:6" ht="168" customHeight="1">
      <c r="A344" s="8" t="s">
        <v>155</v>
      </c>
      <c r="B344" s="15" t="s">
        <v>198</v>
      </c>
      <c r="C344" s="15"/>
      <c r="D344" s="15"/>
      <c r="E344" s="15"/>
      <c r="F344" s="15"/>
    </row>
    <row r="345" spans="1:6" ht="9.75" customHeight="1"/>
    <row r="346" spans="1:6" ht="20.25" customHeight="1">
      <c r="A346" s="20" t="s">
        <v>8</v>
      </c>
      <c r="B346" s="20"/>
      <c r="C346" s="19"/>
      <c r="D346" s="19"/>
      <c r="E346" s="19"/>
      <c r="F346" s="19"/>
    </row>
    <row r="347" spans="1:6">
      <c r="A347" s="15" t="s">
        <v>178</v>
      </c>
      <c r="B347" s="15"/>
      <c r="C347" s="15"/>
      <c r="D347" s="15"/>
      <c r="E347" s="15"/>
      <c r="F347" s="15"/>
    </row>
    <row r="348" spans="1:6" ht="120.75" customHeight="1">
      <c r="A348" s="8"/>
      <c r="B348" s="15" t="s">
        <v>199</v>
      </c>
      <c r="C348" s="15"/>
      <c r="D348" s="15"/>
      <c r="E348" s="15"/>
      <c r="F348" s="15"/>
    </row>
    <row r="349" spans="1:6" ht="30.75" customHeight="1">
      <c r="A349" s="8" t="s">
        <v>156</v>
      </c>
      <c r="B349" s="15" t="s">
        <v>200</v>
      </c>
      <c r="C349" s="15"/>
      <c r="D349" s="15"/>
      <c r="E349" s="15"/>
      <c r="F349" s="15"/>
    </row>
    <row r="350" spans="1:6" ht="82.5" customHeight="1">
      <c r="A350" s="8" t="s">
        <v>157</v>
      </c>
      <c r="B350" s="15" t="s">
        <v>201</v>
      </c>
      <c r="C350" s="15"/>
      <c r="D350" s="15"/>
      <c r="E350" s="15"/>
      <c r="F350" s="15"/>
    </row>
    <row r="351" spans="1:6" ht="8.25" customHeight="1">
      <c r="A351" s="18"/>
      <c r="B351" s="18"/>
      <c r="C351" s="18"/>
      <c r="D351" s="18"/>
      <c r="E351" s="18"/>
      <c r="F351" s="18"/>
    </row>
    <row r="352" spans="1:6" ht="20.25" customHeight="1">
      <c r="A352" s="20" t="s">
        <v>9</v>
      </c>
      <c r="B352" s="20"/>
      <c r="C352" s="20"/>
      <c r="D352" s="20"/>
      <c r="E352" s="20"/>
      <c r="F352" s="20"/>
    </row>
    <row r="353" spans="1:6" ht="177" customHeight="1">
      <c r="A353" s="8" t="s">
        <v>158</v>
      </c>
      <c r="B353" s="15" t="s">
        <v>202</v>
      </c>
      <c r="C353" s="15"/>
      <c r="D353" s="15"/>
      <c r="E353" s="15"/>
      <c r="F353" s="15"/>
    </row>
    <row r="354" spans="1:6" ht="52.5" customHeight="1">
      <c r="A354" s="8" t="s">
        <v>159</v>
      </c>
      <c r="B354" s="15" t="s">
        <v>203</v>
      </c>
      <c r="C354" s="15"/>
      <c r="D354" s="15"/>
      <c r="E354" s="15"/>
      <c r="F354" s="15"/>
    </row>
    <row r="355" spans="1:6" ht="8.25" customHeight="1">
      <c r="A355" s="18"/>
      <c r="B355" s="18"/>
      <c r="C355" s="18"/>
      <c r="D355" s="18"/>
      <c r="E355" s="18"/>
      <c r="F355" s="18"/>
    </row>
    <row r="356" spans="1:6" ht="20.25" customHeight="1">
      <c r="A356" s="9" t="s">
        <v>10</v>
      </c>
      <c r="B356" s="19"/>
      <c r="C356" s="19"/>
      <c r="D356" s="7"/>
      <c r="E356" s="7"/>
      <c r="F356" s="7"/>
    </row>
    <row r="357" spans="1:6" ht="18" customHeight="1">
      <c r="A357" s="15" t="s">
        <v>90</v>
      </c>
      <c r="B357" s="15"/>
      <c r="C357" s="15"/>
      <c r="D357" s="15"/>
      <c r="E357" s="15"/>
      <c r="F357" s="15"/>
    </row>
    <row r="358" spans="1:6" ht="18" customHeight="1">
      <c r="A358" s="8" t="s">
        <v>56</v>
      </c>
      <c r="B358" s="15" t="s">
        <v>23</v>
      </c>
      <c r="C358" s="15"/>
      <c r="D358" s="15"/>
      <c r="E358" s="15"/>
      <c r="F358" s="15"/>
    </row>
    <row r="359" spans="1:6" ht="18" customHeight="1">
      <c r="A359" s="8"/>
      <c r="B359" s="15"/>
      <c r="C359" s="15"/>
      <c r="D359" s="15"/>
      <c r="E359" s="15"/>
      <c r="F359" s="15"/>
    </row>
    <row r="360" spans="1:6" ht="18" customHeight="1">
      <c r="A360" s="8"/>
      <c r="B360" s="15"/>
      <c r="C360" s="15"/>
      <c r="D360" s="15"/>
      <c r="E360" s="15"/>
      <c r="F360" s="15"/>
    </row>
    <row r="361" spans="1:6" ht="18" customHeight="1">
      <c r="A361" s="8"/>
      <c r="B361" s="15"/>
      <c r="C361" s="15"/>
      <c r="D361" s="15"/>
      <c r="E361" s="15"/>
      <c r="F361" s="15"/>
    </row>
    <row r="362" spans="1:6" ht="18" customHeight="1">
      <c r="A362" s="8"/>
      <c r="B362" s="15"/>
      <c r="C362" s="15"/>
      <c r="D362" s="15"/>
      <c r="E362" s="15"/>
      <c r="F362" s="15"/>
    </row>
    <row r="363" spans="1:6" ht="18" customHeight="1">
      <c r="A363" s="8"/>
      <c r="B363" s="15"/>
      <c r="C363" s="15"/>
      <c r="D363" s="15"/>
      <c r="E363" s="15"/>
      <c r="F363" s="15"/>
    </row>
    <row r="364" spans="1:6" ht="18" customHeight="1">
      <c r="A364" s="8"/>
      <c r="B364" s="15"/>
      <c r="C364" s="15"/>
      <c r="D364" s="15"/>
      <c r="E364" s="15"/>
      <c r="F364" s="15"/>
    </row>
    <row r="365" spans="1:6" ht="18" customHeight="1">
      <c r="A365" s="8"/>
      <c r="B365" s="15"/>
      <c r="C365" s="15"/>
      <c r="D365" s="15"/>
      <c r="E365" s="15"/>
      <c r="F365" s="15"/>
    </row>
    <row r="366" spans="1:6" ht="18" customHeight="1">
      <c r="A366" s="8"/>
      <c r="B366" s="15"/>
      <c r="C366" s="15"/>
      <c r="D366" s="15"/>
      <c r="E366" s="15"/>
      <c r="F366" s="15"/>
    </row>
    <row r="367" spans="1:6" ht="18" customHeight="1">
      <c r="A367" s="8"/>
      <c r="B367" s="15"/>
      <c r="C367" s="15"/>
      <c r="D367" s="15"/>
      <c r="E367" s="15"/>
      <c r="F367" s="15"/>
    </row>
    <row r="368" spans="1:6" ht="18" customHeight="1">
      <c r="A368" s="8"/>
      <c r="B368" s="15"/>
      <c r="C368" s="15"/>
      <c r="D368" s="15"/>
      <c r="E368" s="15"/>
      <c r="F368" s="15"/>
    </row>
    <row r="369" spans="1:6" ht="18" customHeight="1">
      <c r="A369" s="8"/>
      <c r="B369" s="15"/>
      <c r="C369" s="15"/>
      <c r="D369" s="15"/>
      <c r="E369" s="15"/>
      <c r="F369" s="15"/>
    </row>
    <row r="370" spans="1:6" ht="18" customHeight="1">
      <c r="A370" s="8"/>
      <c r="B370" s="15"/>
      <c r="C370" s="15"/>
      <c r="D370" s="15"/>
      <c r="E370" s="15"/>
      <c r="F370" s="15"/>
    </row>
    <row r="371" spans="1:6" ht="18" customHeight="1">
      <c r="A371" s="8"/>
      <c r="B371" s="15"/>
      <c r="C371" s="15"/>
      <c r="D371" s="15"/>
      <c r="E371" s="15"/>
      <c r="F371" s="15"/>
    </row>
    <row r="372" spans="1:6" ht="18" customHeight="1">
      <c r="A372" s="8"/>
      <c r="B372" s="15"/>
      <c r="C372" s="15"/>
      <c r="D372" s="15"/>
      <c r="E372" s="15"/>
      <c r="F372" s="15"/>
    </row>
    <row r="373" spans="1:6" ht="18" customHeight="1">
      <c r="A373" s="8"/>
      <c r="B373" s="15"/>
      <c r="C373" s="15"/>
      <c r="D373" s="15"/>
      <c r="E373" s="15"/>
      <c r="F373" s="15"/>
    </row>
    <row r="374" spans="1:6" ht="18" customHeight="1">
      <c r="A374" s="8"/>
      <c r="B374" s="15"/>
      <c r="C374" s="15"/>
      <c r="D374" s="15"/>
      <c r="E374" s="15"/>
      <c r="F374" s="15"/>
    </row>
    <row r="375" spans="1:6" ht="18" customHeight="1">
      <c r="A375" s="8"/>
      <c r="B375" s="15"/>
      <c r="C375" s="15"/>
      <c r="D375" s="15"/>
      <c r="E375" s="15"/>
      <c r="F375" s="15"/>
    </row>
    <row r="376" spans="1:6" ht="18" customHeight="1">
      <c r="A376" s="8"/>
      <c r="B376" s="15"/>
      <c r="C376" s="15"/>
      <c r="D376" s="15"/>
      <c r="E376" s="15"/>
      <c r="F376" s="15"/>
    </row>
    <row r="377" spans="1:6" ht="18" customHeight="1">
      <c r="A377" s="8"/>
      <c r="B377" s="15"/>
      <c r="C377" s="15"/>
      <c r="D377" s="15"/>
      <c r="E377" s="15"/>
      <c r="F377" s="15"/>
    </row>
    <row r="378" spans="1:6" ht="18" customHeight="1">
      <c r="A378" s="8"/>
      <c r="B378" s="15"/>
      <c r="C378" s="15"/>
      <c r="D378" s="15"/>
      <c r="E378" s="15"/>
      <c r="F378" s="15"/>
    </row>
    <row r="379" spans="1:6" ht="18" customHeight="1">
      <c r="A379" s="8"/>
      <c r="B379" s="15"/>
      <c r="C379" s="15"/>
      <c r="D379" s="15"/>
      <c r="E379" s="15"/>
      <c r="F379" s="15"/>
    </row>
    <row r="380" spans="1:6" ht="18" customHeight="1">
      <c r="A380" s="8"/>
      <c r="B380" s="15"/>
      <c r="C380" s="15"/>
      <c r="D380" s="15"/>
      <c r="E380" s="15"/>
      <c r="F380" s="15"/>
    </row>
    <row r="381" spans="1:6" ht="18" customHeight="1">
      <c r="A381" s="8"/>
      <c r="B381" s="15"/>
      <c r="C381" s="15"/>
      <c r="D381" s="15"/>
      <c r="E381" s="15"/>
      <c r="F381" s="15"/>
    </row>
    <row r="382" spans="1:6" ht="18" customHeight="1">
      <c r="A382" s="8"/>
      <c r="B382" s="15"/>
      <c r="C382" s="15"/>
      <c r="D382" s="15"/>
      <c r="E382" s="15"/>
      <c r="F382" s="15"/>
    </row>
    <row r="383" spans="1:6" ht="18" customHeight="1">
      <c r="A383" s="8"/>
      <c r="B383" s="15"/>
      <c r="C383" s="15"/>
      <c r="D383" s="15"/>
      <c r="E383" s="15"/>
      <c r="F383" s="15"/>
    </row>
    <row r="384" spans="1:6" ht="18" customHeight="1">
      <c r="A384" s="8"/>
      <c r="B384" s="15"/>
      <c r="C384" s="15"/>
      <c r="D384" s="15"/>
      <c r="E384" s="15"/>
      <c r="F384" s="15"/>
    </row>
    <row r="385" spans="1:6" ht="18" customHeight="1">
      <c r="A385" s="8"/>
      <c r="B385" s="15"/>
      <c r="C385" s="15"/>
      <c r="D385" s="15"/>
      <c r="E385" s="15"/>
      <c r="F385" s="15"/>
    </row>
    <row r="386" spans="1:6" ht="18" customHeight="1">
      <c r="A386" s="8"/>
      <c r="B386" s="15"/>
      <c r="C386" s="15"/>
      <c r="D386" s="15"/>
      <c r="E386" s="15"/>
      <c r="F386" s="15"/>
    </row>
    <row r="387" spans="1:6" ht="18" customHeight="1">
      <c r="A387" s="8"/>
      <c r="B387" s="15"/>
      <c r="C387" s="15"/>
      <c r="D387" s="15"/>
      <c r="E387" s="15"/>
      <c r="F387" s="15"/>
    </row>
    <row r="388" spans="1:6" ht="18" customHeight="1">
      <c r="A388" s="8"/>
      <c r="B388" s="15"/>
      <c r="C388" s="15"/>
      <c r="D388" s="15"/>
      <c r="E388" s="15"/>
      <c r="F388" s="15"/>
    </row>
    <row r="389" spans="1:6" ht="18" customHeight="1">
      <c r="A389" s="8"/>
      <c r="B389" s="15"/>
      <c r="C389" s="15"/>
      <c r="D389" s="15"/>
      <c r="E389" s="15"/>
      <c r="F389" s="15"/>
    </row>
    <row r="390" spans="1:6" ht="18" customHeight="1">
      <c r="A390" s="8"/>
      <c r="B390" s="15"/>
      <c r="C390" s="15"/>
      <c r="D390" s="15"/>
      <c r="E390" s="15"/>
      <c r="F390" s="15"/>
    </row>
    <row r="391" spans="1:6" ht="18" customHeight="1">
      <c r="A391" s="8"/>
      <c r="B391" s="15"/>
      <c r="C391" s="15"/>
      <c r="D391" s="15"/>
      <c r="E391" s="15"/>
      <c r="F391" s="15"/>
    </row>
    <row r="392" spans="1:6" ht="18" customHeight="1">
      <c r="A392" s="8"/>
      <c r="B392" s="15"/>
      <c r="C392" s="15"/>
      <c r="D392" s="15"/>
      <c r="E392" s="15"/>
      <c r="F392" s="15"/>
    </row>
    <row r="393" spans="1:6" ht="18" customHeight="1">
      <c r="A393" s="8"/>
      <c r="B393" s="15"/>
      <c r="C393" s="15"/>
      <c r="D393" s="15"/>
      <c r="E393" s="15"/>
      <c r="F393" s="15"/>
    </row>
    <row r="394" spans="1:6" ht="18" customHeight="1">
      <c r="A394" s="8"/>
      <c r="B394" s="15"/>
      <c r="C394" s="15"/>
      <c r="D394" s="15"/>
      <c r="E394" s="15"/>
      <c r="F394" s="15"/>
    </row>
    <row r="395" spans="1:6" ht="18" customHeight="1">
      <c r="A395" s="8"/>
      <c r="B395" s="15"/>
      <c r="C395" s="15"/>
      <c r="D395" s="15"/>
      <c r="E395" s="15"/>
      <c r="F395" s="15"/>
    </row>
    <row r="396" spans="1:6" ht="18" customHeight="1">
      <c r="A396" s="8"/>
      <c r="B396" s="15"/>
      <c r="C396" s="15"/>
      <c r="D396" s="15"/>
      <c r="E396" s="15"/>
      <c r="F396" s="15"/>
    </row>
    <row r="397" spans="1:6" ht="18" customHeight="1">
      <c r="A397" s="8"/>
      <c r="B397" s="15"/>
      <c r="C397" s="15"/>
      <c r="D397" s="15"/>
      <c r="E397" s="15"/>
      <c r="F397" s="15"/>
    </row>
    <row r="398" spans="1:6" ht="18" customHeight="1">
      <c r="A398" s="8"/>
      <c r="B398" s="15"/>
      <c r="C398" s="15"/>
      <c r="D398" s="15"/>
      <c r="E398" s="15"/>
      <c r="F398" s="15"/>
    </row>
    <row r="399" spans="1:6" ht="18" customHeight="1">
      <c r="A399" s="8"/>
      <c r="B399" s="15"/>
      <c r="C399" s="15"/>
      <c r="D399" s="15"/>
      <c r="E399" s="15"/>
      <c r="F399" s="15"/>
    </row>
    <row r="400" spans="1:6" ht="18" customHeight="1">
      <c r="A400" s="8"/>
      <c r="B400" s="15"/>
      <c r="C400" s="15"/>
      <c r="D400" s="15"/>
      <c r="E400" s="15"/>
      <c r="F400" s="15"/>
    </row>
    <row r="401" spans="1:6" ht="18" customHeight="1">
      <c r="A401" s="8"/>
      <c r="B401" s="15"/>
      <c r="C401" s="15"/>
      <c r="D401" s="15"/>
      <c r="E401" s="15"/>
      <c r="F401" s="15"/>
    </row>
    <row r="402" spans="1:6" ht="18" customHeight="1">
      <c r="A402" s="8"/>
      <c r="B402" s="15"/>
      <c r="C402" s="15"/>
      <c r="D402" s="15"/>
      <c r="E402" s="15"/>
      <c r="F402" s="15"/>
    </row>
    <row r="403" spans="1:6" ht="18" customHeight="1">
      <c r="A403" s="8"/>
      <c r="B403" s="15"/>
      <c r="C403" s="15"/>
      <c r="D403" s="15"/>
      <c r="E403" s="15"/>
      <c r="F403" s="15"/>
    </row>
    <row r="404" spans="1:6" ht="18" customHeight="1">
      <c r="A404" s="8"/>
      <c r="B404" s="15"/>
      <c r="C404" s="15"/>
      <c r="D404" s="15"/>
      <c r="E404" s="15"/>
      <c r="F404" s="15"/>
    </row>
    <row r="405" spans="1:6" ht="18" customHeight="1">
      <c r="A405" s="8"/>
      <c r="B405" s="15"/>
      <c r="C405" s="15"/>
      <c r="D405" s="15"/>
      <c r="E405" s="15"/>
      <c r="F405" s="15"/>
    </row>
    <row r="406" spans="1:6" ht="18" customHeight="1">
      <c r="A406" s="8"/>
      <c r="B406" s="15"/>
      <c r="C406" s="15"/>
      <c r="D406" s="15"/>
      <c r="E406" s="15"/>
      <c r="F406" s="15"/>
    </row>
    <row r="407" spans="1:6" ht="18" customHeight="1">
      <c r="A407" s="8"/>
      <c r="B407" s="15"/>
      <c r="C407" s="15"/>
      <c r="D407" s="15"/>
      <c r="E407" s="15"/>
      <c r="F407" s="15"/>
    </row>
    <row r="408" spans="1:6" ht="18" customHeight="1">
      <c r="A408" s="8"/>
      <c r="B408" s="15"/>
      <c r="C408" s="15"/>
      <c r="D408" s="15"/>
      <c r="E408" s="15"/>
      <c r="F408" s="15"/>
    </row>
    <row r="409" spans="1:6" ht="18" customHeight="1">
      <c r="A409" s="8"/>
      <c r="B409" s="15"/>
      <c r="C409" s="15"/>
      <c r="D409" s="15"/>
      <c r="E409" s="15"/>
      <c r="F409" s="15"/>
    </row>
    <row r="410" spans="1:6" ht="18" customHeight="1">
      <c r="A410" s="8"/>
      <c r="B410" s="15"/>
      <c r="C410" s="15"/>
      <c r="D410" s="15"/>
      <c r="E410" s="15"/>
      <c r="F410" s="15"/>
    </row>
    <row r="411" spans="1:6" ht="18" customHeight="1">
      <c r="A411" s="8"/>
      <c r="B411" s="15"/>
      <c r="C411" s="15"/>
      <c r="D411" s="15"/>
      <c r="E411" s="15"/>
      <c r="F411" s="15"/>
    </row>
    <row r="412" spans="1:6" ht="18" customHeight="1">
      <c r="A412" s="8"/>
      <c r="B412" s="15"/>
      <c r="C412" s="15"/>
      <c r="D412" s="15"/>
      <c r="E412" s="15"/>
      <c r="F412" s="15"/>
    </row>
    <row r="413" spans="1:6" ht="18" customHeight="1">
      <c r="A413" s="8"/>
      <c r="B413" s="15"/>
      <c r="C413" s="15"/>
      <c r="D413" s="15"/>
      <c r="E413" s="15"/>
      <c r="F413" s="15"/>
    </row>
    <row r="414" spans="1:6" ht="18" customHeight="1">
      <c r="A414" s="8"/>
      <c r="B414" s="15"/>
      <c r="C414" s="15"/>
      <c r="D414" s="15"/>
      <c r="E414" s="15"/>
      <c r="F414" s="15"/>
    </row>
    <row r="415" spans="1:6" ht="18" customHeight="1">
      <c r="A415" s="8"/>
      <c r="B415" s="15"/>
      <c r="C415" s="15"/>
      <c r="D415" s="15"/>
      <c r="E415" s="15"/>
      <c r="F415" s="15"/>
    </row>
    <row r="416" spans="1:6" ht="18" customHeight="1">
      <c r="A416" s="8"/>
      <c r="B416" s="15"/>
      <c r="C416" s="15"/>
      <c r="D416" s="15"/>
      <c r="E416" s="15"/>
      <c r="F416" s="15"/>
    </row>
    <row r="417" spans="1:6" ht="18" customHeight="1">
      <c r="A417" s="8"/>
      <c r="B417" s="15"/>
      <c r="C417" s="15"/>
      <c r="D417" s="15"/>
      <c r="E417" s="15"/>
      <c r="F417" s="15"/>
    </row>
    <row r="418" spans="1:6" ht="18" customHeight="1">
      <c r="A418" s="8"/>
      <c r="B418" s="15"/>
      <c r="C418" s="15"/>
      <c r="D418" s="15"/>
      <c r="E418" s="15"/>
      <c r="F418" s="15"/>
    </row>
    <row r="419" spans="1:6" ht="18" customHeight="1">
      <c r="A419" s="8"/>
      <c r="B419" s="15"/>
      <c r="C419" s="15"/>
      <c r="D419" s="15"/>
      <c r="E419" s="15"/>
      <c r="F419" s="15"/>
    </row>
    <row r="420" spans="1:6" ht="18" customHeight="1">
      <c r="A420" s="8"/>
      <c r="B420" s="15"/>
      <c r="C420" s="15"/>
      <c r="D420" s="15"/>
      <c r="E420" s="15"/>
      <c r="F420" s="15"/>
    </row>
    <row r="421" spans="1:6" ht="18" customHeight="1">
      <c r="A421" s="8"/>
      <c r="B421" s="15"/>
      <c r="C421" s="15"/>
      <c r="D421" s="15"/>
      <c r="E421" s="15"/>
      <c r="F421" s="15"/>
    </row>
    <row r="422" spans="1:6" ht="18" customHeight="1">
      <c r="A422" s="8"/>
      <c r="B422" s="15"/>
      <c r="C422" s="15"/>
      <c r="D422" s="15"/>
      <c r="E422" s="15"/>
      <c r="F422" s="15"/>
    </row>
    <row r="423" spans="1:6" ht="18" customHeight="1">
      <c r="A423" s="8"/>
      <c r="B423" s="15"/>
      <c r="C423" s="15"/>
      <c r="D423" s="15"/>
      <c r="E423" s="15"/>
      <c r="F423" s="15"/>
    </row>
    <row r="424" spans="1:6" ht="18" customHeight="1">
      <c r="A424" s="8"/>
      <c r="B424" s="15"/>
      <c r="C424" s="15"/>
      <c r="D424" s="15"/>
      <c r="E424" s="15"/>
      <c r="F424" s="15"/>
    </row>
    <row r="425" spans="1:6" ht="18" customHeight="1">
      <c r="A425" s="8"/>
      <c r="B425" s="15"/>
      <c r="C425" s="15"/>
      <c r="D425" s="15"/>
      <c r="E425" s="15"/>
      <c r="F425" s="15"/>
    </row>
    <row r="426" spans="1:6" ht="18" customHeight="1">
      <c r="A426" s="8"/>
      <c r="B426" s="15"/>
      <c r="C426" s="15"/>
      <c r="D426" s="15"/>
      <c r="E426" s="15"/>
      <c r="F426" s="15"/>
    </row>
    <row r="427" spans="1:6" ht="18" customHeight="1">
      <c r="A427" s="8"/>
      <c r="B427" s="15"/>
      <c r="C427" s="15"/>
      <c r="D427" s="15"/>
      <c r="E427" s="15"/>
      <c r="F427" s="15"/>
    </row>
    <row r="428" spans="1:6" ht="18" customHeight="1">
      <c r="A428" s="8"/>
      <c r="B428" s="15"/>
      <c r="C428" s="15"/>
      <c r="D428" s="15"/>
      <c r="E428" s="15"/>
      <c r="F428" s="15"/>
    </row>
    <row r="429" spans="1:6" ht="18" customHeight="1">
      <c r="A429" s="8"/>
      <c r="B429" s="15"/>
      <c r="C429" s="15"/>
      <c r="D429" s="15"/>
      <c r="E429" s="15"/>
      <c r="F429" s="15"/>
    </row>
    <row r="430" spans="1:6" ht="18" customHeight="1">
      <c r="A430" s="8"/>
      <c r="B430" s="15"/>
      <c r="C430" s="15"/>
      <c r="D430" s="15"/>
      <c r="E430" s="15"/>
      <c r="F430" s="15"/>
    </row>
    <row r="431" spans="1:6" ht="18" customHeight="1">
      <c r="A431" s="8"/>
      <c r="B431" s="15"/>
      <c r="C431" s="15"/>
      <c r="D431" s="15"/>
      <c r="E431" s="15"/>
      <c r="F431" s="15"/>
    </row>
    <row r="432" spans="1:6" ht="18" customHeight="1">
      <c r="A432" s="8"/>
      <c r="B432" s="15"/>
      <c r="C432" s="15"/>
      <c r="D432" s="15"/>
      <c r="E432" s="15"/>
      <c r="F432" s="15"/>
    </row>
    <row r="433" spans="1:6" ht="18" customHeight="1">
      <c r="A433" s="8"/>
      <c r="B433" s="15"/>
      <c r="C433" s="15"/>
      <c r="D433" s="15"/>
      <c r="E433" s="15"/>
      <c r="F433" s="15"/>
    </row>
    <row r="434" spans="1:6" ht="18" customHeight="1">
      <c r="A434" s="8"/>
      <c r="B434" s="15"/>
      <c r="C434" s="15"/>
      <c r="D434" s="15"/>
      <c r="E434" s="15"/>
      <c r="F434" s="15"/>
    </row>
    <row r="435" spans="1:6" ht="18" customHeight="1">
      <c r="A435" s="8"/>
      <c r="B435" s="15"/>
      <c r="C435" s="15"/>
      <c r="D435" s="15"/>
      <c r="E435" s="15"/>
      <c r="F435" s="15"/>
    </row>
    <row r="436" spans="1:6" ht="18" customHeight="1">
      <c r="A436" s="8"/>
      <c r="B436" s="15"/>
      <c r="C436" s="15"/>
      <c r="D436" s="15"/>
      <c r="E436" s="15"/>
      <c r="F436" s="15"/>
    </row>
    <row r="437" spans="1:6" ht="18" customHeight="1">
      <c r="A437" s="8"/>
      <c r="B437" s="15"/>
      <c r="C437" s="15"/>
      <c r="D437" s="15"/>
      <c r="E437" s="15"/>
      <c r="F437" s="15"/>
    </row>
    <row r="438" spans="1:6" ht="18" customHeight="1">
      <c r="A438" s="8"/>
      <c r="B438" s="15"/>
      <c r="C438" s="15"/>
      <c r="D438" s="15"/>
      <c r="E438" s="15"/>
      <c r="F438" s="15"/>
    </row>
    <row r="439" spans="1:6" ht="18" customHeight="1">
      <c r="A439" s="8"/>
      <c r="B439" s="15"/>
      <c r="C439" s="15"/>
      <c r="D439" s="15"/>
      <c r="E439" s="15"/>
      <c r="F439" s="15"/>
    </row>
    <row r="440" spans="1:6" ht="18" customHeight="1">
      <c r="A440" s="8"/>
      <c r="B440" s="15"/>
      <c r="C440" s="15"/>
      <c r="D440" s="15"/>
      <c r="E440" s="15"/>
      <c r="F440" s="15"/>
    </row>
    <row r="441" spans="1:6" ht="18" customHeight="1">
      <c r="A441" s="8"/>
      <c r="B441" s="15"/>
      <c r="C441" s="15"/>
      <c r="D441" s="15"/>
      <c r="E441" s="15"/>
      <c r="F441" s="15"/>
    </row>
    <row r="442" spans="1:6" ht="18" customHeight="1">
      <c r="A442" s="8"/>
      <c r="B442" s="15"/>
      <c r="C442" s="15"/>
      <c r="D442" s="15"/>
      <c r="E442" s="15"/>
      <c r="F442" s="15"/>
    </row>
    <row r="443" spans="1:6" ht="18" customHeight="1">
      <c r="A443" s="8"/>
      <c r="B443" s="15"/>
      <c r="C443" s="15"/>
      <c r="D443" s="15"/>
      <c r="E443" s="15"/>
      <c r="F443" s="15"/>
    </row>
    <row r="444" spans="1:6" ht="18" customHeight="1">
      <c r="A444" s="8"/>
      <c r="B444" s="15"/>
      <c r="C444" s="15"/>
      <c r="D444" s="15"/>
      <c r="E444" s="15"/>
      <c r="F444" s="15"/>
    </row>
    <row r="445" spans="1:6" ht="18" customHeight="1">
      <c r="A445" s="8"/>
      <c r="B445" s="15"/>
      <c r="C445" s="15"/>
      <c r="D445" s="15"/>
      <c r="E445" s="15"/>
      <c r="F445" s="15"/>
    </row>
    <row r="446" spans="1:6" ht="18" customHeight="1">
      <c r="A446" s="8"/>
      <c r="B446" s="15"/>
      <c r="C446" s="15"/>
      <c r="D446" s="15"/>
      <c r="E446" s="15"/>
      <c r="F446" s="15"/>
    </row>
    <row r="447" spans="1:6" ht="18" customHeight="1">
      <c r="A447" s="8"/>
      <c r="B447" s="15"/>
      <c r="C447" s="15"/>
      <c r="D447" s="15"/>
      <c r="E447" s="15"/>
      <c r="F447" s="15"/>
    </row>
    <row r="448" spans="1:6" ht="18" customHeight="1">
      <c r="A448" s="8"/>
      <c r="B448" s="15"/>
      <c r="C448" s="15"/>
      <c r="D448" s="15"/>
      <c r="E448" s="15"/>
      <c r="F448" s="15"/>
    </row>
    <row r="449" spans="1:6" ht="18" customHeight="1">
      <c r="A449" s="8"/>
      <c r="B449" s="15"/>
      <c r="C449" s="15"/>
      <c r="D449" s="15"/>
      <c r="E449" s="15"/>
      <c r="F449" s="15"/>
    </row>
    <row r="450" spans="1:6" ht="18" customHeight="1">
      <c r="A450" s="8"/>
      <c r="B450" s="15"/>
      <c r="C450" s="15"/>
      <c r="D450" s="15"/>
      <c r="E450" s="15"/>
      <c r="F450" s="15"/>
    </row>
    <row r="451" spans="1:6" ht="18" customHeight="1">
      <c r="A451" s="8"/>
      <c r="B451" s="15"/>
      <c r="C451" s="15"/>
      <c r="D451" s="15"/>
      <c r="E451" s="15"/>
      <c r="F451" s="15"/>
    </row>
    <row r="452" spans="1:6" ht="18" customHeight="1">
      <c r="A452" s="8"/>
      <c r="B452" s="15"/>
      <c r="C452" s="15"/>
      <c r="D452" s="15"/>
      <c r="E452" s="15"/>
      <c r="F452" s="15"/>
    </row>
    <row r="453" spans="1:6" ht="18" customHeight="1">
      <c r="A453" s="8"/>
      <c r="B453" s="15"/>
      <c r="C453" s="15"/>
      <c r="D453" s="15"/>
      <c r="E453" s="15"/>
      <c r="F453" s="15"/>
    </row>
    <row r="454" spans="1:6" ht="18" customHeight="1">
      <c r="A454" s="8"/>
      <c r="B454" s="15"/>
      <c r="C454" s="15"/>
      <c r="D454" s="15"/>
      <c r="E454" s="15"/>
      <c r="F454" s="15"/>
    </row>
    <row r="455" spans="1:6" ht="18" customHeight="1">
      <c r="A455" s="8"/>
      <c r="B455" s="15"/>
      <c r="C455" s="15"/>
      <c r="D455" s="15"/>
      <c r="E455" s="15"/>
      <c r="F455" s="15"/>
    </row>
    <row r="456" spans="1:6" ht="18" customHeight="1">
      <c r="A456" s="8"/>
      <c r="B456" s="15"/>
      <c r="C456" s="15"/>
      <c r="D456" s="15"/>
      <c r="E456" s="15"/>
      <c r="F456" s="15"/>
    </row>
    <row r="457" spans="1:6" ht="18" customHeight="1">
      <c r="A457" s="8"/>
      <c r="B457" s="15"/>
      <c r="C457" s="15"/>
      <c r="D457" s="15"/>
      <c r="E457" s="15"/>
      <c r="F457" s="15"/>
    </row>
    <row r="458" spans="1:6" ht="18" customHeight="1">
      <c r="A458" s="8" t="s">
        <v>212</v>
      </c>
      <c r="B458" s="15" t="s">
        <v>23</v>
      </c>
      <c r="C458" s="15"/>
      <c r="D458" s="15"/>
      <c r="E458" s="15"/>
      <c r="F458" s="15"/>
    </row>
    <row r="459" spans="1:6" ht="18" customHeight="1">
      <c r="A459" s="8"/>
      <c r="B459" s="15"/>
      <c r="C459" s="15"/>
      <c r="D459" s="15"/>
      <c r="E459" s="15"/>
      <c r="F459" s="15"/>
    </row>
    <row r="460" spans="1:6" ht="18" customHeight="1">
      <c r="A460" s="8"/>
      <c r="B460" s="15"/>
      <c r="C460" s="15"/>
      <c r="D460" s="15"/>
      <c r="E460" s="15"/>
      <c r="F460" s="15"/>
    </row>
    <row r="461" spans="1:6" ht="18" customHeight="1">
      <c r="A461" s="8"/>
      <c r="B461" s="15"/>
      <c r="C461" s="15"/>
      <c r="D461" s="15"/>
      <c r="E461" s="15"/>
      <c r="F461" s="15"/>
    </row>
    <row r="462" spans="1:6" ht="18" customHeight="1">
      <c r="A462" s="8"/>
      <c r="B462" s="15"/>
      <c r="C462" s="15"/>
      <c r="D462" s="15"/>
      <c r="E462" s="15"/>
      <c r="F462" s="15"/>
    </row>
    <row r="463" spans="1:6" ht="18" customHeight="1">
      <c r="A463" s="8"/>
      <c r="B463" s="15"/>
      <c r="C463" s="15"/>
      <c r="D463" s="15"/>
      <c r="E463" s="15"/>
      <c r="F463" s="15"/>
    </row>
    <row r="464" spans="1:6" ht="18" customHeight="1">
      <c r="A464" s="8"/>
      <c r="B464" s="15"/>
      <c r="C464" s="15"/>
      <c r="D464" s="15"/>
      <c r="E464" s="15"/>
      <c r="F464" s="15"/>
    </row>
    <row r="465" spans="1:6" ht="18" customHeight="1">
      <c r="A465" s="8"/>
      <c r="B465" s="15"/>
      <c r="C465" s="15"/>
      <c r="D465" s="15"/>
      <c r="E465" s="15"/>
      <c r="F465" s="15"/>
    </row>
    <row r="466" spans="1:6" ht="18" customHeight="1">
      <c r="A466" s="8"/>
      <c r="B466" s="15"/>
      <c r="C466" s="15"/>
      <c r="D466" s="15"/>
      <c r="E466" s="15"/>
      <c r="F466" s="15"/>
    </row>
    <row r="467" spans="1:6" ht="18" customHeight="1">
      <c r="A467" s="8"/>
      <c r="B467" s="15"/>
      <c r="C467" s="15"/>
      <c r="D467" s="15"/>
      <c r="E467" s="15"/>
      <c r="F467" s="15"/>
    </row>
    <row r="468" spans="1:6" ht="18" customHeight="1">
      <c r="A468" s="8"/>
      <c r="B468" s="15"/>
      <c r="C468" s="15"/>
      <c r="D468" s="15"/>
      <c r="E468" s="15"/>
      <c r="F468" s="15"/>
    </row>
    <row r="469" spans="1:6" ht="18" customHeight="1">
      <c r="A469" s="8"/>
      <c r="B469" s="15"/>
      <c r="C469" s="15"/>
      <c r="D469" s="15"/>
      <c r="E469" s="15"/>
      <c r="F469" s="15"/>
    </row>
    <row r="470" spans="1:6" ht="18" customHeight="1">
      <c r="A470" s="8"/>
      <c r="B470" s="15"/>
      <c r="C470" s="15"/>
      <c r="D470" s="15"/>
      <c r="E470" s="15"/>
      <c r="F470" s="15"/>
    </row>
    <row r="471" spans="1:6" ht="18" customHeight="1">
      <c r="A471" s="8"/>
      <c r="B471" s="15"/>
      <c r="C471" s="15"/>
      <c r="D471" s="15"/>
      <c r="E471" s="15"/>
      <c r="F471" s="15"/>
    </row>
    <row r="472" spans="1:6" ht="18" customHeight="1">
      <c r="A472" s="8"/>
      <c r="B472" s="15"/>
      <c r="C472" s="15"/>
      <c r="D472" s="15"/>
      <c r="E472" s="15"/>
      <c r="F472" s="15"/>
    </row>
    <row r="473" spans="1:6" ht="18" customHeight="1">
      <c r="A473" s="8"/>
      <c r="B473" s="15"/>
      <c r="C473" s="15"/>
      <c r="D473" s="15"/>
      <c r="E473" s="15"/>
      <c r="F473" s="15"/>
    </row>
    <row r="474" spans="1:6" ht="18" customHeight="1">
      <c r="A474" s="8"/>
      <c r="B474" s="15"/>
      <c r="C474" s="15"/>
      <c r="D474" s="15"/>
      <c r="E474" s="15"/>
      <c r="F474" s="15"/>
    </row>
    <row r="475" spans="1:6" ht="18" customHeight="1">
      <c r="A475" s="8"/>
      <c r="B475" s="15"/>
      <c r="C475" s="15"/>
      <c r="D475" s="15"/>
      <c r="E475" s="15"/>
      <c r="F475" s="15"/>
    </row>
    <row r="476" spans="1:6" ht="18" customHeight="1">
      <c r="A476" s="8"/>
      <c r="B476" s="15"/>
      <c r="C476" s="15"/>
      <c r="D476" s="15"/>
      <c r="E476" s="15"/>
      <c r="F476" s="15"/>
    </row>
    <row r="477" spans="1:6" ht="18" customHeight="1">
      <c r="A477" s="8"/>
      <c r="B477" s="15"/>
      <c r="C477" s="15"/>
      <c r="D477" s="15"/>
      <c r="E477" s="15"/>
      <c r="F477" s="15"/>
    </row>
    <row r="478" spans="1:6" ht="18" customHeight="1">
      <c r="A478" s="8"/>
      <c r="B478" s="15"/>
      <c r="C478" s="15"/>
      <c r="D478" s="15"/>
      <c r="E478" s="15"/>
      <c r="F478" s="15"/>
    </row>
    <row r="479" spans="1:6" ht="18" customHeight="1">
      <c r="A479" s="8"/>
      <c r="B479" s="15"/>
      <c r="C479" s="15"/>
      <c r="D479" s="15"/>
      <c r="E479" s="15"/>
      <c r="F479" s="15"/>
    </row>
    <row r="480" spans="1:6" ht="18" customHeight="1">
      <c r="A480" s="8"/>
      <c r="B480" s="15"/>
      <c r="C480" s="15"/>
      <c r="D480" s="15"/>
      <c r="E480" s="15"/>
      <c r="F480" s="15"/>
    </row>
    <row r="481" spans="1:6" ht="18" customHeight="1">
      <c r="A481" s="8"/>
      <c r="B481" s="15"/>
      <c r="C481" s="15"/>
      <c r="D481" s="15"/>
      <c r="E481" s="15"/>
      <c r="F481" s="15"/>
    </row>
    <row r="482" spans="1:6" ht="18" customHeight="1">
      <c r="A482" s="8"/>
      <c r="B482" s="15"/>
      <c r="C482" s="15"/>
      <c r="D482" s="15"/>
      <c r="E482" s="15"/>
      <c r="F482" s="15"/>
    </row>
    <row r="483" spans="1:6" ht="18" customHeight="1">
      <c r="A483" s="8"/>
      <c r="B483" s="15"/>
      <c r="C483" s="15"/>
      <c r="D483" s="15"/>
      <c r="E483" s="15"/>
      <c r="F483" s="15"/>
    </row>
    <row r="484" spans="1:6" ht="18" customHeight="1">
      <c r="A484" s="8"/>
      <c r="B484" s="15"/>
      <c r="C484" s="15"/>
      <c r="D484" s="15"/>
      <c r="E484" s="15"/>
      <c r="F484" s="15"/>
    </row>
    <row r="485" spans="1:6" ht="18" customHeight="1">
      <c r="A485" s="8"/>
      <c r="B485" s="15"/>
      <c r="C485" s="15"/>
      <c r="D485" s="15"/>
      <c r="E485" s="15"/>
      <c r="F485" s="15"/>
    </row>
    <row r="486" spans="1:6" ht="18" customHeight="1">
      <c r="A486" s="8"/>
      <c r="B486" s="15"/>
      <c r="C486" s="15"/>
      <c r="D486" s="15"/>
      <c r="E486" s="15"/>
      <c r="F486" s="15"/>
    </row>
    <row r="487" spans="1:6" ht="18" customHeight="1">
      <c r="A487" s="8"/>
      <c r="B487" s="15"/>
      <c r="C487" s="15"/>
      <c r="D487" s="15"/>
      <c r="E487" s="15"/>
      <c r="F487" s="15"/>
    </row>
    <row r="488" spans="1:6" ht="18" customHeight="1">
      <c r="A488" s="8"/>
      <c r="B488" s="15"/>
      <c r="C488" s="15"/>
      <c r="D488" s="15"/>
      <c r="E488" s="15"/>
      <c r="F488" s="15"/>
    </row>
    <row r="489" spans="1:6" ht="18" customHeight="1">
      <c r="A489" s="8"/>
      <c r="B489" s="15"/>
      <c r="C489" s="15"/>
      <c r="D489" s="15"/>
      <c r="E489" s="15"/>
      <c r="F489" s="15"/>
    </row>
    <row r="490" spans="1:6" ht="18" customHeight="1">
      <c r="A490" s="8"/>
      <c r="B490" s="15"/>
      <c r="C490" s="15"/>
      <c r="D490" s="15"/>
      <c r="E490" s="15"/>
      <c r="F490" s="15"/>
    </row>
    <row r="491" spans="1:6" ht="18" customHeight="1">
      <c r="A491" s="8"/>
      <c r="B491" s="15"/>
      <c r="C491" s="15"/>
      <c r="D491" s="15"/>
      <c r="E491" s="15"/>
      <c r="F491" s="15"/>
    </row>
    <row r="492" spans="1:6" ht="18" customHeight="1">
      <c r="A492" s="8"/>
      <c r="B492" s="15"/>
      <c r="C492" s="15"/>
      <c r="D492" s="15"/>
      <c r="E492" s="15"/>
      <c r="F492" s="15"/>
    </row>
    <row r="493" spans="1:6" ht="18" customHeight="1">
      <c r="A493" s="8"/>
      <c r="B493" s="15"/>
      <c r="C493" s="15"/>
      <c r="D493" s="15"/>
      <c r="E493" s="15"/>
      <c r="F493" s="15"/>
    </row>
    <row r="494" spans="1:6" ht="18" customHeight="1">
      <c r="A494" s="8"/>
      <c r="B494" s="15"/>
      <c r="C494" s="15"/>
      <c r="D494" s="15"/>
      <c r="E494" s="15"/>
      <c r="F494" s="15"/>
    </row>
    <row r="495" spans="1:6" ht="18" customHeight="1">
      <c r="A495" s="8"/>
      <c r="B495" s="15"/>
      <c r="C495" s="15"/>
      <c r="D495" s="15"/>
      <c r="E495" s="15"/>
      <c r="F495" s="15"/>
    </row>
    <row r="496" spans="1:6" ht="18" customHeight="1">
      <c r="A496" s="8"/>
      <c r="B496" s="15"/>
      <c r="C496" s="15"/>
      <c r="D496" s="15"/>
      <c r="E496" s="15"/>
      <c r="F496" s="15"/>
    </row>
    <row r="497" spans="1:6" ht="18" customHeight="1">
      <c r="A497" s="8"/>
      <c r="B497" s="15"/>
      <c r="C497" s="15"/>
      <c r="D497" s="15"/>
      <c r="E497" s="15"/>
      <c r="F497" s="15"/>
    </row>
    <row r="498" spans="1:6" ht="18" customHeight="1">
      <c r="A498" s="8"/>
      <c r="B498" s="15"/>
      <c r="C498" s="15"/>
      <c r="D498" s="15"/>
      <c r="E498" s="15"/>
      <c r="F498" s="15"/>
    </row>
    <row r="499" spans="1:6" ht="18" customHeight="1">
      <c r="A499" s="8"/>
      <c r="B499" s="15"/>
      <c r="C499" s="15"/>
      <c r="D499" s="15"/>
      <c r="E499" s="15"/>
      <c r="F499" s="15"/>
    </row>
    <row r="500" spans="1:6" ht="18" customHeight="1">
      <c r="A500" s="8"/>
      <c r="B500" s="15"/>
      <c r="C500" s="15"/>
      <c r="D500" s="15"/>
      <c r="E500" s="15"/>
      <c r="F500" s="15"/>
    </row>
    <row r="501" spans="1:6" ht="18" customHeight="1">
      <c r="A501" s="8"/>
      <c r="B501" s="15"/>
      <c r="C501" s="15"/>
      <c r="D501" s="15"/>
      <c r="E501" s="15"/>
      <c r="F501" s="15"/>
    </row>
    <row r="502" spans="1:6" ht="18" customHeight="1">
      <c r="A502" s="8"/>
      <c r="B502" s="15"/>
      <c r="C502" s="15"/>
      <c r="D502" s="15"/>
      <c r="E502" s="15"/>
      <c r="F502" s="15"/>
    </row>
    <row r="503" spans="1:6" ht="18" customHeight="1">
      <c r="A503" s="8"/>
      <c r="B503" s="15"/>
      <c r="C503" s="15"/>
      <c r="D503" s="15"/>
      <c r="E503" s="15"/>
      <c r="F503" s="15"/>
    </row>
    <row r="504" spans="1:6" ht="18" customHeight="1">
      <c r="A504" s="8"/>
      <c r="B504" s="15"/>
      <c r="C504" s="15"/>
      <c r="D504" s="15"/>
      <c r="E504" s="15"/>
      <c r="F504" s="15"/>
    </row>
    <row r="505" spans="1:6" ht="18" customHeight="1">
      <c r="A505" s="8"/>
      <c r="B505" s="15"/>
      <c r="C505" s="15"/>
      <c r="D505" s="15"/>
      <c r="E505" s="15"/>
      <c r="F505" s="15"/>
    </row>
    <row r="506" spans="1:6" ht="18" customHeight="1">
      <c r="A506" s="8"/>
      <c r="B506" s="15"/>
      <c r="C506" s="15"/>
      <c r="D506" s="15"/>
      <c r="E506" s="15"/>
      <c r="F506" s="15"/>
    </row>
    <row r="507" spans="1:6" ht="18" customHeight="1">
      <c r="A507" s="8"/>
      <c r="B507" s="15"/>
      <c r="C507" s="15"/>
      <c r="D507" s="15"/>
      <c r="E507" s="15"/>
      <c r="F507" s="15"/>
    </row>
    <row r="508" spans="1:6" ht="18" customHeight="1">
      <c r="A508" s="8"/>
      <c r="B508" s="15"/>
      <c r="C508" s="15"/>
      <c r="D508" s="15"/>
      <c r="E508" s="15"/>
      <c r="F508" s="15"/>
    </row>
    <row r="509" spans="1:6" ht="18" customHeight="1">
      <c r="A509" s="8"/>
      <c r="B509" s="15"/>
      <c r="C509" s="15"/>
      <c r="D509" s="15"/>
      <c r="E509" s="15"/>
      <c r="F509" s="15"/>
    </row>
    <row r="510" spans="1:6" ht="18" customHeight="1">
      <c r="A510" s="8"/>
      <c r="B510" s="15"/>
      <c r="C510" s="15"/>
      <c r="D510" s="15"/>
      <c r="E510" s="15"/>
      <c r="F510" s="15"/>
    </row>
    <row r="511" spans="1:6" ht="18" customHeight="1">
      <c r="A511" s="8"/>
      <c r="B511" s="15"/>
      <c r="C511" s="15"/>
      <c r="D511" s="15"/>
      <c r="E511" s="15"/>
      <c r="F511" s="15"/>
    </row>
    <row r="512" spans="1:6" ht="18" customHeight="1">
      <c r="A512" s="8"/>
      <c r="B512" s="15"/>
      <c r="C512" s="15"/>
      <c r="D512" s="15"/>
      <c r="E512" s="15"/>
      <c r="F512" s="15"/>
    </row>
    <row r="513" spans="1:6" ht="18" customHeight="1">
      <c r="A513" s="8"/>
      <c r="B513" s="15"/>
      <c r="C513" s="15"/>
      <c r="D513" s="15"/>
      <c r="E513" s="15"/>
      <c r="F513" s="15"/>
    </row>
    <row r="514" spans="1:6" ht="18" customHeight="1">
      <c r="A514" s="8"/>
      <c r="B514" s="15"/>
      <c r="C514" s="15"/>
      <c r="D514" s="15"/>
      <c r="E514" s="15"/>
      <c r="F514" s="15"/>
    </row>
    <row r="515" spans="1:6" ht="18" customHeight="1">
      <c r="A515" s="8"/>
      <c r="B515" s="15"/>
      <c r="C515" s="15"/>
      <c r="D515" s="15"/>
      <c r="E515" s="15"/>
      <c r="F515" s="15"/>
    </row>
    <row r="516" spans="1:6" ht="18" customHeight="1">
      <c r="A516" s="8"/>
      <c r="B516" s="15"/>
      <c r="C516" s="15"/>
      <c r="D516" s="15"/>
      <c r="E516" s="15"/>
      <c r="F516" s="15"/>
    </row>
    <row r="517" spans="1:6" ht="18" customHeight="1">
      <c r="A517" s="8"/>
      <c r="B517" s="15"/>
      <c r="C517" s="15"/>
      <c r="D517" s="15"/>
      <c r="E517" s="15"/>
      <c r="F517" s="15"/>
    </row>
    <row r="518" spans="1:6" ht="18" customHeight="1">
      <c r="A518" s="8"/>
      <c r="B518" s="15"/>
      <c r="C518" s="15"/>
      <c r="D518" s="15"/>
      <c r="E518" s="15"/>
      <c r="F518" s="15"/>
    </row>
    <row r="519" spans="1:6" ht="18" customHeight="1">
      <c r="A519" s="8"/>
      <c r="B519" s="15"/>
      <c r="C519" s="15"/>
      <c r="D519" s="15"/>
      <c r="E519" s="15"/>
      <c r="F519" s="15"/>
    </row>
    <row r="520" spans="1:6" ht="18" customHeight="1">
      <c r="A520" s="8"/>
      <c r="B520" s="15"/>
      <c r="C520" s="15"/>
      <c r="D520" s="15"/>
      <c r="E520" s="15"/>
      <c r="F520" s="15"/>
    </row>
    <row r="521" spans="1:6" ht="18" customHeight="1">
      <c r="A521" s="8"/>
      <c r="B521" s="15"/>
      <c r="C521" s="15"/>
      <c r="D521" s="15"/>
      <c r="E521" s="15"/>
      <c r="F521" s="15"/>
    </row>
    <row r="522" spans="1:6" ht="18" customHeight="1">
      <c r="A522" s="8"/>
      <c r="B522" s="15"/>
      <c r="C522" s="15"/>
      <c r="D522" s="15"/>
      <c r="E522" s="15"/>
      <c r="F522" s="15"/>
    </row>
    <row r="523" spans="1:6" ht="18" customHeight="1">
      <c r="A523" s="8"/>
      <c r="B523" s="15"/>
      <c r="C523" s="15"/>
      <c r="D523" s="15"/>
      <c r="E523" s="15"/>
      <c r="F523" s="15"/>
    </row>
    <row r="524" spans="1:6" ht="18" customHeight="1">
      <c r="A524" s="8"/>
      <c r="B524" s="15"/>
      <c r="C524" s="15"/>
      <c r="D524" s="15"/>
      <c r="E524" s="15"/>
      <c r="F524" s="15"/>
    </row>
    <row r="525" spans="1:6" ht="18" customHeight="1">
      <c r="A525" s="8"/>
      <c r="B525" s="15"/>
      <c r="C525" s="15"/>
      <c r="D525" s="15"/>
      <c r="E525" s="15"/>
      <c r="F525" s="15"/>
    </row>
    <row r="526" spans="1:6" ht="18" customHeight="1">
      <c r="A526" s="8"/>
      <c r="B526" s="15"/>
      <c r="C526" s="15"/>
      <c r="D526" s="15"/>
      <c r="E526" s="15"/>
      <c r="F526" s="15"/>
    </row>
    <row r="527" spans="1:6" ht="18" customHeight="1">
      <c r="A527" s="8"/>
      <c r="B527" s="15"/>
      <c r="C527" s="15"/>
      <c r="D527" s="15"/>
      <c r="E527" s="15"/>
      <c r="F527" s="15"/>
    </row>
    <row r="528" spans="1:6" ht="18" customHeight="1">
      <c r="A528" s="8"/>
      <c r="B528" s="15"/>
      <c r="C528" s="15"/>
      <c r="D528" s="15"/>
      <c r="E528" s="15"/>
      <c r="F528" s="15"/>
    </row>
    <row r="529" spans="1:6" ht="18" customHeight="1">
      <c r="A529" s="8"/>
      <c r="B529" s="15"/>
      <c r="C529" s="15"/>
      <c r="D529" s="15"/>
      <c r="E529" s="15"/>
      <c r="F529" s="15"/>
    </row>
    <row r="530" spans="1:6" ht="18" customHeight="1">
      <c r="A530" s="8"/>
      <c r="B530" s="15"/>
      <c r="C530" s="15"/>
      <c r="D530" s="15"/>
      <c r="E530" s="15"/>
      <c r="F530" s="15"/>
    </row>
    <row r="531" spans="1:6" ht="18" customHeight="1">
      <c r="A531" s="8"/>
      <c r="B531" s="15"/>
      <c r="C531" s="15"/>
      <c r="D531" s="15"/>
      <c r="E531" s="15"/>
      <c r="F531" s="15"/>
    </row>
    <row r="532" spans="1:6" ht="18" customHeight="1">
      <c r="A532" s="8"/>
      <c r="B532" s="15"/>
      <c r="C532" s="15"/>
      <c r="D532" s="15"/>
      <c r="E532" s="15"/>
      <c r="F532" s="15"/>
    </row>
    <row r="533" spans="1:6" ht="18" customHeight="1">
      <c r="A533" s="8"/>
      <c r="B533" s="15"/>
      <c r="C533" s="15"/>
      <c r="D533" s="15"/>
      <c r="E533" s="15"/>
      <c r="F533" s="15"/>
    </row>
    <row r="534" spans="1:6" ht="18" customHeight="1">
      <c r="A534" s="8"/>
      <c r="B534" s="15"/>
      <c r="C534" s="15"/>
      <c r="D534" s="15"/>
      <c r="E534" s="15"/>
      <c r="F534" s="15"/>
    </row>
    <row r="535" spans="1:6" ht="18" customHeight="1">
      <c r="A535" s="8"/>
      <c r="B535" s="15"/>
      <c r="C535" s="15"/>
      <c r="D535" s="15"/>
      <c r="E535" s="15"/>
      <c r="F535" s="15"/>
    </row>
    <row r="536" spans="1:6" ht="18" customHeight="1">
      <c r="A536" s="8"/>
      <c r="B536" s="15"/>
      <c r="C536" s="15"/>
      <c r="D536" s="15"/>
      <c r="E536" s="15"/>
      <c r="F536" s="15"/>
    </row>
    <row r="537" spans="1:6" ht="18" customHeight="1">
      <c r="A537" s="8"/>
      <c r="B537" s="15"/>
      <c r="C537" s="15"/>
      <c r="D537" s="15"/>
      <c r="E537" s="15"/>
      <c r="F537" s="15"/>
    </row>
    <row r="538" spans="1:6" ht="18" customHeight="1">
      <c r="A538" s="8"/>
      <c r="B538" s="15"/>
      <c r="C538" s="15"/>
      <c r="D538" s="15"/>
      <c r="E538" s="15"/>
      <c r="F538" s="15"/>
    </row>
    <row r="539" spans="1:6" ht="18" customHeight="1">
      <c r="A539" s="8"/>
      <c r="B539" s="15"/>
      <c r="C539" s="15"/>
      <c r="D539" s="15"/>
      <c r="E539" s="15"/>
      <c r="F539" s="15"/>
    </row>
    <row r="540" spans="1:6" ht="18" customHeight="1">
      <c r="A540" s="8"/>
      <c r="B540" s="15"/>
      <c r="C540" s="15"/>
      <c r="D540" s="15"/>
      <c r="E540" s="15"/>
      <c r="F540" s="15"/>
    </row>
    <row r="541" spans="1:6" ht="18" customHeight="1">
      <c r="A541" s="8"/>
      <c r="B541" s="15"/>
      <c r="C541" s="15"/>
      <c r="D541" s="15"/>
      <c r="E541" s="15"/>
      <c r="F541" s="15"/>
    </row>
    <row r="542" spans="1:6" ht="18" customHeight="1">
      <c r="A542" s="8"/>
      <c r="B542" s="15"/>
      <c r="C542" s="15"/>
      <c r="D542" s="15"/>
      <c r="E542" s="15"/>
      <c r="F542" s="15"/>
    </row>
    <row r="543" spans="1:6" ht="18" customHeight="1">
      <c r="A543" s="8"/>
      <c r="B543" s="15"/>
      <c r="C543" s="15"/>
      <c r="D543" s="15"/>
      <c r="E543" s="15"/>
      <c r="F543" s="15"/>
    </row>
    <row r="544" spans="1:6" ht="18" customHeight="1">
      <c r="A544" s="8"/>
      <c r="B544" s="15"/>
      <c r="C544" s="15"/>
      <c r="D544" s="15"/>
      <c r="E544" s="15"/>
      <c r="F544" s="15"/>
    </row>
    <row r="545" spans="1:6" ht="18" customHeight="1">
      <c r="A545" s="8"/>
      <c r="B545" s="15"/>
      <c r="C545" s="15"/>
      <c r="D545" s="15"/>
      <c r="E545" s="15"/>
      <c r="F545" s="15"/>
    </row>
    <row r="546" spans="1:6" ht="18" customHeight="1">
      <c r="A546" s="8"/>
      <c r="B546" s="15"/>
      <c r="C546" s="15"/>
      <c r="D546" s="15"/>
      <c r="E546" s="15"/>
      <c r="F546" s="15"/>
    </row>
    <row r="547" spans="1:6" ht="18" customHeight="1">
      <c r="A547" s="8"/>
      <c r="B547" s="15"/>
      <c r="C547" s="15"/>
      <c r="D547" s="15"/>
      <c r="E547" s="15"/>
      <c r="F547" s="15"/>
    </row>
    <row r="548" spans="1:6" ht="18" customHeight="1">
      <c r="A548" s="8"/>
      <c r="B548" s="15"/>
      <c r="C548" s="15"/>
      <c r="D548" s="15"/>
      <c r="E548" s="15"/>
      <c r="F548" s="15"/>
    </row>
    <row r="549" spans="1:6" ht="18" customHeight="1">
      <c r="A549" s="8"/>
      <c r="B549" s="15"/>
      <c r="C549" s="15"/>
      <c r="D549" s="15"/>
      <c r="E549" s="15"/>
      <c r="F549" s="15"/>
    </row>
    <row r="550" spans="1:6" ht="18" customHeight="1">
      <c r="A550" s="8"/>
      <c r="B550" s="15"/>
      <c r="C550" s="15"/>
      <c r="D550" s="15"/>
      <c r="E550" s="15"/>
      <c r="F550" s="15"/>
    </row>
    <row r="551" spans="1:6" ht="18" customHeight="1">
      <c r="A551" s="8"/>
      <c r="B551" s="15"/>
      <c r="C551" s="15"/>
      <c r="D551" s="15"/>
      <c r="E551" s="15"/>
      <c r="F551" s="15"/>
    </row>
    <row r="552" spans="1:6" ht="18" customHeight="1">
      <c r="A552" s="8"/>
      <c r="B552" s="15"/>
      <c r="C552" s="15"/>
      <c r="D552" s="15"/>
      <c r="E552" s="15"/>
      <c r="F552" s="15"/>
    </row>
    <row r="553" spans="1:6" ht="18" customHeight="1">
      <c r="A553" s="8"/>
      <c r="B553" s="15"/>
      <c r="C553" s="15"/>
      <c r="D553" s="15"/>
      <c r="E553" s="15"/>
      <c r="F553" s="15"/>
    </row>
    <row r="554" spans="1:6" ht="18" customHeight="1">
      <c r="A554" s="8"/>
      <c r="B554" s="15"/>
      <c r="C554" s="15"/>
      <c r="D554" s="15"/>
      <c r="E554" s="15"/>
      <c r="F554" s="15"/>
    </row>
    <row r="555" spans="1:6" ht="18" customHeight="1">
      <c r="A555" s="8"/>
      <c r="B555" s="15"/>
      <c r="C555" s="15"/>
      <c r="D555" s="15"/>
      <c r="E555" s="15"/>
      <c r="F555" s="15"/>
    </row>
    <row r="556" spans="1:6" ht="18" customHeight="1">
      <c r="A556" s="8"/>
      <c r="B556" s="15"/>
      <c r="C556" s="15"/>
      <c r="D556" s="15"/>
      <c r="E556" s="15"/>
      <c r="F556" s="15"/>
    </row>
    <row r="557" spans="1:6" ht="18" customHeight="1">
      <c r="A557" s="8"/>
      <c r="B557" s="15"/>
      <c r="C557" s="15"/>
      <c r="D557" s="15"/>
      <c r="E557" s="15"/>
      <c r="F557" s="15"/>
    </row>
    <row r="558" spans="1:6" ht="18" customHeight="1">
      <c r="A558" s="8" t="s">
        <v>67</v>
      </c>
      <c r="B558" s="15" t="s">
        <v>47</v>
      </c>
      <c r="C558" s="15"/>
      <c r="D558" s="15"/>
      <c r="E558" s="15"/>
      <c r="F558" s="15"/>
    </row>
    <row r="559" spans="1:6" ht="22.5" customHeight="1">
      <c r="A559" s="8" t="s">
        <v>91</v>
      </c>
      <c r="B559" s="15" t="s">
        <v>49</v>
      </c>
      <c r="C559" s="15"/>
      <c r="D559" s="15"/>
      <c r="E559" s="15"/>
      <c r="F559" s="15"/>
    </row>
    <row r="560" spans="1:6" ht="15" customHeight="1">
      <c r="A560" s="15" t="s">
        <v>92</v>
      </c>
      <c r="B560" s="15"/>
      <c r="C560" s="15"/>
      <c r="D560" s="15"/>
      <c r="E560" s="15"/>
      <c r="F560" s="15"/>
    </row>
    <row r="561" spans="1:6" ht="25.5" customHeight="1">
      <c r="A561" s="8" t="s">
        <v>68</v>
      </c>
      <c r="B561" s="15" t="s">
        <v>160</v>
      </c>
      <c r="C561" s="15"/>
      <c r="D561" s="15"/>
      <c r="E561" s="15"/>
      <c r="F561" s="15"/>
    </row>
    <row r="562" spans="1:6" ht="15" customHeight="1">
      <c r="A562" s="8" t="s">
        <v>69</v>
      </c>
      <c r="B562" s="15" t="s">
        <v>38</v>
      </c>
      <c r="C562" s="15"/>
      <c r="D562" s="15"/>
      <c r="E562" s="15"/>
      <c r="F562" s="15"/>
    </row>
    <row r="563" spans="1:6" ht="15" customHeight="1">
      <c r="A563" s="8" t="s">
        <v>70</v>
      </c>
      <c r="B563" s="15" t="s">
        <v>39</v>
      </c>
      <c r="C563" s="15"/>
      <c r="D563" s="15"/>
      <c r="E563" s="15"/>
      <c r="F563" s="15"/>
    </row>
    <row r="564" spans="1:6" ht="15" customHeight="1">
      <c r="A564" s="8" t="s">
        <v>71</v>
      </c>
      <c r="B564" s="15" t="s">
        <v>40</v>
      </c>
      <c r="C564" s="15"/>
      <c r="D564" s="15"/>
      <c r="E564" s="15"/>
      <c r="F564" s="15"/>
    </row>
    <row r="565" spans="1:6" ht="8.25" customHeight="1">
      <c r="A565" s="18"/>
      <c r="B565" s="18"/>
      <c r="C565" s="18"/>
      <c r="D565" s="18"/>
      <c r="E565" s="18"/>
      <c r="F565" s="18"/>
    </row>
    <row r="566" spans="1:6" ht="20.25" customHeight="1">
      <c r="A566" s="20" t="s">
        <v>11</v>
      </c>
      <c r="B566" s="20"/>
      <c r="C566" s="20"/>
      <c r="D566" s="20"/>
      <c r="E566" s="20"/>
      <c r="F566" s="20"/>
    </row>
    <row r="567" spans="1:6" ht="18" customHeight="1">
      <c r="A567" s="8" t="s">
        <v>93</v>
      </c>
      <c r="B567" s="15"/>
      <c r="C567" s="15"/>
      <c r="D567" s="15"/>
      <c r="E567" s="15"/>
      <c r="F567" s="15"/>
    </row>
    <row r="568" spans="1:6" ht="18" customHeight="1">
      <c r="A568" s="8" t="s">
        <v>72</v>
      </c>
      <c r="B568" s="15" t="s">
        <v>29</v>
      </c>
      <c r="C568" s="15"/>
      <c r="D568" s="15"/>
      <c r="E568" s="15"/>
      <c r="F568" s="15"/>
    </row>
    <row r="569" spans="1:6" ht="18" customHeight="1">
      <c r="A569" s="8" t="s">
        <v>73</v>
      </c>
      <c r="B569" s="15" t="s">
        <v>185</v>
      </c>
      <c r="C569" s="15"/>
      <c r="D569" s="15"/>
      <c r="E569" s="15"/>
      <c r="F569" s="15"/>
    </row>
    <row r="570" spans="1:6" ht="18" customHeight="1">
      <c r="A570" s="8" t="s">
        <v>94</v>
      </c>
      <c r="B570" s="15" t="s">
        <v>34</v>
      </c>
      <c r="C570" s="15"/>
      <c r="D570" s="15"/>
      <c r="E570" s="15"/>
      <c r="F570" s="15"/>
    </row>
    <row r="571" spans="1:6" ht="18" customHeight="1">
      <c r="A571" s="8" t="s">
        <v>95</v>
      </c>
      <c r="B571" s="15" t="s">
        <v>26</v>
      </c>
      <c r="C571" s="15"/>
      <c r="D571" s="15"/>
      <c r="E571" s="15"/>
      <c r="F571" s="15"/>
    </row>
    <row r="572" spans="1:6" ht="18" customHeight="1">
      <c r="A572" s="8" t="s">
        <v>96</v>
      </c>
      <c r="B572" s="15" t="s">
        <v>26</v>
      </c>
      <c r="C572" s="15"/>
      <c r="D572" s="15"/>
      <c r="E572" s="15"/>
      <c r="F572" s="15"/>
    </row>
    <row r="573" spans="1:6" ht="18" customHeight="1">
      <c r="A573" s="8" t="s">
        <v>97</v>
      </c>
      <c r="B573" s="15" t="s">
        <v>26</v>
      </c>
      <c r="C573" s="15"/>
      <c r="D573" s="15"/>
      <c r="E573" s="15"/>
      <c r="F573" s="15"/>
    </row>
    <row r="574" spans="1:6" ht="18" customHeight="1">
      <c r="A574" s="8" t="s">
        <v>98</v>
      </c>
      <c r="B574" s="15" t="s">
        <v>26</v>
      </c>
      <c r="C574" s="15"/>
      <c r="D574" s="15"/>
      <c r="E574" s="15"/>
      <c r="F574" s="15"/>
    </row>
    <row r="575" spans="1:6" ht="18" customHeight="1">
      <c r="A575" s="8" t="s">
        <v>99</v>
      </c>
      <c r="B575" s="15" t="s">
        <v>204</v>
      </c>
      <c r="C575" s="15"/>
      <c r="D575" s="15"/>
      <c r="E575" s="15"/>
      <c r="F575" s="15"/>
    </row>
    <row r="576" spans="1:6" ht="18" customHeight="1">
      <c r="A576" s="8" t="s">
        <v>100</v>
      </c>
      <c r="B576" s="15" t="s">
        <v>23</v>
      </c>
      <c r="C576" s="15"/>
      <c r="D576" s="15"/>
      <c r="E576" s="15"/>
      <c r="F576" s="15"/>
    </row>
    <row r="577" spans="1:9" ht="18" customHeight="1">
      <c r="A577" s="8" t="s">
        <v>101</v>
      </c>
      <c r="B577" s="15" t="s">
        <v>47</v>
      </c>
      <c r="C577" s="15"/>
      <c r="D577" s="15"/>
      <c r="E577" s="15"/>
      <c r="F577" s="15"/>
    </row>
    <row r="578" spans="1:9" ht="18" customHeight="1">
      <c r="A578" s="8" t="s">
        <v>102</v>
      </c>
      <c r="B578" s="15" t="s">
        <v>26</v>
      </c>
      <c r="C578" s="15"/>
      <c r="D578" s="15"/>
      <c r="E578" s="15"/>
      <c r="F578" s="15"/>
    </row>
    <row r="579" spans="1:9" ht="18" customHeight="1">
      <c r="A579" s="8" t="s">
        <v>103</v>
      </c>
      <c r="B579" s="15" t="s">
        <v>26</v>
      </c>
      <c r="C579" s="15"/>
      <c r="D579" s="15"/>
      <c r="E579" s="15"/>
      <c r="F579" s="15"/>
    </row>
    <row r="580" spans="1:9" ht="18" customHeight="1">
      <c r="A580" s="8" t="s">
        <v>104</v>
      </c>
      <c r="B580" s="15" t="s">
        <v>30</v>
      </c>
      <c r="C580" s="15"/>
      <c r="D580" s="15"/>
      <c r="E580" s="15"/>
      <c r="F580" s="15"/>
      <c r="G580" s="11"/>
      <c r="H580" s="11"/>
      <c r="I580" s="11"/>
    </row>
    <row r="581" spans="1:9" ht="18" customHeight="1">
      <c r="A581" s="8" t="s">
        <v>105</v>
      </c>
      <c r="B581" s="15" t="s">
        <v>26</v>
      </c>
      <c r="C581" s="15"/>
      <c r="D581" s="15"/>
      <c r="E581" s="15"/>
      <c r="F581" s="15"/>
    </row>
    <row r="582" spans="1:9" ht="18" customHeight="1">
      <c r="A582" s="8" t="s">
        <v>106</v>
      </c>
      <c r="B582" s="15" t="s">
        <v>205</v>
      </c>
      <c r="C582" s="15"/>
      <c r="D582" s="15"/>
      <c r="E582" s="15"/>
      <c r="F582" s="15"/>
    </row>
    <row r="583" spans="1:9" ht="18" customHeight="1">
      <c r="A583" s="8" t="s">
        <v>107</v>
      </c>
      <c r="B583" s="15" t="s">
        <v>23</v>
      </c>
      <c r="C583" s="15"/>
      <c r="D583" s="15"/>
      <c r="E583" s="15"/>
      <c r="F583" s="15"/>
    </row>
    <row r="584" spans="1:9" ht="18" customHeight="1">
      <c r="A584" s="8" t="s">
        <v>108</v>
      </c>
      <c r="B584" s="15" t="s">
        <v>26</v>
      </c>
      <c r="C584" s="15"/>
      <c r="D584" s="15"/>
      <c r="E584" s="15"/>
      <c r="F584" s="15"/>
    </row>
    <row r="585" spans="1:9" ht="18" customHeight="1">
      <c r="A585" s="8" t="s">
        <v>109</v>
      </c>
      <c r="B585" s="15" t="s">
        <v>23</v>
      </c>
      <c r="C585" s="15"/>
      <c r="D585" s="15"/>
      <c r="E585" s="15"/>
      <c r="F585" s="15"/>
    </row>
    <row r="586" spans="1:9" ht="18" customHeight="1">
      <c r="A586" s="8" t="s">
        <v>110</v>
      </c>
      <c r="B586" s="15" t="s">
        <v>26</v>
      </c>
      <c r="C586" s="15"/>
      <c r="D586" s="15"/>
      <c r="E586" s="15"/>
      <c r="F586" s="15"/>
    </row>
    <row r="587" spans="1:9" ht="18" customHeight="1">
      <c r="A587" s="8" t="s">
        <v>111</v>
      </c>
      <c r="B587" s="15" t="s">
        <v>26</v>
      </c>
      <c r="C587" s="15"/>
      <c r="D587" s="15"/>
      <c r="E587" s="15"/>
      <c r="F587" s="15"/>
    </row>
    <row r="588" spans="1:9" ht="18" customHeight="1">
      <c r="A588" s="8" t="s">
        <v>112</v>
      </c>
      <c r="B588" s="15" t="s">
        <v>206</v>
      </c>
      <c r="C588" s="15"/>
      <c r="D588" s="15"/>
      <c r="E588" s="15"/>
      <c r="F588" s="15"/>
    </row>
    <row r="589" spans="1:9" ht="8.25" customHeight="1">
      <c r="A589" s="18"/>
      <c r="B589" s="18"/>
      <c r="C589" s="18"/>
      <c r="D589" s="18"/>
      <c r="E589" s="18"/>
      <c r="F589" s="18"/>
    </row>
    <row r="590" spans="1:9" ht="20.25" customHeight="1">
      <c r="A590" s="21" t="s">
        <v>12</v>
      </c>
      <c r="B590" s="21"/>
      <c r="C590" s="21"/>
      <c r="D590" s="21"/>
      <c r="E590" s="21"/>
      <c r="F590" s="21"/>
    </row>
    <row r="591" spans="1:9" ht="76.5" customHeight="1">
      <c r="A591" s="8" t="s">
        <v>113</v>
      </c>
      <c r="B591" s="15" t="s">
        <v>45</v>
      </c>
      <c r="C591" s="15"/>
      <c r="D591" s="15"/>
      <c r="E591" s="15"/>
      <c r="F591" s="15"/>
    </row>
    <row r="592" spans="1:9" ht="18" customHeight="1">
      <c r="A592" s="8" t="s">
        <v>114</v>
      </c>
      <c r="B592" s="15" t="s">
        <v>41</v>
      </c>
      <c r="C592" s="15"/>
      <c r="D592" s="15"/>
      <c r="E592" s="15"/>
      <c r="F592" s="15"/>
    </row>
    <row r="593" spans="1:6" ht="18" customHeight="1">
      <c r="A593" s="8" t="s">
        <v>115</v>
      </c>
      <c r="B593" s="15" t="s">
        <v>35</v>
      </c>
      <c r="C593" s="15"/>
      <c r="D593" s="15"/>
      <c r="E593" s="15"/>
      <c r="F593" s="15"/>
    </row>
    <row r="594" spans="1:6" ht="42.75" customHeight="1">
      <c r="A594" s="8" t="s">
        <v>116</v>
      </c>
      <c r="B594" s="15" t="s">
        <v>46</v>
      </c>
      <c r="C594" s="15"/>
      <c r="D594" s="15"/>
      <c r="E594" s="15"/>
      <c r="F594" s="15"/>
    </row>
    <row r="595" spans="1:6" ht="8.25" customHeight="1">
      <c r="A595" s="18"/>
      <c r="B595" s="18"/>
      <c r="C595" s="18"/>
      <c r="D595" s="18"/>
      <c r="E595" s="18"/>
      <c r="F595" s="18"/>
    </row>
    <row r="596" spans="1:6" ht="21" customHeight="1">
      <c r="A596" s="10" t="s">
        <v>13</v>
      </c>
      <c r="B596" s="19"/>
      <c r="C596" s="19"/>
      <c r="D596" s="7"/>
      <c r="E596" s="7"/>
      <c r="F596" s="7"/>
    </row>
    <row r="597" spans="1:6" ht="18" customHeight="1">
      <c r="A597" s="8" t="s">
        <v>117</v>
      </c>
      <c r="B597" s="15" t="s">
        <v>1</v>
      </c>
      <c r="C597" s="15"/>
      <c r="D597" s="15"/>
      <c r="E597" s="15"/>
      <c r="F597" s="15"/>
    </row>
    <row r="598" spans="1:6" ht="18" customHeight="1">
      <c r="A598" s="8" t="s">
        <v>118</v>
      </c>
      <c r="B598" s="15"/>
      <c r="C598" s="15"/>
      <c r="D598" s="15"/>
      <c r="E598" s="15"/>
      <c r="F598" s="15"/>
    </row>
    <row r="599" spans="1:6" ht="18" customHeight="1">
      <c r="A599" s="8" t="s">
        <v>74</v>
      </c>
      <c r="B599" s="15"/>
      <c r="C599" s="15"/>
      <c r="D599" s="15"/>
      <c r="E599" s="15"/>
      <c r="F599" s="15"/>
    </row>
    <row r="600" spans="1:6" ht="18" customHeight="1">
      <c r="A600" s="15" t="s">
        <v>50</v>
      </c>
      <c r="B600" s="15"/>
      <c r="C600" s="15"/>
      <c r="D600" s="15"/>
      <c r="E600" s="15"/>
      <c r="F600" s="15"/>
    </row>
    <row r="601" spans="1:6" ht="24" customHeight="1">
      <c r="A601" s="12" t="e">
        <f>A133</f>
        <v>#N/A</v>
      </c>
      <c r="B601" s="15" t="e">
        <f>VLOOKUP(D166,[1]국문!$1:$10000,6,0)</f>
        <v>#N/A</v>
      </c>
      <c r="C601" s="15"/>
      <c r="D601" s="15"/>
      <c r="E601" s="15"/>
      <c r="F601" s="15"/>
    </row>
    <row r="602" spans="1:6" ht="24" customHeight="1">
      <c r="A602" s="12" t="e">
        <f t="shared" ref="A602:A665" si="0">A134</f>
        <v>#N/A</v>
      </c>
      <c r="B602" s="15" t="e">
        <f>VLOOKUP(D167,[1]국문!$1:$10000,6,0)</f>
        <v>#N/A</v>
      </c>
      <c r="C602" s="15"/>
      <c r="D602" s="15"/>
      <c r="E602" s="15"/>
      <c r="F602" s="15"/>
    </row>
    <row r="603" spans="1:6" ht="24" customHeight="1">
      <c r="A603" s="12" t="e">
        <f t="shared" si="0"/>
        <v>#N/A</v>
      </c>
      <c r="B603" s="15" t="e">
        <f>VLOOKUP(D168,[1]국문!$1:$10000,6,0)</f>
        <v>#N/A</v>
      </c>
      <c r="C603" s="15"/>
      <c r="D603" s="15"/>
      <c r="E603" s="15"/>
      <c r="F603" s="15"/>
    </row>
    <row r="604" spans="1:6" ht="24" customHeight="1">
      <c r="A604" s="12" t="e">
        <f t="shared" si="0"/>
        <v>#N/A</v>
      </c>
      <c r="B604" s="15" t="e">
        <f>VLOOKUP(D169,[1]국문!$1:$10000,6,0)</f>
        <v>#N/A</v>
      </c>
      <c r="C604" s="15"/>
      <c r="D604" s="15"/>
      <c r="E604" s="15"/>
      <c r="F604" s="15"/>
    </row>
    <row r="605" spans="1:6" ht="24" customHeight="1">
      <c r="A605" s="12" t="e">
        <f t="shared" si="0"/>
        <v>#N/A</v>
      </c>
      <c r="B605" s="15" t="e">
        <f>VLOOKUP(D170,[1]국문!$1:$10000,6,0)</f>
        <v>#N/A</v>
      </c>
      <c r="C605" s="15"/>
      <c r="D605" s="15"/>
      <c r="E605" s="15"/>
      <c r="F605" s="15"/>
    </row>
    <row r="606" spans="1:6" ht="24" customHeight="1">
      <c r="A606" s="12" t="e">
        <f t="shared" si="0"/>
        <v>#N/A</v>
      </c>
      <c r="B606" s="15" t="e">
        <f>VLOOKUP(D171,[1]국문!$1:$10000,6,0)</f>
        <v>#N/A</v>
      </c>
      <c r="C606" s="15"/>
      <c r="D606" s="15"/>
      <c r="E606" s="15"/>
      <c r="F606" s="15"/>
    </row>
    <row r="607" spans="1:6" ht="24" customHeight="1">
      <c r="A607" s="12" t="e">
        <f t="shared" si="0"/>
        <v>#N/A</v>
      </c>
      <c r="B607" s="15" t="e">
        <f>VLOOKUP(D172,[1]국문!$1:$10000,6,0)</f>
        <v>#N/A</v>
      </c>
      <c r="C607" s="15"/>
      <c r="D607" s="15"/>
      <c r="E607" s="15"/>
      <c r="F607" s="15"/>
    </row>
    <row r="608" spans="1:6" ht="24" customHeight="1">
      <c r="A608" s="12" t="e">
        <f t="shared" si="0"/>
        <v>#N/A</v>
      </c>
      <c r="B608" s="15" t="e">
        <f>VLOOKUP(D173,[1]국문!$1:$10000,6,0)</f>
        <v>#N/A</v>
      </c>
      <c r="C608" s="15"/>
      <c r="D608" s="15"/>
      <c r="E608" s="15"/>
      <c r="F608" s="15"/>
    </row>
    <row r="609" spans="1:6" ht="24" customHeight="1">
      <c r="A609" s="12" t="e">
        <f t="shared" si="0"/>
        <v>#N/A</v>
      </c>
      <c r="B609" s="15" t="e">
        <f>VLOOKUP(D174,[1]국문!$1:$10000,6,0)</f>
        <v>#N/A</v>
      </c>
      <c r="C609" s="15"/>
      <c r="D609" s="15"/>
      <c r="E609" s="15"/>
      <c r="F609" s="15"/>
    </row>
    <row r="610" spans="1:6" ht="24" customHeight="1">
      <c r="A610" s="12" t="e">
        <f t="shared" si="0"/>
        <v>#N/A</v>
      </c>
      <c r="B610" s="15" t="e">
        <f>VLOOKUP(D175,[1]국문!$1:$10000,6,0)</f>
        <v>#N/A</v>
      </c>
      <c r="C610" s="15"/>
      <c r="D610" s="15"/>
      <c r="E610" s="15"/>
      <c r="F610" s="15"/>
    </row>
    <row r="611" spans="1:6" ht="24" customHeight="1">
      <c r="A611" s="12" t="e">
        <f t="shared" si="0"/>
        <v>#N/A</v>
      </c>
      <c r="B611" s="15" t="e">
        <f>VLOOKUP(D176,[1]국문!$1:$10000,6,0)</f>
        <v>#N/A</v>
      </c>
      <c r="C611" s="15"/>
      <c r="D611" s="15"/>
      <c r="E611" s="15"/>
      <c r="F611" s="15"/>
    </row>
    <row r="612" spans="1:6" ht="24" customHeight="1">
      <c r="A612" s="12" t="e">
        <f t="shared" si="0"/>
        <v>#N/A</v>
      </c>
      <c r="B612" s="15" t="e">
        <f>VLOOKUP(D177,[1]국문!$1:$10000,6,0)</f>
        <v>#N/A</v>
      </c>
      <c r="C612" s="15"/>
      <c r="D612" s="15"/>
      <c r="E612" s="15"/>
      <c r="F612" s="15"/>
    </row>
    <row r="613" spans="1:6" ht="24" customHeight="1">
      <c r="A613" s="12" t="e">
        <f t="shared" si="0"/>
        <v>#N/A</v>
      </c>
      <c r="B613" s="15" t="e">
        <f>VLOOKUP(D178,[1]국문!$1:$10000,6,0)</f>
        <v>#N/A</v>
      </c>
      <c r="C613" s="15"/>
      <c r="D613" s="15"/>
      <c r="E613" s="15"/>
      <c r="F613" s="15"/>
    </row>
    <row r="614" spans="1:6" ht="29.25" customHeight="1">
      <c r="A614" s="12" t="e">
        <f t="shared" si="0"/>
        <v>#N/A</v>
      </c>
      <c r="B614" s="15" t="e">
        <f>VLOOKUP(D179,[1]국문!$1:$10000,6,0)</f>
        <v>#N/A</v>
      </c>
      <c r="C614" s="15"/>
      <c r="D614" s="15"/>
      <c r="E614" s="15"/>
      <c r="F614" s="15"/>
    </row>
    <row r="615" spans="1:6" ht="24" customHeight="1">
      <c r="A615" s="12" t="e">
        <f t="shared" si="0"/>
        <v>#N/A</v>
      </c>
      <c r="B615" s="15" t="e">
        <f>VLOOKUP(D180,[1]국문!$1:$10000,6,0)</f>
        <v>#N/A</v>
      </c>
      <c r="C615" s="15"/>
      <c r="D615" s="15"/>
      <c r="E615" s="15"/>
      <c r="F615" s="15"/>
    </row>
    <row r="616" spans="1:6" ht="18" customHeight="1">
      <c r="A616" s="12" t="e">
        <f t="shared" si="0"/>
        <v>#N/A</v>
      </c>
      <c r="B616" s="15" t="e">
        <f>VLOOKUP(D209,[1]국문!$1:$10000,6,0)</f>
        <v>#N/A</v>
      </c>
      <c r="C616" s="15"/>
      <c r="D616" s="15"/>
      <c r="E616" s="15"/>
      <c r="F616" s="15"/>
    </row>
    <row r="617" spans="1:6" ht="18" customHeight="1">
      <c r="A617" s="12" t="e">
        <f t="shared" si="0"/>
        <v>#N/A</v>
      </c>
      <c r="B617" s="15" t="e">
        <f>VLOOKUP(D138,[1]국문!$1:$10000,6,0)</f>
        <v>#N/A</v>
      </c>
      <c r="C617" s="15"/>
      <c r="D617" s="15"/>
      <c r="E617" s="15"/>
      <c r="F617" s="15"/>
    </row>
    <row r="618" spans="1:6" ht="18" customHeight="1">
      <c r="A618" s="12" t="e">
        <f t="shared" si="0"/>
        <v>#N/A</v>
      </c>
      <c r="B618" s="15" t="e">
        <f>VLOOKUP(D139,[1]국문!$1:$10000,6,0)</f>
        <v>#N/A</v>
      </c>
      <c r="C618" s="15"/>
      <c r="D618" s="15"/>
      <c r="E618" s="15"/>
      <c r="F618" s="15"/>
    </row>
    <row r="619" spans="1:6" ht="18" customHeight="1">
      <c r="A619" s="12" t="e">
        <f t="shared" si="0"/>
        <v>#N/A</v>
      </c>
      <c r="B619" s="15" t="e">
        <f>VLOOKUP(D140,[1]국문!$1:$10000,6,0)</f>
        <v>#N/A</v>
      </c>
      <c r="C619" s="15"/>
      <c r="D619" s="15"/>
      <c r="E619" s="15"/>
      <c r="F619" s="15"/>
    </row>
    <row r="620" spans="1:6" ht="18" customHeight="1">
      <c r="A620" s="12" t="e">
        <f t="shared" si="0"/>
        <v>#N/A</v>
      </c>
      <c r="B620" s="15" t="e">
        <f>VLOOKUP(D141,[1]국문!$1:$10000,6,0)</f>
        <v>#N/A</v>
      </c>
      <c r="C620" s="15"/>
      <c r="D620" s="15"/>
      <c r="E620" s="15"/>
      <c r="F620" s="15"/>
    </row>
    <row r="621" spans="1:6" ht="14.45" customHeight="1">
      <c r="A621" s="12" t="e">
        <f t="shared" si="0"/>
        <v>#N/A</v>
      </c>
      <c r="B621" s="15" t="e">
        <f>VLOOKUP(D142,[1]국문!$1:$10000,6,0)</f>
        <v>#N/A</v>
      </c>
      <c r="C621" s="15"/>
      <c r="D621" s="15"/>
      <c r="E621" s="15"/>
      <c r="F621" s="15"/>
    </row>
    <row r="622" spans="1:6" ht="18" customHeight="1">
      <c r="A622" s="12" t="e">
        <f t="shared" si="0"/>
        <v>#N/A</v>
      </c>
      <c r="B622" s="15" t="e">
        <f>VLOOKUP(D143,[1]국문!$1:$10000,6,0)</f>
        <v>#N/A</v>
      </c>
      <c r="C622" s="15"/>
      <c r="D622" s="15"/>
      <c r="E622" s="15"/>
      <c r="F622" s="15"/>
    </row>
    <row r="623" spans="1:6" ht="18" customHeight="1">
      <c r="A623" s="12" t="e">
        <f t="shared" si="0"/>
        <v>#N/A</v>
      </c>
      <c r="B623" s="15" t="e">
        <f>VLOOKUP(D144,[1]국문!$1:$10000,6,0)</f>
        <v>#N/A</v>
      </c>
      <c r="C623" s="15"/>
      <c r="D623" s="15"/>
      <c r="E623" s="15"/>
      <c r="F623" s="15"/>
    </row>
    <row r="624" spans="1:6" ht="18" customHeight="1">
      <c r="A624" s="12" t="e">
        <f t="shared" si="0"/>
        <v>#N/A</v>
      </c>
      <c r="B624" s="15" t="e">
        <f>VLOOKUP(D145,[1]국문!$1:$10000,6,0)</f>
        <v>#N/A</v>
      </c>
      <c r="C624" s="15"/>
      <c r="D624" s="15"/>
      <c r="E624" s="15"/>
      <c r="F624" s="15"/>
    </row>
    <row r="625" spans="1:6" ht="18" customHeight="1">
      <c r="A625" s="12" t="e">
        <f t="shared" si="0"/>
        <v>#N/A</v>
      </c>
      <c r="B625" s="15" t="e">
        <f>VLOOKUP(D146,[1]국문!$1:$10000,6,0)</f>
        <v>#N/A</v>
      </c>
      <c r="C625" s="15"/>
      <c r="D625" s="15"/>
      <c r="E625" s="15"/>
      <c r="F625" s="15"/>
    </row>
    <row r="626" spans="1:6" ht="14.45" customHeight="1">
      <c r="A626" s="12" t="e">
        <f t="shared" si="0"/>
        <v>#N/A</v>
      </c>
      <c r="B626" s="15" t="e">
        <f>VLOOKUP(D147,[1]국문!$1:$10000,6,0)</f>
        <v>#N/A</v>
      </c>
      <c r="C626" s="15"/>
      <c r="D626" s="15"/>
      <c r="E626" s="15"/>
      <c r="F626" s="15"/>
    </row>
    <row r="627" spans="1:6" ht="14.45" customHeight="1">
      <c r="A627" s="12" t="e">
        <f t="shared" si="0"/>
        <v>#N/A</v>
      </c>
      <c r="B627" s="15" t="e">
        <f>VLOOKUP(D148,[1]국문!$1:$10000,6,0)</f>
        <v>#N/A</v>
      </c>
      <c r="C627" s="15"/>
      <c r="D627" s="15"/>
      <c r="E627" s="15"/>
      <c r="F627" s="15"/>
    </row>
    <row r="628" spans="1:6" ht="23.25" customHeight="1">
      <c r="A628" s="12" t="e">
        <f t="shared" si="0"/>
        <v>#N/A</v>
      </c>
      <c r="B628" s="15" t="e">
        <f>VLOOKUP(D149,[1]국문!$1:$10000,6,0)</f>
        <v>#N/A</v>
      </c>
      <c r="C628" s="15"/>
      <c r="D628" s="15"/>
      <c r="E628" s="15"/>
      <c r="F628" s="15"/>
    </row>
    <row r="629" spans="1:6" ht="18" customHeight="1">
      <c r="A629" s="12" t="e">
        <f t="shared" si="0"/>
        <v>#N/A</v>
      </c>
      <c r="B629" s="15" t="e">
        <f>VLOOKUP(D150,[1]국문!$1:$10000,6,0)</f>
        <v>#N/A</v>
      </c>
      <c r="C629" s="15"/>
      <c r="D629" s="15"/>
      <c r="E629" s="15"/>
      <c r="F629" s="15"/>
    </row>
    <row r="630" spans="1:6" ht="18" customHeight="1">
      <c r="A630" s="12" t="e">
        <f t="shared" si="0"/>
        <v>#N/A</v>
      </c>
      <c r="B630" s="15" t="e">
        <f>VLOOKUP(D151,[1]국문!$1:$10000,6,0)</f>
        <v>#N/A</v>
      </c>
      <c r="C630" s="15"/>
      <c r="D630" s="15"/>
      <c r="E630" s="15"/>
      <c r="F630" s="15"/>
    </row>
    <row r="631" spans="1:6" ht="18" customHeight="1">
      <c r="A631" s="12" t="e">
        <f t="shared" si="0"/>
        <v>#N/A</v>
      </c>
      <c r="B631" s="15" t="e">
        <f>VLOOKUP(D152,[1]국문!$1:$10000,6,0)</f>
        <v>#N/A</v>
      </c>
      <c r="C631" s="15"/>
      <c r="D631" s="15"/>
      <c r="E631" s="15"/>
      <c r="F631" s="15"/>
    </row>
    <row r="632" spans="1:6" ht="18" customHeight="1">
      <c r="A632" s="12" t="e">
        <f t="shared" si="0"/>
        <v>#N/A</v>
      </c>
      <c r="B632" s="15" t="e">
        <f>VLOOKUP(D153,[1]국문!$1:$10000,6,0)</f>
        <v>#N/A</v>
      </c>
      <c r="C632" s="15"/>
      <c r="D632" s="15"/>
      <c r="E632" s="15"/>
      <c r="F632" s="15"/>
    </row>
    <row r="633" spans="1:6" ht="24" customHeight="1">
      <c r="A633" s="12" t="e">
        <f t="shared" si="0"/>
        <v>#N/A</v>
      </c>
      <c r="B633" s="15" t="e">
        <f>VLOOKUP(D126,[1]국문!$1:$10000,6,0)</f>
        <v>#N/A</v>
      </c>
      <c r="C633" s="15"/>
      <c r="D633" s="15"/>
      <c r="E633" s="15"/>
      <c r="F633" s="15"/>
    </row>
    <row r="634" spans="1:6" ht="24" customHeight="1">
      <c r="A634" s="12" t="e">
        <f t="shared" si="0"/>
        <v>#N/A</v>
      </c>
      <c r="B634" s="15" t="e">
        <f>VLOOKUP(D127,[1]국문!$1:$10000,6,0)</f>
        <v>#N/A</v>
      </c>
      <c r="C634" s="15"/>
      <c r="D634" s="15"/>
      <c r="E634" s="15"/>
      <c r="F634" s="15"/>
    </row>
    <row r="635" spans="1:6" ht="24" customHeight="1">
      <c r="A635" s="12" t="e">
        <f t="shared" si="0"/>
        <v>#N/A</v>
      </c>
      <c r="B635" s="15" t="e">
        <f>VLOOKUP(D128,[1]국문!$1:$10000,6,0)</f>
        <v>#N/A</v>
      </c>
      <c r="C635" s="15"/>
      <c r="D635" s="15"/>
      <c r="E635" s="15"/>
      <c r="F635" s="15"/>
    </row>
    <row r="636" spans="1:6" ht="24" customHeight="1">
      <c r="A636" s="12" t="e">
        <f t="shared" si="0"/>
        <v>#N/A</v>
      </c>
      <c r="B636" s="15" t="e">
        <f>VLOOKUP(D129,[1]국문!$1:$10000,6,0)</f>
        <v>#N/A</v>
      </c>
      <c r="C636" s="15"/>
      <c r="D636" s="15"/>
      <c r="E636" s="15"/>
      <c r="F636" s="15"/>
    </row>
    <row r="637" spans="1:6" ht="24" customHeight="1">
      <c r="A637" s="12" t="e">
        <f t="shared" si="0"/>
        <v>#N/A</v>
      </c>
      <c r="B637" s="15" t="e">
        <f>VLOOKUP(D130,[1]국문!$1:$10000,6,0)</f>
        <v>#N/A</v>
      </c>
      <c r="C637" s="15"/>
      <c r="D637" s="15"/>
      <c r="E637" s="15"/>
      <c r="F637" s="15"/>
    </row>
    <row r="638" spans="1:6" ht="24" customHeight="1">
      <c r="A638" s="12" t="e">
        <f t="shared" si="0"/>
        <v>#N/A</v>
      </c>
      <c r="B638" s="15" t="e">
        <f>VLOOKUP(D131,[1]국문!$1:$10000,6,0)</f>
        <v>#N/A</v>
      </c>
      <c r="C638" s="15"/>
      <c r="D638" s="15"/>
      <c r="E638" s="15"/>
      <c r="F638" s="15"/>
    </row>
    <row r="639" spans="1:6" ht="24" customHeight="1">
      <c r="A639" s="12" t="e">
        <f t="shared" si="0"/>
        <v>#N/A</v>
      </c>
      <c r="B639" s="15" t="e">
        <f>VLOOKUP(D132,[1]국문!$1:$10000,6,0)</f>
        <v>#N/A</v>
      </c>
      <c r="C639" s="15"/>
      <c r="D639" s="15"/>
      <c r="E639" s="15"/>
      <c r="F639" s="15"/>
    </row>
    <row r="640" spans="1:6" ht="24" customHeight="1">
      <c r="A640" s="12" t="e">
        <f t="shared" si="0"/>
        <v>#N/A</v>
      </c>
      <c r="B640" s="15" t="e">
        <f>VLOOKUP(D133,[1]국문!$1:$10000,6,0)</f>
        <v>#N/A</v>
      </c>
      <c r="C640" s="15"/>
      <c r="D640" s="15"/>
      <c r="E640" s="15"/>
      <c r="F640" s="15"/>
    </row>
    <row r="641" spans="1:6" ht="24" customHeight="1">
      <c r="A641" s="12" t="e">
        <f t="shared" si="0"/>
        <v>#N/A</v>
      </c>
      <c r="B641" s="15" t="e">
        <f>VLOOKUP(D134,[1]국문!$1:$10000,6,0)</f>
        <v>#N/A</v>
      </c>
      <c r="C641" s="15"/>
      <c r="D641" s="15"/>
      <c r="E641" s="15"/>
      <c r="F641" s="15"/>
    </row>
    <row r="642" spans="1:6" ht="24" customHeight="1">
      <c r="A642" s="12" t="e">
        <f t="shared" si="0"/>
        <v>#N/A</v>
      </c>
      <c r="B642" s="15" t="e">
        <f>VLOOKUP(D135,[1]국문!$1:$10000,6,0)</f>
        <v>#N/A</v>
      </c>
      <c r="C642" s="15"/>
      <c r="D642" s="15"/>
      <c r="E642" s="15"/>
      <c r="F642" s="15"/>
    </row>
    <row r="643" spans="1:6" ht="24" customHeight="1">
      <c r="A643" s="12" t="e">
        <f t="shared" si="0"/>
        <v>#N/A</v>
      </c>
      <c r="B643" s="15" t="e">
        <f>VLOOKUP(D136,[1]국문!$1:$10000,6,0)</f>
        <v>#N/A</v>
      </c>
      <c r="C643" s="15"/>
      <c r="D643" s="15"/>
      <c r="E643" s="15"/>
      <c r="F643" s="15"/>
    </row>
    <row r="644" spans="1:6" ht="24" customHeight="1">
      <c r="A644" s="12" t="e">
        <f t="shared" si="0"/>
        <v>#N/A</v>
      </c>
      <c r="B644" s="15" t="e">
        <f>VLOOKUP(D137,[1]국문!$1:$10000,6,0)</f>
        <v>#N/A</v>
      </c>
      <c r="C644" s="15"/>
      <c r="D644" s="15"/>
      <c r="E644" s="15"/>
      <c r="F644" s="15"/>
    </row>
    <row r="645" spans="1:6" ht="24" customHeight="1">
      <c r="A645" s="12" t="e">
        <f t="shared" si="0"/>
        <v>#N/A</v>
      </c>
      <c r="B645" s="15" t="e">
        <f>VLOOKUP(D138,[1]국문!$1:$10000,6,0)</f>
        <v>#N/A</v>
      </c>
      <c r="C645" s="15"/>
      <c r="D645" s="15"/>
      <c r="E645" s="15"/>
      <c r="F645" s="15"/>
    </row>
    <row r="646" spans="1:6" ht="29.25" customHeight="1">
      <c r="A646" s="12" t="e">
        <f t="shared" si="0"/>
        <v>#N/A</v>
      </c>
      <c r="B646" s="15" t="e">
        <f>VLOOKUP(D139,[1]국문!$1:$10000,6,0)</f>
        <v>#N/A</v>
      </c>
      <c r="C646" s="15"/>
      <c r="D646" s="15"/>
      <c r="E646" s="15"/>
      <c r="F646" s="15"/>
    </row>
    <row r="647" spans="1:6" ht="24" customHeight="1">
      <c r="A647" s="12" t="e">
        <f t="shared" si="0"/>
        <v>#N/A</v>
      </c>
      <c r="B647" s="15" t="e">
        <f>VLOOKUP(D140,[1]국문!$1:$10000,6,0)</f>
        <v>#N/A</v>
      </c>
      <c r="C647" s="15"/>
      <c r="D647" s="15"/>
      <c r="E647" s="15"/>
      <c r="F647" s="15"/>
    </row>
    <row r="648" spans="1:6" ht="18" customHeight="1">
      <c r="A648" s="12" t="e">
        <f t="shared" si="0"/>
        <v>#N/A</v>
      </c>
      <c r="B648" s="15" t="e">
        <f>VLOOKUP(D169,[1]국문!$1:$10000,6,0)</f>
        <v>#N/A</v>
      </c>
      <c r="C648" s="15"/>
      <c r="D648" s="15"/>
      <c r="E648" s="15"/>
      <c r="F648" s="15"/>
    </row>
    <row r="649" spans="1:6" ht="18" customHeight="1">
      <c r="A649" s="12" t="e">
        <f t="shared" si="0"/>
        <v>#N/A</v>
      </c>
      <c r="B649" s="15" t="e">
        <f>VLOOKUP(D170,[1]국문!$1:$10000,6,0)</f>
        <v>#N/A</v>
      </c>
      <c r="C649" s="15"/>
      <c r="D649" s="15"/>
      <c r="E649" s="15"/>
      <c r="F649" s="15"/>
    </row>
    <row r="650" spans="1:6" ht="18" customHeight="1">
      <c r="A650" s="12" t="e">
        <f t="shared" si="0"/>
        <v>#N/A</v>
      </c>
      <c r="B650" s="15" t="e">
        <f>VLOOKUP(D171,[1]국문!$1:$10000,6,0)</f>
        <v>#N/A</v>
      </c>
      <c r="C650" s="15"/>
      <c r="D650" s="15"/>
      <c r="E650" s="15"/>
      <c r="F650" s="15"/>
    </row>
    <row r="651" spans="1:6" ht="18" customHeight="1">
      <c r="A651" s="12" t="e">
        <f t="shared" si="0"/>
        <v>#N/A</v>
      </c>
      <c r="B651" s="15" t="e">
        <f>VLOOKUP(D172,[1]국문!$1:$10000,6,0)</f>
        <v>#N/A</v>
      </c>
      <c r="C651" s="15"/>
      <c r="D651" s="15"/>
      <c r="E651" s="15"/>
      <c r="F651" s="15"/>
    </row>
    <row r="652" spans="1:6" ht="18" customHeight="1">
      <c r="A652" s="12" t="e">
        <f t="shared" si="0"/>
        <v>#N/A</v>
      </c>
      <c r="B652" s="15" t="e">
        <f>VLOOKUP(D173,[1]국문!$1:$10000,6,0)</f>
        <v>#N/A</v>
      </c>
      <c r="C652" s="15"/>
      <c r="D652" s="15"/>
      <c r="E652" s="15"/>
      <c r="F652" s="15"/>
    </row>
    <row r="653" spans="1:6" ht="14.45" customHeight="1">
      <c r="A653" s="12" t="e">
        <f t="shared" si="0"/>
        <v>#N/A</v>
      </c>
      <c r="B653" s="15" t="e">
        <f>VLOOKUP(D174,[1]국문!$1:$10000,6,0)</f>
        <v>#N/A</v>
      </c>
      <c r="C653" s="15"/>
      <c r="D653" s="15"/>
      <c r="E653" s="15"/>
      <c r="F653" s="15"/>
    </row>
    <row r="654" spans="1:6" ht="18" customHeight="1">
      <c r="A654" s="12" t="e">
        <f t="shared" si="0"/>
        <v>#N/A</v>
      </c>
      <c r="B654" s="15" t="e">
        <f>VLOOKUP(D175,[1]국문!$1:$10000,6,0)</f>
        <v>#N/A</v>
      </c>
      <c r="C654" s="15"/>
      <c r="D654" s="15"/>
      <c r="E654" s="15"/>
      <c r="F654" s="15"/>
    </row>
    <row r="655" spans="1:6" ht="18" customHeight="1">
      <c r="A655" s="12" t="e">
        <f t="shared" si="0"/>
        <v>#N/A</v>
      </c>
      <c r="B655" s="15" t="e">
        <f>VLOOKUP(D176,[1]국문!$1:$10000,6,0)</f>
        <v>#N/A</v>
      </c>
      <c r="C655" s="15"/>
      <c r="D655" s="15"/>
      <c r="E655" s="15"/>
      <c r="F655" s="15"/>
    </row>
    <row r="656" spans="1:6" ht="18" customHeight="1">
      <c r="A656" s="12" t="e">
        <f t="shared" si="0"/>
        <v>#N/A</v>
      </c>
      <c r="B656" s="15" t="e">
        <f>VLOOKUP(D177,[1]국문!$1:$10000,6,0)</f>
        <v>#N/A</v>
      </c>
      <c r="C656" s="15"/>
      <c r="D656" s="15"/>
      <c r="E656" s="15"/>
      <c r="F656" s="15"/>
    </row>
    <row r="657" spans="1:6" ht="18" customHeight="1">
      <c r="A657" s="12" t="e">
        <f t="shared" si="0"/>
        <v>#N/A</v>
      </c>
      <c r="B657" s="15" t="e">
        <f>VLOOKUP(D178,[1]국문!$1:$10000,6,0)</f>
        <v>#N/A</v>
      </c>
      <c r="C657" s="15"/>
      <c r="D657" s="15"/>
      <c r="E657" s="15"/>
      <c r="F657" s="15"/>
    </row>
    <row r="658" spans="1:6" ht="14.45" customHeight="1">
      <c r="A658" s="12" t="e">
        <f t="shared" si="0"/>
        <v>#N/A</v>
      </c>
      <c r="B658" s="15" t="e">
        <f>VLOOKUP(D179,[1]국문!$1:$10000,6,0)</f>
        <v>#N/A</v>
      </c>
      <c r="C658" s="15"/>
      <c r="D658" s="15"/>
      <c r="E658" s="15"/>
      <c r="F658" s="15"/>
    </row>
    <row r="659" spans="1:6" ht="14.45" customHeight="1">
      <c r="A659" s="12" t="e">
        <f t="shared" si="0"/>
        <v>#N/A</v>
      </c>
      <c r="B659" s="15" t="e">
        <f>VLOOKUP(D180,[1]국문!$1:$10000,6,0)</f>
        <v>#N/A</v>
      </c>
      <c r="C659" s="15"/>
      <c r="D659" s="15"/>
      <c r="E659" s="15"/>
      <c r="F659" s="15"/>
    </row>
    <row r="660" spans="1:6" ht="23.25" customHeight="1">
      <c r="A660" s="12" t="e">
        <f t="shared" si="0"/>
        <v>#N/A</v>
      </c>
      <c r="B660" s="15" t="e">
        <f>VLOOKUP(D181,[1]국문!$1:$10000,6,0)</f>
        <v>#N/A</v>
      </c>
      <c r="C660" s="15"/>
      <c r="D660" s="15"/>
      <c r="E660" s="15"/>
      <c r="F660" s="15"/>
    </row>
    <row r="661" spans="1:6" ht="18" customHeight="1">
      <c r="A661" s="12" t="e">
        <f t="shared" si="0"/>
        <v>#N/A</v>
      </c>
      <c r="B661" s="15" t="e">
        <f>VLOOKUP(D182,[1]국문!$1:$10000,6,0)</f>
        <v>#N/A</v>
      </c>
      <c r="C661" s="15"/>
      <c r="D661" s="15"/>
      <c r="E661" s="15"/>
      <c r="F661" s="15"/>
    </row>
    <row r="662" spans="1:6" ht="18" customHeight="1">
      <c r="A662" s="12" t="e">
        <f t="shared" si="0"/>
        <v>#N/A</v>
      </c>
      <c r="B662" s="15" t="e">
        <f>VLOOKUP(D183,[1]국문!$1:$10000,6,0)</f>
        <v>#N/A</v>
      </c>
      <c r="C662" s="15"/>
      <c r="D662" s="15"/>
      <c r="E662" s="15"/>
      <c r="F662" s="15"/>
    </row>
    <row r="663" spans="1:6" ht="18" customHeight="1">
      <c r="A663" s="12" t="e">
        <f t="shared" si="0"/>
        <v>#N/A</v>
      </c>
      <c r="B663" s="15" t="e">
        <f>VLOOKUP(D184,[1]국문!$1:$10000,6,0)</f>
        <v>#N/A</v>
      </c>
      <c r="C663" s="15"/>
      <c r="D663" s="15"/>
      <c r="E663" s="15"/>
      <c r="F663" s="15"/>
    </row>
    <row r="664" spans="1:6" ht="18" customHeight="1">
      <c r="A664" s="12" t="e">
        <f t="shared" si="0"/>
        <v>#N/A</v>
      </c>
      <c r="B664" s="15" t="e">
        <f>VLOOKUP(D185,[1]국문!$1:$10000,6,0)</f>
        <v>#N/A</v>
      </c>
      <c r="C664" s="15"/>
      <c r="D664" s="15"/>
      <c r="E664" s="15"/>
      <c r="F664" s="15"/>
    </row>
    <row r="665" spans="1:6" ht="24" customHeight="1">
      <c r="A665" s="12" t="e">
        <f t="shared" si="0"/>
        <v>#N/A</v>
      </c>
      <c r="B665" s="15" t="e">
        <f>VLOOKUP(D158,[1]국문!$1:$10000,6,0)</f>
        <v>#N/A</v>
      </c>
      <c r="C665" s="15"/>
      <c r="D665" s="15"/>
      <c r="E665" s="15"/>
      <c r="F665" s="15"/>
    </row>
    <row r="666" spans="1:6" ht="24" customHeight="1">
      <c r="A666" s="12" t="e">
        <f t="shared" ref="A666:A729" si="1">A198</f>
        <v>#N/A</v>
      </c>
      <c r="B666" s="15" t="e">
        <f>VLOOKUP(D159,[1]국문!$1:$10000,6,0)</f>
        <v>#N/A</v>
      </c>
      <c r="C666" s="15"/>
      <c r="D666" s="15"/>
      <c r="E666" s="15"/>
      <c r="F666" s="15"/>
    </row>
    <row r="667" spans="1:6" ht="24" customHeight="1">
      <c r="A667" s="12" t="e">
        <f t="shared" si="1"/>
        <v>#N/A</v>
      </c>
      <c r="B667" s="15" t="e">
        <f>VLOOKUP(D160,[1]국문!$1:$10000,6,0)</f>
        <v>#N/A</v>
      </c>
      <c r="C667" s="15"/>
      <c r="D667" s="15"/>
      <c r="E667" s="15"/>
      <c r="F667" s="15"/>
    </row>
    <row r="668" spans="1:6" ht="24" customHeight="1">
      <c r="A668" s="12" t="e">
        <f t="shared" si="1"/>
        <v>#N/A</v>
      </c>
      <c r="B668" s="15" t="e">
        <f>VLOOKUP(D161,[1]국문!$1:$10000,6,0)</f>
        <v>#N/A</v>
      </c>
      <c r="C668" s="15"/>
      <c r="D668" s="15"/>
      <c r="E668" s="15"/>
      <c r="F668" s="15"/>
    </row>
    <row r="669" spans="1:6" ht="24" customHeight="1">
      <c r="A669" s="12" t="e">
        <f t="shared" si="1"/>
        <v>#N/A</v>
      </c>
      <c r="B669" s="15" t="e">
        <f>VLOOKUP(D162,[1]국문!$1:$10000,6,0)</f>
        <v>#N/A</v>
      </c>
      <c r="C669" s="15"/>
      <c r="D669" s="15"/>
      <c r="E669" s="15"/>
      <c r="F669" s="15"/>
    </row>
    <row r="670" spans="1:6" ht="24" customHeight="1">
      <c r="A670" s="12" t="e">
        <f t="shared" si="1"/>
        <v>#N/A</v>
      </c>
      <c r="B670" s="15" t="e">
        <f>VLOOKUP(D163,[1]국문!$1:$10000,6,0)</f>
        <v>#N/A</v>
      </c>
      <c r="C670" s="15"/>
      <c r="D670" s="15"/>
      <c r="E670" s="15"/>
      <c r="F670" s="15"/>
    </row>
    <row r="671" spans="1:6" ht="24" customHeight="1">
      <c r="A671" s="12" t="e">
        <f t="shared" si="1"/>
        <v>#N/A</v>
      </c>
      <c r="B671" s="15" t="e">
        <f>VLOOKUP(D164,[1]국문!$1:$10000,6,0)</f>
        <v>#N/A</v>
      </c>
      <c r="C671" s="15"/>
      <c r="D671" s="15"/>
      <c r="E671" s="15"/>
      <c r="F671" s="15"/>
    </row>
    <row r="672" spans="1:6" ht="24" customHeight="1">
      <c r="A672" s="12" t="e">
        <f t="shared" si="1"/>
        <v>#N/A</v>
      </c>
      <c r="B672" s="15" t="e">
        <f>VLOOKUP(D165,[1]국문!$1:$10000,6,0)</f>
        <v>#N/A</v>
      </c>
      <c r="C672" s="15"/>
      <c r="D672" s="15"/>
      <c r="E672" s="15"/>
      <c r="F672" s="15"/>
    </row>
    <row r="673" spans="1:6" ht="24" customHeight="1">
      <c r="A673" s="12" t="e">
        <f t="shared" si="1"/>
        <v>#N/A</v>
      </c>
      <c r="B673" s="15" t="e">
        <f>VLOOKUP(D166,[1]국문!$1:$10000,6,0)</f>
        <v>#N/A</v>
      </c>
      <c r="C673" s="15"/>
      <c r="D673" s="15"/>
      <c r="E673" s="15"/>
      <c r="F673" s="15"/>
    </row>
    <row r="674" spans="1:6" ht="24" customHeight="1">
      <c r="A674" s="12" t="e">
        <f t="shared" si="1"/>
        <v>#N/A</v>
      </c>
      <c r="B674" s="15" t="e">
        <f>VLOOKUP(D167,[1]국문!$1:$10000,6,0)</f>
        <v>#N/A</v>
      </c>
      <c r="C674" s="15"/>
      <c r="D674" s="15"/>
      <c r="E674" s="15"/>
      <c r="F674" s="15"/>
    </row>
    <row r="675" spans="1:6" ht="24" customHeight="1">
      <c r="A675" s="12" t="e">
        <f t="shared" si="1"/>
        <v>#N/A</v>
      </c>
      <c r="B675" s="15" t="e">
        <f>VLOOKUP(D168,[1]국문!$1:$10000,6,0)</f>
        <v>#N/A</v>
      </c>
      <c r="C675" s="15"/>
      <c r="D675" s="15"/>
      <c r="E675" s="15"/>
      <c r="F675" s="15"/>
    </row>
    <row r="676" spans="1:6" ht="24" customHeight="1">
      <c r="A676" s="12" t="e">
        <f t="shared" si="1"/>
        <v>#N/A</v>
      </c>
      <c r="B676" s="15" t="e">
        <f>VLOOKUP(D169,[1]국문!$1:$10000,6,0)</f>
        <v>#N/A</v>
      </c>
      <c r="C676" s="15"/>
      <c r="D676" s="15"/>
      <c r="E676" s="15"/>
      <c r="F676" s="15"/>
    </row>
    <row r="677" spans="1:6" ht="24" customHeight="1">
      <c r="A677" s="12" t="e">
        <f t="shared" si="1"/>
        <v>#N/A</v>
      </c>
      <c r="B677" s="15" t="e">
        <f>VLOOKUP(D170,[1]국문!$1:$10000,6,0)</f>
        <v>#N/A</v>
      </c>
      <c r="C677" s="15"/>
      <c r="D677" s="15"/>
      <c r="E677" s="15"/>
      <c r="F677" s="15"/>
    </row>
    <row r="678" spans="1:6" ht="29.25" customHeight="1">
      <c r="A678" s="12" t="e">
        <f t="shared" si="1"/>
        <v>#N/A</v>
      </c>
      <c r="B678" s="15" t="e">
        <f>VLOOKUP(D171,[1]국문!$1:$10000,6,0)</f>
        <v>#N/A</v>
      </c>
      <c r="C678" s="15"/>
      <c r="D678" s="15"/>
      <c r="E678" s="15"/>
      <c r="F678" s="15"/>
    </row>
    <row r="679" spans="1:6" ht="24" customHeight="1">
      <c r="A679" s="12" t="e">
        <f t="shared" si="1"/>
        <v>#N/A</v>
      </c>
      <c r="B679" s="15" t="e">
        <f>VLOOKUP(D172,[1]국문!$1:$10000,6,0)</f>
        <v>#N/A</v>
      </c>
      <c r="C679" s="15"/>
      <c r="D679" s="15"/>
      <c r="E679" s="15"/>
      <c r="F679" s="15"/>
    </row>
    <row r="680" spans="1:6" ht="18" customHeight="1">
      <c r="A680" s="12" t="e">
        <f t="shared" si="1"/>
        <v>#N/A</v>
      </c>
      <c r="B680" s="15" t="e">
        <f>VLOOKUP(D201,[1]국문!$1:$10000,6,0)</f>
        <v>#N/A</v>
      </c>
      <c r="C680" s="15"/>
      <c r="D680" s="15"/>
      <c r="E680" s="15"/>
      <c r="F680" s="15"/>
    </row>
    <row r="681" spans="1:6" ht="18" customHeight="1">
      <c r="A681" s="12" t="e">
        <f t="shared" si="1"/>
        <v>#N/A</v>
      </c>
      <c r="B681" s="15" t="e">
        <f>VLOOKUP(D202,[1]국문!$1:$10000,6,0)</f>
        <v>#N/A</v>
      </c>
      <c r="C681" s="15"/>
      <c r="D681" s="15"/>
      <c r="E681" s="15"/>
      <c r="F681" s="15"/>
    </row>
    <row r="682" spans="1:6" ht="18" customHeight="1">
      <c r="A682" s="12" t="e">
        <f t="shared" si="1"/>
        <v>#N/A</v>
      </c>
      <c r="B682" s="15" t="e">
        <f>VLOOKUP(D203,[1]국문!$1:$10000,6,0)</f>
        <v>#N/A</v>
      </c>
      <c r="C682" s="15"/>
      <c r="D682" s="15"/>
      <c r="E682" s="15"/>
      <c r="F682" s="15"/>
    </row>
    <row r="683" spans="1:6" ht="18" customHeight="1">
      <c r="A683" s="12" t="e">
        <f t="shared" si="1"/>
        <v>#N/A</v>
      </c>
      <c r="B683" s="15" t="e">
        <f>VLOOKUP(D204,[1]국문!$1:$10000,6,0)</f>
        <v>#N/A</v>
      </c>
      <c r="C683" s="15"/>
      <c r="D683" s="15"/>
      <c r="E683" s="15"/>
      <c r="F683" s="15"/>
    </row>
    <row r="684" spans="1:6" ht="18" customHeight="1">
      <c r="A684" s="12" t="e">
        <f t="shared" si="1"/>
        <v>#N/A</v>
      </c>
      <c r="B684" s="15" t="e">
        <f>VLOOKUP(D205,[1]국문!$1:$10000,6,0)</f>
        <v>#N/A</v>
      </c>
      <c r="C684" s="15"/>
      <c r="D684" s="15"/>
      <c r="E684" s="15"/>
      <c r="F684" s="15"/>
    </row>
    <row r="685" spans="1:6" ht="14.45" customHeight="1">
      <c r="A685" s="12" t="e">
        <f t="shared" si="1"/>
        <v>#N/A</v>
      </c>
      <c r="B685" s="15" t="e">
        <f>VLOOKUP(D206,[1]국문!$1:$10000,6,0)</f>
        <v>#N/A</v>
      </c>
      <c r="C685" s="15"/>
      <c r="D685" s="15"/>
      <c r="E685" s="15"/>
      <c r="F685" s="15"/>
    </row>
    <row r="686" spans="1:6" ht="18" customHeight="1">
      <c r="A686" s="12" t="e">
        <f t="shared" si="1"/>
        <v>#N/A</v>
      </c>
      <c r="B686" s="15" t="e">
        <f>VLOOKUP(D207,[1]국문!$1:$10000,6,0)</f>
        <v>#N/A</v>
      </c>
      <c r="C686" s="15"/>
      <c r="D686" s="15"/>
      <c r="E686" s="15"/>
      <c r="F686" s="15"/>
    </row>
    <row r="687" spans="1:6" ht="18" customHeight="1">
      <c r="A687" s="12" t="e">
        <f t="shared" si="1"/>
        <v>#N/A</v>
      </c>
      <c r="B687" s="15" t="e">
        <f>VLOOKUP(D208,[1]국문!$1:$10000,6,0)</f>
        <v>#N/A</v>
      </c>
      <c r="C687" s="15"/>
      <c r="D687" s="15"/>
      <c r="E687" s="15"/>
      <c r="F687" s="15"/>
    </row>
    <row r="688" spans="1:6" ht="18" customHeight="1">
      <c r="A688" s="12" t="e">
        <f t="shared" si="1"/>
        <v>#N/A</v>
      </c>
      <c r="B688" s="15" t="e">
        <f>VLOOKUP(D209,[1]국문!$1:$10000,6,0)</f>
        <v>#N/A</v>
      </c>
      <c r="C688" s="15"/>
      <c r="D688" s="15"/>
      <c r="E688" s="15"/>
      <c r="F688" s="15"/>
    </row>
    <row r="689" spans="1:6" ht="18" customHeight="1">
      <c r="A689" s="12" t="e">
        <f t="shared" si="1"/>
        <v>#N/A</v>
      </c>
      <c r="B689" s="15" t="e">
        <f>VLOOKUP(D210,[1]국문!$1:$10000,6,0)</f>
        <v>#N/A</v>
      </c>
      <c r="C689" s="15"/>
      <c r="D689" s="15"/>
      <c r="E689" s="15"/>
      <c r="F689" s="15"/>
    </row>
    <row r="690" spans="1:6" ht="18" customHeight="1">
      <c r="A690" s="12" t="e">
        <f t="shared" si="1"/>
        <v>#N/A</v>
      </c>
      <c r="B690" s="15" t="e">
        <f>VLOOKUP(D211,[1]국문!$1:$10000,6,0)</f>
        <v>#N/A</v>
      </c>
      <c r="C690" s="15"/>
      <c r="D690" s="15"/>
      <c r="E690" s="15"/>
      <c r="F690" s="15"/>
    </row>
    <row r="691" spans="1:6" ht="18" customHeight="1">
      <c r="A691" s="12" t="e">
        <f t="shared" si="1"/>
        <v>#N/A</v>
      </c>
      <c r="B691" s="15" t="e">
        <f>VLOOKUP(D212,[1]국문!$1:$10000,6,0)</f>
        <v>#N/A</v>
      </c>
      <c r="C691" s="15"/>
      <c r="D691" s="15"/>
      <c r="E691" s="15"/>
      <c r="F691" s="15"/>
    </row>
    <row r="692" spans="1:6" ht="18" customHeight="1">
      <c r="A692" s="12" t="e">
        <f t="shared" si="1"/>
        <v>#N/A</v>
      </c>
      <c r="B692" s="15" t="e">
        <f>VLOOKUP(D213,[1]국문!$1:$10000,6,0)</f>
        <v>#N/A</v>
      </c>
      <c r="C692" s="15"/>
      <c r="D692" s="15"/>
      <c r="E692" s="15"/>
      <c r="F692" s="15"/>
    </row>
    <row r="693" spans="1:6" ht="14.45" customHeight="1">
      <c r="A693" s="12" t="e">
        <f t="shared" si="1"/>
        <v>#N/A</v>
      </c>
      <c r="B693" s="15" t="e">
        <f>VLOOKUP(D214,[1]국문!$1:$10000,6,0)</f>
        <v>#N/A</v>
      </c>
      <c r="C693" s="15"/>
      <c r="D693" s="15"/>
      <c r="E693" s="15"/>
      <c r="F693" s="15"/>
    </row>
    <row r="694" spans="1:6" ht="18" customHeight="1">
      <c r="A694" s="12" t="e">
        <f t="shared" si="1"/>
        <v>#N/A</v>
      </c>
      <c r="B694" s="15" t="e">
        <f>VLOOKUP(D215,[1]국문!$1:$10000,6,0)</f>
        <v>#N/A</v>
      </c>
      <c r="C694" s="15"/>
      <c r="D694" s="15"/>
      <c r="E694" s="15"/>
      <c r="F694" s="15"/>
    </row>
    <row r="695" spans="1:6" ht="18" customHeight="1">
      <c r="A695" s="12" t="e">
        <f t="shared" si="1"/>
        <v>#N/A</v>
      </c>
      <c r="B695" s="15" t="e">
        <f>VLOOKUP(D216,[1]국문!$1:$10000,6,0)</f>
        <v>#N/A</v>
      </c>
      <c r="C695" s="15"/>
      <c r="D695" s="15"/>
      <c r="E695" s="15"/>
      <c r="F695" s="15"/>
    </row>
    <row r="696" spans="1:6" ht="18" customHeight="1">
      <c r="A696" s="12" t="e">
        <f t="shared" si="1"/>
        <v>#N/A</v>
      </c>
      <c r="B696" s="15" t="e">
        <f>VLOOKUP(D217,[1]국문!$1:$10000,6,0)</f>
        <v>#N/A</v>
      </c>
      <c r="C696" s="15"/>
      <c r="D696" s="15"/>
      <c r="E696" s="15"/>
      <c r="F696" s="15"/>
    </row>
    <row r="697" spans="1:6" ht="18" customHeight="1">
      <c r="A697" s="12" t="e">
        <f t="shared" si="1"/>
        <v>#N/A</v>
      </c>
      <c r="B697" s="15" t="e">
        <f>VLOOKUP(D218,[1]국문!$1:$10000,6,0)</f>
        <v>#N/A</v>
      </c>
      <c r="C697" s="15"/>
      <c r="D697" s="15"/>
      <c r="E697" s="15"/>
      <c r="F697" s="15"/>
    </row>
    <row r="698" spans="1:6" ht="14.45" customHeight="1">
      <c r="A698" s="12" t="e">
        <f t="shared" si="1"/>
        <v>#N/A</v>
      </c>
      <c r="B698" s="15" t="e">
        <f>VLOOKUP(D219,[1]국문!$1:$10000,6,0)</f>
        <v>#N/A</v>
      </c>
      <c r="C698" s="15"/>
      <c r="D698" s="15"/>
      <c r="E698" s="15"/>
      <c r="F698" s="15"/>
    </row>
    <row r="699" spans="1:6" ht="14.45" customHeight="1">
      <c r="A699" s="12" t="e">
        <f t="shared" si="1"/>
        <v>#N/A</v>
      </c>
      <c r="B699" s="15" t="e">
        <f>VLOOKUP(D220,[1]국문!$1:$10000,6,0)</f>
        <v>#N/A</v>
      </c>
      <c r="C699" s="15"/>
      <c r="D699" s="15"/>
      <c r="E699" s="15"/>
      <c r="F699" s="15"/>
    </row>
    <row r="700" spans="1:6" ht="23.25" customHeight="1">
      <c r="A700" s="12" t="e">
        <f t="shared" si="1"/>
        <v>#N/A</v>
      </c>
      <c r="B700" s="15" t="e">
        <f>VLOOKUP(D221,[1]국문!$1:$10000,6,0)</f>
        <v>#N/A</v>
      </c>
      <c r="C700" s="15"/>
      <c r="D700" s="15"/>
      <c r="E700" s="15"/>
      <c r="F700" s="15"/>
    </row>
    <row r="701" spans="1:6" ht="18" customHeight="1">
      <c r="A701" s="12" t="e">
        <f t="shared" si="1"/>
        <v>#N/A</v>
      </c>
      <c r="B701" s="15" t="e">
        <f>VLOOKUP(D222,[1]국문!$1:$10000,6,0)</f>
        <v>#N/A</v>
      </c>
      <c r="C701" s="15"/>
      <c r="D701" s="15"/>
      <c r="E701" s="15"/>
      <c r="F701" s="15"/>
    </row>
    <row r="702" spans="1:6" ht="18" customHeight="1">
      <c r="A702" s="12" t="e">
        <f t="shared" si="1"/>
        <v>#N/A</v>
      </c>
      <c r="B702" s="15" t="e">
        <f>VLOOKUP(D223,[1]국문!$1:$10000,6,0)</f>
        <v>#N/A</v>
      </c>
      <c r="C702" s="15"/>
      <c r="D702" s="15"/>
      <c r="E702" s="15"/>
      <c r="F702" s="15"/>
    </row>
    <row r="703" spans="1:6" ht="18" customHeight="1">
      <c r="A703" s="12" t="e">
        <f t="shared" si="1"/>
        <v>#N/A</v>
      </c>
      <c r="B703" s="15" t="e">
        <f>VLOOKUP(D224,[1]국문!$1:$10000,6,0)</f>
        <v>#N/A</v>
      </c>
      <c r="C703" s="15"/>
      <c r="D703" s="15"/>
      <c r="E703" s="15"/>
      <c r="F703" s="15"/>
    </row>
    <row r="704" spans="1:6" ht="18" customHeight="1">
      <c r="A704" s="12" t="e">
        <f t="shared" si="1"/>
        <v>#N/A</v>
      </c>
      <c r="B704" s="15" t="e">
        <f>VLOOKUP(D225,[1]국문!$1:$10000,6,0)</f>
        <v>#N/A</v>
      </c>
      <c r="C704" s="15"/>
      <c r="D704" s="15"/>
      <c r="E704" s="15"/>
      <c r="F704" s="15"/>
    </row>
    <row r="705" spans="1:6" ht="24" customHeight="1">
      <c r="A705" s="12" t="e">
        <f t="shared" si="1"/>
        <v>#N/A</v>
      </c>
      <c r="B705" s="15" t="e">
        <f>VLOOKUP(D198,[1]국문!$1:$10000,6,0)</f>
        <v>#N/A</v>
      </c>
      <c r="C705" s="15"/>
      <c r="D705" s="15"/>
      <c r="E705" s="15"/>
      <c r="F705" s="15"/>
    </row>
    <row r="706" spans="1:6" ht="24" customHeight="1">
      <c r="A706" s="12" t="e">
        <f t="shared" si="1"/>
        <v>#N/A</v>
      </c>
      <c r="B706" s="15" t="e">
        <f>VLOOKUP(D199,[1]국문!$1:$10000,6,0)</f>
        <v>#N/A</v>
      </c>
      <c r="C706" s="15"/>
      <c r="D706" s="15"/>
      <c r="E706" s="15"/>
      <c r="F706" s="15"/>
    </row>
    <row r="707" spans="1:6" ht="24" customHeight="1">
      <c r="A707" s="12" t="e">
        <f t="shared" si="1"/>
        <v>#N/A</v>
      </c>
      <c r="B707" s="15" t="e">
        <f>VLOOKUP(D200,[1]국문!$1:$10000,6,0)</f>
        <v>#N/A</v>
      </c>
      <c r="C707" s="15"/>
      <c r="D707" s="15"/>
      <c r="E707" s="15"/>
      <c r="F707" s="15"/>
    </row>
    <row r="708" spans="1:6" ht="24" customHeight="1">
      <c r="A708" s="12" t="e">
        <f t="shared" si="1"/>
        <v>#N/A</v>
      </c>
      <c r="B708" s="15" t="e">
        <f>VLOOKUP(D201,[1]국문!$1:$10000,6,0)</f>
        <v>#N/A</v>
      </c>
      <c r="C708" s="15"/>
      <c r="D708" s="15"/>
      <c r="E708" s="15"/>
      <c r="F708" s="15"/>
    </row>
    <row r="709" spans="1:6" ht="24" customHeight="1">
      <c r="A709" s="12" t="e">
        <f t="shared" si="1"/>
        <v>#N/A</v>
      </c>
      <c r="B709" s="15" t="e">
        <f>VLOOKUP(D202,[1]국문!$1:$10000,6,0)</f>
        <v>#N/A</v>
      </c>
      <c r="C709" s="15"/>
      <c r="D709" s="15"/>
      <c r="E709" s="15"/>
      <c r="F709" s="15"/>
    </row>
    <row r="710" spans="1:6" ht="24" customHeight="1">
      <c r="A710" s="12" t="e">
        <f t="shared" si="1"/>
        <v>#N/A</v>
      </c>
      <c r="B710" s="15" t="e">
        <f>VLOOKUP(D203,[1]국문!$1:$10000,6,0)</f>
        <v>#N/A</v>
      </c>
      <c r="C710" s="15"/>
      <c r="D710" s="15"/>
      <c r="E710" s="15"/>
      <c r="F710" s="15"/>
    </row>
    <row r="711" spans="1:6" ht="24" customHeight="1">
      <c r="A711" s="12" t="e">
        <f t="shared" si="1"/>
        <v>#N/A</v>
      </c>
      <c r="B711" s="15" t="e">
        <f>VLOOKUP(D204,[1]국문!$1:$10000,6,0)</f>
        <v>#N/A</v>
      </c>
      <c r="C711" s="15"/>
      <c r="D711" s="15"/>
      <c r="E711" s="15"/>
      <c r="F711" s="15"/>
    </row>
    <row r="712" spans="1:6" ht="24" customHeight="1">
      <c r="A712" s="12" t="e">
        <f t="shared" si="1"/>
        <v>#N/A</v>
      </c>
      <c r="B712" s="15" t="e">
        <f>VLOOKUP(D205,[1]국문!$1:$10000,6,0)</f>
        <v>#N/A</v>
      </c>
      <c r="C712" s="15"/>
      <c r="D712" s="15"/>
      <c r="E712" s="15"/>
      <c r="F712" s="15"/>
    </row>
    <row r="713" spans="1:6" ht="24" customHeight="1">
      <c r="A713" s="12" t="e">
        <f t="shared" si="1"/>
        <v>#N/A</v>
      </c>
      <c r="B713" s="15" t="e">
        <f>VLOOKUP(D206,[1]국문!$1:$10000,6,0)</f>
        <v>#N/A</v>
      </c>
      <c r="C713" s="15"/>
      <c r="D713" s="15"/>
      <c r="E713" s="15"/>
      <c r="F713" s="15"/>
    </row>
    <row r="714" spans="1:6" ht="24" customHeight="1">
      <c r="A714" s="12" t="e">
        <f t="shared" si="1"/>
        <v>#N/A</v>
      </c>
      <c r="B714" s="15" t="e">
        <f>VLOOKUP(D207,[1]국문!$1:$10000,6,0)</f>
        <v>#N/A</v>
      </c>
      <c r="C714" s="15"/>
      <c r="D714" s="15"/>
      <c r="E714" s="15"/>
      <c r="F714" s="15"/>
    </row>
    <row r="715" spans="1:6" ht="24" customHeight="1">
      <c r="A715" s="12" t="e">
        <f t="shared" si="1"/>
        <v>#N/A</v>
      </c>
      <c r="B715" s="15" t="e">
        <f>VLOOKUP(D208,[1]국문!$1:$10000,6,0)</f>
        <v>#N/A</v>
      </c>
      <c r="C715" s="15"/>
      <c r="D715" s="15"/>
      <c r="E715" s="15"/>
      <c r="F715" s="15"/>
    </row>
    <row r="716" spans="1:6" ht="24" customHeight="1">
      <c r="A716" s="12" t="e">
        <f t="shared" si="1"/>
        <v>#N/A</v>
      </c>
      <c r="B716" s="15" t="e">
        <f>VLOOKUP(D209,[1]국문!$1:$10000,6,0)</f>
        <v>#N/A</v>
      </c>
      <c r="C716" s="15"/>
      <c r="D716" s="15"/>
      <c r="E716" s="15"/>
      <c r="F716" s="15"/>
    </row>
    <row r="717" spans="1:6" ht="24" customHeight="1">
      <c r="A717" s="12" t="e">
        <f t="shared" si="1"/>
        <v>#N/A</v>
      </c>
      <c r="B717" s="15" t="e">
        <f>VLOOKUP(D210,[1]국문!$1:$10000,6,0)</f>
        <v>#N/A</v>
      </c>
      <c r="C717" s="15"/>
      <c r="D717" s="15"/>
      <c r="E717" s="15"/>
      <c r="F717" s="15"/>
    </row>
    <row r="718" spans="1:6" ht="29.25" customHeight="1">
      <c r="A718" s="12" t="e">
        <f t="shared" si="1"/>
        <v>#N/A</v>
      </c>
      <c r="B718" s="15" t="e">
        <f>VLOOKUP(D211,[1]국문!$1:$10000,6,0)</f>
        <v>#N/A</v>
      </c>
      <c r="C718" s="15"/>
      <c r="D718" s="15"/>
      <c r="E718" s="15"/>
      <c r="F718" s="15"/>
    </row>
    <row r="719" spans="1:6" ht="24" customHeight="1">
      <c r="A719" s="12" t="e">
        <f t="shared" si="1"/>
        <v>#N/A</v>
      </c>
      <c r="B719" s="15" t="e">
        <f>VLOOKUP(D212,[1]국문!$1:$10000,6,0)</f>
        <v>#N/A</v>
      </c>
      <c r="C719" s="15"/>
      <c r="D719" s="15"/>
      <c r="E719" s="15"/>
      <c r="F719" s="15"/>
    </row>
    <row r="720" spans="1:6" ht="18" customHeight="1">
      <c r="A720" s="12" t="e">
        <f t="shared" si="1"/>
        <v>#N/A</v>
      </c>
      <c r="B720" s="15" t="e">
        <f>VLOOKUP(D241,[1]국문!$1:$10000,6,0)</f>
        <v>#N/A</v>
      </c>
      <c r="C720" s="15"/>
      <c r="D720" s="15"/>
      <c r="E720" s="15"/>
      <c r="F720" s="15"/>
    </row>
    <row r="721" spans="1:6" ht="18" customHeight="1">
      <c r="A721" s="12" t="e">
        <f t="shared" si="1"/>
        <v>#N/A</v>
      </c>
      <c r="B721" s="15" t="e">
        <f>VLOOKUP(D242,[1]국문!$1:$10000,6,0)</f>
        <v>#N/A</v>
      </c>
      <c r="C721" s="15"/>
      <c r="D721" s="15"/>
      <c r="E721" s="15"/>
      <c r="F721" s="15"/>
    </row>
    <row r="722" spans="1:6" ht="18" customHeight="1">
      <c r="A722" s="12" t="e">
        <f t="shared" si="1"/>
        <v>#N/A</v>
      </c>
      <c r="B722" s="15" t="e">
        <f>VLOOKUP(D243,[1]국문!$1:$10000,6,0)</f>
        <v>#N/A</v>
      </c>
      <c r="C722" s="15"/>
      <c r="D722" s="15"/>
      <c r="E722" s="15"/>
      <c r="F722" s="15"/>
    </row>
    <row r="723" spans="1:6" ht="18" customHeight="1">
      <c r="A723" s="12" t="e">
        <f t="shared" si="1"/>
        <v>#N/A</v>
      </c>
      <c r="B723" s="15" t="e">
        <f>VLOOKUP(D244,[1]국문!$1:$10000,6,0)</f>
        <v>#N/A</v>
      </c>
      <c r="C723" s="15"/>
      <c r="D723" s="15"/>
      <c r="E723" s="15"/>
      <c r="F723" s="15"/>
    </row>
    <row r="724" spans="1:6" ht="18" customHeight="1">
      <c r="A724" s="12" t="e">
        <f t="shared" si="1"/>
        <v>#N/A</v>
      </c>
      <c r="B724" s="15" t="e">
        <f>VLOOKUP(D245,[1]국문!$1:$10000,6,0)</f>
        <v>#N/A</v>
      </c>
      <c r="C724" s="15"/>
      <c r="D724" s="15"/>
      <c r="E724" s="15"/>
      <c r="F724" s="15"/>
    </row>
    <row r="725" spans="1:6" ht="14.45" customHeight="1">
      <c r="A725" s="12" t="e">
        <f t="shared" si="1"/>
        <v>#N/A</v>
      </c>
      <c r="B725" s="15" t="e">
        <f>VLOOKUP(D246,[1]국문!$1:$10000,6,0)</f>
        <v>#N/A</v>
      </c>
      <c r="C725" s="15"/>
      <c r="D725" s="15"/>
      <c r="E725" s="15"/>
      <c r="F725" s="15"/>
    </row>
    <row r="726" spans="1:6" ht="18" customHeight="1">
      <c r="A726" s="12" t="e">
        <f t="shared" si="1"/>
        <v>#N/A</v>
      </c>
      <c r="B726" s="15" t="e">
        <f>VLOOKUP(D247,[1]국문!$1:$10000,6,0)</f>
        <v>#N/A</v>
      </c>
      <c r="C726" s="15"/>
      <c r="D726" s="15"/>
      <c r="E726" s="15"/>
      <c r="F726" s="15"/>
    </row>
    <row r="727" spans="1:6" ht="18" customHeight="1">
      <c r="A727" s="12" t="e">
        <f t="shared" si="1"/>
        <v>#N/A</v>
      </c>
      <c r="B727" s="15" t="e">
        <f>VLOOKUP(D248,[1]국문!$1:$10000,6,0)</f>
        <v>#N/A</v>
      </c>
      <c r="C727" s="15"/>
      <c r="D727" s="15"/>
      <c r="E727" s="15"/>
      <c r="F727" s="15"/>
    </row>
    <row r="728" spans="1:6" ht="18" customHeight="1">
      <c r="A728" s="12" t="e">
        <f t="shared" si="1"/>
        <v>#N/A</v>
      </c>
      <c r="B728" s="15" t="e">
        <f>VLOOKUP(D249,[1]국문!$1:$10000,6,0)</f>
        <v>#N/A</v>
      </c>
      <c r="C728" s="15"/>
      <c r="D728" s="15"/>
      <c r="E728" s="15"/>
      <c r="F728" s="15"/>
    </row>
    <row r="729" spans="1:6" ht="18" customHeight="1">
      <c r="A729" s="12" t="e">
        <f t="shared" si="1"/>
        <v>#N/A</v>
      </c>
      <c r="B729" s="15" t="e">
        <f>VLOOKUP(D250,[1]국문!$1:$10000,6,0)</f>
        <v>#N/A</v>
      </c>
      <c r="C729" s="15"/>
      <c r="D729" s="15"/>
      <c r="E729" s="15"/>
      <c r="F729" s="15"/>
    </row>
    <row r="730" spans="1:6" ht="14.45" customHeight="1">
      <c r="A730" s="12" t="e">
        <f t="shared" ref="A730:A793" si="2">A262</f>
        <v>#N/A</v>
      </c>
      <c r="B730" s="15" t="e">
        <f>VLOOKUP(D251,[1]국문!$1:$10000,6,0)</f>
        <v>#N/A</v>
      </c>
      <c r="C730" s="15"/>
      <c r="D730" s="15"/>
      <c r="E730" s="15"/>
      <c r="F730" s="15"/>
    </row>
    <row r="731" spans="1:6" ht="14.45" customHeight="1">
      <c r="A731" s="12" t="e">
        <f t="shared" si="2"/>
        <v>#N/A</v>
      </c>
      <c r="B731" s="15" t="e">
        <f>VLOOKUP(D252,[1]국문!$1:$10000,6,0)</f>
        <v>#N/A</v>
      </c>
      <c r="C731" s="15"/>
      <c r="D731" s="15"/>
      <c r="E731" s="15"/>
      <c r="F731" s="15"/>
    </row>
    <row r="732" spans="1:6" ht="23.25" customHeight="1">
      <c r="A732" s="12" t="e">
        <f t="shared" si="2"/>
        <v>#N/A</v>
      </c>
      <c r="B732" s="15" t="e">
        <f>VLOOKUP(D253,[1]국문!$1:$10000,6,0)</f>
        <v>#N/A</v>
      </c>
      <c r="C732" s="15"/>
      <c r="D732" s="15"/>
      <c r="E732" s="15"/>
      <c r="F732" s="15"/>
    </row>
    <row r="733" spans="1:6" ht="18" customHeight="1">
      <c r="A733" s="12" t="e">
        <f t="shared" si="2"/>
        <v>#N/A</v>
      </c>
      <c r="B733" s="15" t="e">
        <f>VLOOKUP(D254,[1]국문!$1:$10000,6,0)</f>
        <v>#N/A</v>
      </c>
      <c r="C733" s="15"/>
      <c r="D733" s="15"/>
      <c r="E733" s="15"/>
      <c r="F733" s="15"/>
    </row>
    <row r="734" spans="1:6" ht="18" customHeight="1">
      <c r="A734" s="12" t="e">
        <f t="shared" si="2"/>
        <v>#N/A</v>
      </c>
      <c r="B734" s="15" t="e">
        <f>VLOOKUP(D255,[1]국문!$1:$10000,6,0)</f>
        <v>#N/A</v>
      </c>
      <c r="C734" s="15"/>
      <c r="D734" s="15"/>
      <c r="E734" s="15"/>
      <c r="F734" s="15"/>
    </row>
    <row r="735" spans="1:6" ht="18" customHeight="1">
      <c r="A735" s="12" t="e">
        <f t="shared" si="2"/>
        <v>#N/A</v>
      </c>
      <c r="B735" s="15" t="e">
        <f>VLOOKUP(D256,[1]국문!$1:$10000,6,0)</f>
        <v>#N/A</v>
      </c>
      <c r="C735" s="15"/>
      <c r="D735" s="15"/>
      <c r="E735" s="15"/>
      <c r="F735" s="15"/>
    </row>
    <row r="736" spans="1:6" ht="18" customHeight="1">
      <c r="A736" s="12" t="e">
        <f t="shared" si="2"/>
        <v>#N/A</v>
      </c>
      <c r="B736" s="15" t="e">
        <f>VLOOKUP(D257,[1]국문!$1:$10000,6,0)</f>
        <v>#N/A</v>
      </c>
      <c r="C736" s="15"/>
      <c r="D736" s="15"/>
      <c r="E736" s="15"/>
      <c r="F736" s="15"/>
    </row>
    <row r="737" spans="1:6" ht="24" customHeight="1">
      <c r="A737" s="12" t="e">
        <f t="shared" si="2"/>
        <v>#N/A</v>
      </c>
      <c r="B737" s="15" t="e">
        <f>VLOOKUP(D230,[1]국문!$1:$10000,6,0)</f>
        <v>#N/A</v>
      </c>
      <c r="C737" s="15"/>
      <c r="D737" s="15"/>
      <c r="E737" s="15"/>
      <c r="F737" s="15"/>
    </row>
    <row r="738" spans="1:6" ht="24" customHeight="1">
      <c r="A738" s="12" t="e">
        <f t="shared" si="2"/>
        <v>#N/A</v>
      </c>
      <c r="B738" s="15" t="e">
        <f>VLOOKUP(D231,[1]국문!$1:$10000,6,0)</f>
        <v>#N/A</v>
      </c>
      <c r="C738" s="15"/>
      <c r="D738" s="15"/>
      <c r="E738" s="15"/>
      <c r="F738" s="15"/>
    </row>
    <row r="739" spans="1:6" ht="24" customHeight="1">
      <c r="A739" s="12" t="e">
        <f t="shared" si="2"/>
        <v>#N/A</v>
      </c>
      <c r="B739" s="15" t="e">
        <f>VLOOKUP(D232,[1]국문!$1:$10000,6,0)</f>
        <v>#N/A</v>
      </c>
      <c r="C739" s="15"/>
      <c r="D739" s="15"/>
      <c r="E739" s="15"/>
      <c r="F739" s="15"/>
    </row>
    <row r="740" spans="1:6" ht="24" customHeight="1">
      <c r="A740" s="12" t="e">
        <f t="shared" si="2"/>
        <v>#N/A</v>
      </c>
      <c r="B740" s="15" t="e">
        <f>VLOOKUP(D233,[1]국문!$1:$10000,6,0)</f>
        <v>#N/A</v>
      </c>
      <c r="C740" s="15"/>
      <c r="D740" s="15"/>
      <c r="E740" s="15"/>
      <c r="F740" s="15"/>
    </row>
    <row r="741" spans="1:6" ht="24" customHeight="1">
      <c r="A741" s="12" t="e">
        <f t="shared" si="2"/>
        <v>#N/A</v>
      </c>
      <c r="B741" s="15" t="e">
        <f>VLOOKUP(D234,[1]국문!$1:$10000,6,0)</f>
        <v>#N/A</v>
      </c>
      <c r="C741" s="15"/>
      <c r="D741" s="15"/>
      <c r="E741" s="15"/>
      <c r="F741" s="15"/>
    </row>
    <row r="742" spans="1:6" ht="24" customHeight="1">
      <c r="A742" s="12" t="e">
        <f t="shared" si="2"/>
        <v>#N/A</v>
      </c>
      <c r="B742" s="15" t="e">
        <f>VLOOKUP(D235,[1]국문!$1:$10000,6,0)</f>
        <v>#N/A</v>
      </c>
      <c r="C742" s="15"/>
      <c r="D742" s="15"/>
      <c r="E742" s="15"/>
      <c r="F742" s="15"/>
    </row>
    <row r="743" spans="1:6" ht="24" customHeight="1">
      <c r="A743" s="12" t="e">
        <f t="shared" si="2"/>
        <v>#N/A</v>
      </c>
      <c r="B743" s="15" t="e">
        <f>VLOOKUP(D236,[1]국문!$1:$10000,6,0)</f>
        <v>#N/A</v>
      </c>
      <c r="C743" s="15"/>
      <c r="D743" s="15"/>
      <c r="E743" s="15"/>
      <c r="F743" s="15"/>
    </row>
    <row r="744" spans="1:6" ht="24" customHeight="1">
      <c r="A744" s="12" t="e">
        <f t="shared" si="2"/>
        <v>#N/A</v>
      </c>
      <c r="B744" s="15" t="e">
        <f>VLOOKUP(D237,[1]국문!$1:$10000,6,0)</f>
        <v>#N/A</v>
      </c>
      <c r="C744" s="15"/>
      <c r="D744" s="15"/>
      <c r="E744" s="15"/>
      <c r="F744" s="15"/>
    </row>
    <row r="745" spans="1:6" ht="24" customHeight="1">
      <c r="A745" s="12" t="e">
        <f t="shared" si="2"/>
        <v>#N/A</v>
      </c>
      <c r="B745" s="15" t="e">
        <f>VLOOKUP(D238,[1]국문!$1:$10000,6,0)</f>
        <v>#N/A</v>
      </c>
      <c r="C745" s="15"/>
      <c r="D745" s="15"/>
      <c r="E745" s="15"/>
      <c r="F745" s="15"/>
    </row>
    <row r="746" spans="1:6" ht="24" customHeight="1">
      <c r="A746" s="12" t="e">
        <f t="shared" si="2"/>
        <v>#N/A</v>
      </c>
      <c r="B746" s="15" t="e">
        <f>VLOOKUP(D239,[1]국문!$1:$10000,6,0)</f>
        <v>#N/A</v>
      </c>
      <c r="C746" s="15"/>
      <c r="D746" s="15"/>
      <c r="E746" s="15"/>
      <c r="F746" s="15"/>
    </row>
    <row r="747" spans="1:6" ht="24" customHeight="1">
      <c r="A747" s="12" t="e">
        <f t="shared" si="2"/>
        <v>#N/A</v>
      </c>
      <c r="B747" s="15" t="e">
        <f>VLOOKUP(D240,[1]국문!$1:$10000,6,0)</f>
        <v>#N/A</v>
      </c>
      <c r="C747" s="15"/>
      <c r="D747" s="15"/>
      <c r="E747" s="15"/>
      <c r="F747" s="15"/>
    </row>
    <row r="748" spans="1:6" ht="24" customHeight="1">
      <c r="A748" s="12" t="e">
        <f t="shared" si="2"/>
        <v>#N/A</v>
      </c>
      <c r="B748" s="15" t="e">
        <f>VLOOKUP(D241,[1]국문!$1:$10000,6,0)</f>
        <v>#N/A</v>
      </c>
      <c r="C748" s="15"/>
      <c r="D748" s="15"/>
      <c r="E748" s="15"/>
      <c r="F748" s="15"/>
    </row>
    <row r="749" spans="1:6" ht="24" customHeight="1">
      <c r="A749" s="12" t="e">
        <f t="shared" si="2"/>
        <v>#N/A</v>
      </c>
      <c r="B749" s="15" t="e">
        <f>VLOOKUP(D242,[1]국문!$1:$10000,6,0)</f>
        <v>#N/A</v>
      </c>
      <c r="C749" s="15"/>
      <c r="D749" s="15"/>
      <c r="E749" s="15"/>
      <c r="F749" s="15"/>
    </row>
    <row r="750" spans="1:6" ht="29.25" customHeight="1">
      <c r="A750" s="12" t="e">
        <f t="shared" si="2"/>
        <v>#N/A</v>
      </c>
      <c r="B750" s="15" t="e">
        <f>VLOOKUP(D243,[1]국문!$1:$10000,6,0)</f>
        <v>#N/A</v>
      </c>
      <c r="C750" s="15"/>
      <c r="D750" s="15"/>
      <c r="E750" s="15"/>
      <c r="F750" s="15"/>
    </row>
    <row r="751" spans="1:6" ht="24" customHeight="1">
      <c r="A751" s="12" t="e">
        <f t="shared" si="2"/>
        <v>#N/A</v>
      </c>
      <c r="B751" s="15" t="e">
        <f>VLOOKUP(D244,[1]국문!$1:$10000,6,0)</f>
        <v>#N/A</v>
      </c>
      <c r="C751" s="15"/>
      <c r="D751" s="15"/>
      <c r="E751" s="15"/>
      <c r="F751" s="15"/>
    </row>
    <row r="752" spans="1:6" ht="18" customHeight="1">
      <c r="A752" s="12" t="e">
        <f t="shared" si="2"/>
        <v>#N/A</v>
      </c>
      <c r="B752" s="15" t="e">
        <f>VLOOKUP(D273,[1]국문!$1:$10000,6,0)</f>
        <v>#N/A</v>
      </c>
      <c r="C752" s="15"/>
      <c r="D752" s="15"/>
      <c r="E752" s="15"/>
      <c r="F752" s="15"/>
    </row>
    <row r="753" spans="1:6" ht="18" customHeight="1">
      <c r="A753" s="12" t="e">
        <f t="shared" si="2"/>
        <v>#N/A</v>
      </c>
      <c r="B753" s="15" t="e">
        <f>VLOOKUP(D274,[1]국문!$1:$10000,6,0)</f>
        <v>#N/A</v>
      </c>
      <c r="C753" s="15"/>
      <c r="D753" s="15"/>
      <c r="E753" s="15"/>
      <c r="F753" s="15"/>
    </row>
    <row r="754" spans="1:6" ht="18" customHeight="1">
      <c r="A754" s="12" t="e">
        <f t="shared" si="2"/>
        <v>#N/A</v>
      </c>
      <c r="B754" s="15" t="e">
        <f>VLOOKUP(D275,[1]국문!$1:$10000,6,0)</f>
        <v>#N/A</v>
      </c>
      <c r="C754" s="15"/>
      <c r="D754" s="15"/>
      <c r="E754" s="15"/>
      <c r="F754" s="15"/>
    </row>
    <row r="755" spans="1:6" ht="18" customHeight="1">
      <c r="A755" s="12" t="e">
        <f t="shared" si="2"/>
        <v>#N/A</v>
      </c>
      <c r="B755" s="15" t="e">
        <f>VLOOKUP(D276,[1]국문!$1:$10000,6,0)</f>
        <v>#N/A</v>
      </c>
      <c r="C755" s="15"/>
      <c r="D755" s="15"/>
      <c r="E755" s="15"/>
      <c r="F755" s="15"/>
    </row>
    <row r="756" spans="1:6" ht="18" customHeight="1">
      <c r="A756" s="12" t="e">
        <f t="shared" si="2"/>
        <v>#N/A</v>
      </c>
      <c r="B756" s="15" t="e">
        <f>VLOOKUP(D277,[1]국문!$1:$10000,6,0)</f>
        <v>#N/A</v>
      </c>
      <c r="C756" s="15"/>
      <c r="D756" s="15"/>
      <c r="E756" s="15"/>
      <c r="F756" s="15"/>
    </row>
    <row r="757" spans="1:6" ht="14.45" customHeight="1">
      <c r="A757" s="12" t="e">
        <f t="shared" si="2"/>
        <v>#N/A</v>
      </c>
      <c r="B757" s="15" t="e">
        <f>VLOOKUP(D278,[1]국문!$1:$10000,6,0)</f>
        <v>#N/A</v>
      </c>
      <c r="C757" s="15"/>
      <c r="D757" s="15"/>
      <c r="E757" s="15"/>
      <c r="F757" s="15"/>
    </row>
    <row r="758" spans="1:6" ht="18" customHeight="1">
      <c r="A758" s="12" t="e">
        <f t="shared" si="2"/>
        <v>#N/A</v>
      </c>
      <c r="B758" s="15" t="e">
        <f>VLOOKUP(D279,[1]국문!$1:$10000,6,0)</f>
        <v>#N/A</v>
      </c>
      <c r="C758" s="15"/>
      <c r="D758" s="15"/>
      <c r="E758" s="15"/>
      <c r="F758" s="15"/>
    </row>
    <row r="759" spans="1:6" ht="18" customHeight="1">
      <c r="A759" s="12" t="e">
        <f t="shared" si="2"/>
        <v>#N/A</v>
      </c>
      <c r="B759" s="15" t="e">
        <f>VLOOKUP(D280,[1]국문!$1:$10000,6,0)</f>
        <v>#N/A</v>
      </c>
      <c r="C759" s="15"/>
      <c r="D759" s="15"/>
      <c r="E759" s="15"/>
      <c r="F759" s="15"/>
    </row>
    <row r="760" spans="1:6" ht="18" customHeight="1">
      <c r="A760" s="12" t="e">
        <f t="shared" si="2"/>
        <v>#N/A</v>
      </c>
      <c r="B760" s="15" t="e">
        <f>VLOOKUP(D281,[1]국문!$1:$10000,6,0)</f>
        <v>#N/A</v>
      </c>
      <c r="C760" s="15"/>
      <c r="D760" s="15"/>
      <c r="E760" s="15"/>
      <c r="F760" s="15"/>
    </row>
    <row r="761" spans="1:6" ht="18" customHeight="1">
      <c r="A761" s="12" t="e">
        <f t="shared" si="2"/>
        <v>#N/A</v>
      </c>
      <c r="B761" s="15" t="e">
        <f>VLOOKUP(D282,[1]국문!$1:$10000,6,0)</f>
        <v>#N/A</v>
      </c>
      <c r="C761" s="15"/>
      <c r="D761" s="15"/>
      <c r="E761" s="15"/>
      <c r="F761" s="15"/>
    </row>
    <row r="762" spans="1:6" ht="14.45" customHeight="1">
      <c r="A762" s="12" t="e">
        <f t="shared" si="2"/>
        <v>#N/A</v>
      </c>
      <c r="B762" s="15" t="e">
        <f>VLOOKUP(D283,[1]국문!$1:$10000,6,0)</f>
        <v>#N/A</v>
      </c>
      <c r="C762" s="15"/>
      <c r="D762" s="15"/>
      <c r="E762" s="15"/>
      <c r="F762" s="15"/>
    </row>
    <row r="763" spans="1:6" ht="14.45" customHeight="1">
      <c r="A763" s="12" t="e">
        <f t="shared" si="2"/>
        <v>#N/A</v>
      </c>
      <c r="B763" s="15" t="e">
        <f>VLOOKUP(D284,[1]국문!$1:$10000,6,0)</f>
        <v>#N/A</v>
      </c>
      <c r="C763" s="15"/>
      <c r="D763" s="15"/>
      <c r="E763" s="15"/>
      <c r="F763" s="15"/>
    </row>
    <row r="764" spans="1:6" ht="23.25" customHeight="1">
      <c r="A764" s="12" t="e">
        <f t="shared" si="2"/>
        <v>#N/A</v>
      </c>
      <c r="B764" s="15" t="e">
        <f>VLOOKUP(D285,[1]국문!$1:$10000,6,0)</f>
        <v>#N/A</v>
      </c>
      <c r="C764" s="15"/>
      <c r="D764" s="15"/>
      <c r="E764" s="15"/>
      <c r="F764" s="15"/>
    </row>
    <row r="765" spans="1:6" ht="18" customHeight="1">
      <c r="A765" s="12" t="e">
        <f t="shared" si="2"/>
        <v>#N/A</v>
      </c>
      <c r="B765" s="15" t="e">
        <f>VLOOKUP(D286,[1]국문!$1:$10000,6,0)</f>
        <v>#N/A</v>
      </c>
      <c r="C765" s="15"/>
      <c r="D765" s="15"/>
      <c r="E765" s="15"/>
      <c r="F765" s="15"/>
    </row>
    <row r="766" spans="1:6" ht="18" customHeight="1">
      <c r="A766" s="12" t="e">
        <f t="shared" si="2"/>
        <v>#N/A</v>
      </c>
      <c r="B766" s="15" t="e">
        <f>VLOOKUP(D287,[1]국문!$1:$10000,6,0)</f>
        <v>#N/A</v>
      </c>
      <c r="C766" s="15"/>
      <c r="D766" s="15"/>
      <c r="E766" s="15"/>
      <c r="F766" s="15"/>
    </row>
    <row r="767" spans="1:6" ht="18" customHeight="1">
      <c r="A767" s="12" t="e">
        <f t="shared" si="2"/>
        <v>#N/A</v>
      </c>
      <c r="B767" s="15" t="e">
        <f>VLOOKUP(D288,[1]국문!$1:$10000,6,0)</f>
        <v>#N/A</v>
      </c>
      <c r="C767" s="15"/>
      <c r="D767" s="15"/>
      <c r="E767" s="15"/>
      <c r="F767" s="15"/>
    </row>
    <row r="768" spans="1:6" ht="18" customHeight="1">
      <c r="A768" s="12" t="e">
        <f t="shared" si="2"/>
        <v>#N/A</v>
      </c>
      <c r="B768" s="15" t="e">
        <f>VLOOKUP(D289,[1]국문!$1:$10000,6,0)</f>
        <v>#N/A</v>
      </c>
      <c r="C768" s="15"/>
      <c r="D768" s="15"/>
      <c r="E768" s="15"/>
      <c r="F768" s="15"/>
    </row>
    <row r="769" spans="1:6" ht="24" customHeight="1">
      <c r="A769" s="12" t="e">
        <f t="shared" si="2"/>
        <v>#N/A</v>
      </c>
      <c r="B769" s="15" t="e">
        <f>VLOOKUP(D262,[1]국문!$1:$10000,6,0)</f>
        <v>#N/A</v>
      </c>
      <c r="C769" s="15"/>
      <c r="D769" s="15"/>
      <c r="E769" s="15"/>
      <c r="F769" s="15"/>
    </row>
    <row r="770" spans="1:6" ht="24" customHeight="1">
      <c r="A770" s="12" t="e">
        <f t="shared" si="2"/>
        <v>#N/A</v>
      </c>
      <c r="B770" s="15" t="e">
        <f>VLOOKUP(D263,[1]국문!$1:$10000,6,0)</f>
        <v>#N/A</v>
      </c>
      <c r="C770" s="15"/>
      <c r="D770" s="15"/>
      <c r="E770" s="15"/>
      <c r="F770" s="15"/>
    </row>
    <row r="771" spans="1:6" ht="24" customHeight="1">
      <c r="A771" s="12" t="e">
        <f t="shared" si="2"/>
        <v>#N/A</v>
      </c>
      <c r="B771" s="15" t="e">
        <f>VLOOKUP(D264,[1]국문!$1:$10000,6,0)</f>
        <v>#N/A</v>
      </c>
      <c r="C771" s="15"/>
      <c r="D771" s="15"/>
      <c r="E771" s="15"/>
      <c r="F771" s="15"/>
    </row>
    <row r="772" spans="1:6" ht="24" customHeight="1">
      <c r="A772" s="12" t="e">
        <f t="shared" si="2"/>
        <v>#N/A</v>
      </c>
      <c r="B772" s="15" t="e">
        <f>VLOOKUP(D265,[1]국문!$1:$10000,6,0)</f>
        <v>#N/A</v>
      </c>
      <c r="C772" s="15"/>
      <c r="D772" s="15"/>
      <c r="E772" s="15"/>
      <c r="F772" s="15"/>
    </row>
    <row r="773" spans="1:6" ht="24" customHeight="1">
      <c r="A773" s="12" t="e">
        <f t="shared" si="2"/>
        <v>#N/A</v>
      </c>
      <c r="B773" s="15" t="e">
        <f>VLOOKUP(D266,[1]국문!$1:$10000,6,0)</f>
        <v>#N/A</v>
      </c>
      <c r="C773" s="15"/>
      <c r="D773" s="15"/>
      <c r="E773" s="15"/>
      <c r="F773" s="15"/>
    </row>
    <row r="774" spans="1:6" ht="24" customHeight="1">
      <c r="A774" s="12" t="e">
        <f t="shared" si="2"/>
        <v>#N/A</v>
      </c>
      <c r="B774" s="15" t="e">
        <f>VLOOKUP(D267,[1]국문!$1:$10000,6,0)</f>
        <v>#N/A</v>
      </c>
      <c r="C774" s="15"/>
      <c r="D774" s="15"/>
      <c r="E774" s="15"/>
      <c r="F774" s="15"/>
    </row>
    <row r="775" spans="1:6" ht="24" customHeight="1">
      <c r="A775" s="12" t="e">
        <f t="shared" si="2"/>
        <v>#N/A</v>
      </c>
      <c r="B775" s="15" t="e">
        <f>VLOOKUP(D268,[1]국문!$1:$10000,6,0)</f>
        <v>#N/A</v>
      </c>
      <c r="C775" s="15"/>
      <c r="D775" s="15"/>
      <c r="E775" s="15"/>
      <c r="F775" s="15"/>
    </row>
    <row r="776" spans="1:6" ht="24" customHeight="1">
      <c r="A776" s="12" t="e">
        <f t="shared" si="2"/>
        <v>#N/A</v>
      </c>
      <c r="B776" s="15" t="e">
        <f>VLOOKUP(D269,[1]국문!$1:$10000,6,0)</f>
        <v>#N/A</v>
      </c>
      <c r="C776" s="15"/>
      <c r="D776" s="15"/>
      <c r="E776" s="15"/>
      <c r="F776" s="15"/>
    </row>
    <row r="777" spans="1:6" ht="24" customHeight="1">
      <c r="A777" s="12" t="e">
        <f t="shared" si="2"/>
        <v>#N/A</v>
      </c>
      <c r="B777" s="15" t="e">
        <f>VLOOKUP(D270,[1]국문!$1:$10000,6,0)</f>
        <v>#N/A</v>
      </c>
      <c r="C777" s="15"/>
      <c r="D777" s="15"/>
      <c r="E777" s="15"/>
      <c r="F777" s="15"/>
    </row>
    <row r="778" spans="1:6" ht="24" customHeight="1">
      <c r="A778" s="12" t="e">
        <f t="shared" si="2"/>
        <v>#N/A</v>
      </c>
      <c r="B778" s="15" t="e">
        <f>VLOOKUP(D271,[1]국문!$1:$10000,6,0)</f>
        <v>#N/A</v>
      </c>
      <c r="C778" s="15"/>
      <c r="D778" s="15"/>
      <c r="E778" s="15"/>
      <c r="F778" s="15"/>
    </row>
    <row r="779" spans="1:6" ht="24" customHeight="1">
      <c r="A779" s="12" t="e">
        <f t="shared" si="2"/>
        <v>#N/A</v>
      </c>
      <c r="B779" s="15" t="e">
        <f>VLOOKUP(D272,[1]국문!$1:$10000,6,0)</f>
        <v>#N/A</v>
      </c>
      <c r="C779" s="15"/>
      <c r="D779" s="15"/>
      <c r="E779" s="15"/>
      <c r="F779" s="15"/>
    </row>
    <row r="780" spans="1:6" ht="24" customHeight="1">
      <c r="A780" s="12" t="e">
        <f t="shared" si="2"/>
        <v>#N/A</v>
      </c>
      <c r="B780" s="15" t="e">
        <f>VLOOKUP(D273,[1]국문!$1:$10000,6,0)</f>
        <v>#N/A</v>
      </c>
      <c r="C780" s="15"/>
      <c r="D780" s="15"/>
      <c r="E780" s="15"/>
      <c r="F780" s="15"/>
    </row>
    <row r="781" spans="1:6" ht="24" customHeight="1">
      <c r="A781" s="12" t="e">
        <f t="shared" si="2"/>
        <v>#N/A</v>
      </c>
      <c r="B781" s="15" t="e">
        <f>VLOOKUP(D274,[1]국문!$1:$10000,6,0)</f>
        <v>#N/A</v>
      </c>
      <c r="C781" s="15"/>
      <c r="D781" s="15"/>
      <c r="E781" s="15"/>
      <c r="F781" s="15"/>
    </row>
    <row r="782" spans="1:6" ht="29.25" customHeight="1">
      <c r="A782" s="12" t="e">
        <f t="shared" si="2"/>
        <v>#N/A</v>
      </c>
      <c r="B782" s="15" t="e">
        <f>VLOOKUP(D275,[1]국문!$1:$10000,6,0)</f>
        <v>#N/A</v>
      </c>
      <c r="C782" s="15"/>
      <c r="D782" s="15"/>
      <c r="E782" s="15"/>
      <c r="F782" s="15"/>
    </row>
    <row r="783" spans="1:6" ht="24" customHeight="1">
      <c r="A783" s="12" t="e">
        <f t="shared" si="2"/>
        <v>#N/A</v>
      </c>
      <c r="B783" s="15" t="e">
        <f>VLOOKUP(D276,[1]국문!$1:$10000,6,0)</f>
        <v>#N/A</v>
      </c>
      <c r="C783" s="15"/>
      <c r="D783" s="15"/>
      <c r="E783" s="15"/>
      <c r="F783" s="15"/>
    </row>
    <row r="784" spans="1:6" ht="18" customHeight="1">
      <c r="A784" s="12" t="e">
        <f t="shared" si="2"/>
        <v>#N/A</v>
      </c>
      <c r="B784" s="15" t="e">
        <f>VLOOKUP(D305,[1]국문!$1:$10000,6,0)</f>
        <v>#N/A</v>
      </c>
      <c r="C784" s="15"/>
      <c r="D784" s="15"/>
      <c r="E784" s="15"/>
      <c r="F784" s="15"/>
    </row>
    <row r="785" spans="1:6" ht="18" customHeight="1">
      <c r="A785" s="12" t="e">
        <f t="shared" si="2"/>
        <v>#N/A</v>
      </c>
      <c r="B785" s="15" t="e">
        <f>VLOOKUP(D306,[1]국문!$1:$10000,6,0)</f>
        <v>#N/A</v>
      </c>
      <c r="C785" s="15"/>
      <c r="D785" s="15"/>
      <c r="E785" s="15"/>
      <c r="F785" s="15"/>
    </row>
    <row r="786" spans="1:6" ht="18" customHeight="1">
      <c r="A786" s="12" t="e">
        <f t="shared" si="2"/>
        <v>#N/A</v>
      </c>
      <c r="B786" s="15" t="e">
        <f>VLOOKUP(D307,[1]국문!$1:$10000,6,0)</f>
        <v>#N/A</v>
      </c>
      <c r="C786" s="15"/>
      <c r="D786" s="15"/>
      <c r="E786" s="15"/>
      <c r="F786" s="15"/>
    </row>
    <row r="787" spans="1:6" ht="18" customHeight="1">
      <c r="A787" s="12" t="e">
        <f t="shared" si="2"/>
        <v>#N/A</v>
      </c>
      <c r="B787" s="15" t="e">
        <f>VLOOKUP(D308,[1]국문!$1:$10000,6,0)</f>
        <v>#N/A</v>
      </c>
      <c r="C787" s="15"/>
      <c r="D787" s="15"/>
      <c r="E787" s="15"/>
      <c r="F787" s="15"/>
    </row>
    <row r="788" spans="1:6" ht="18" customHeight="1">
      <c r="A788" s="12" t="e">
        <f t="shared" si="2"/>
        <v>#N/A</v>
      </c>
      <c r="B788" s="15" t="e">
        <f>VLOOKUP(D309,[1]국문!$1:$10000,6,0)</f>
        <v>#N/A</v>
      </c>
      <c r="C788" s="15"/>
      <c r="D788" s="15"/>
      <c r="E788" s="15"/>
      <c r="F788" s="15"/>
    </row>
    <row r="789" spans="1:6" ht="14.45" customHeight="1">
      <c r="A789" s="12" t="e">
        <f t="shared" si="2"/>
        <v>#N/A</v>
      </c>
      <c r="B789" s="15" t="e">
        <f>VLOOKUP(D310,[1]국문!$1:$10000,6,0)</f>
        <v>#N/A</v>
      </c>
      <c r="C789" s="15"/>
      <c r="D789" s="15"/>
      <c r="E789" s="15"/>
      <c r="F789" s="15"/>
    </row>
    <row r="790" spans="1:6" ht="18" customHeight="1">
      <c r="A790" s="12" t="e">
        <f t="shared" si="2"/>
        <v>#N/A</v>
      </c>
      <c r="B790" s="15" t="e">
        <f>VLOOKUP(D311,[1]국문!$1:$10000,6,0)</f>
        <v>#N/A</v>
      </c>
      <c r="C790" s="15"/>
      <c r="D790" s="15"/>
      <c r="E790" s="15"/>
      <c r="F790" s="15"/>
    </row>
    <row r="791" spans="1:6" ht="18" customHeight="1">
      <c r="A791" s="12" t="e">
        <f t="shared" si="2"/>
        <v>#N/A</v>
      </c>
      <c r="B791" s="15" t="e">
        <f>VLOOKUP(D312,[1]국문!$1:$10000,6,0)</f>
        <v>#N/A</v>
      </c>
      <c r="C791" s="15"/>
      <c r="D791" s="15"/>
      <c r="E791" s="15"/>
      <c r="F791" s="15"/>
    </row>
    <row r="792" spans="1:6" ht="18" customHeight="1">
      <c r="A792" s="12" t="e">
        <f t="shared" si="2"/>
        <v>#N/A</v>
      </c>
      <c r="B792" s="15" t="e">
        <f>VLOOKUP(D313,[1]국문!$1:$10000,6,0)</f>
        <v>#N/A</v>
      </c>
      <c r="C792" s="15"/>
      <c r="D792" s="15"/>
      <c r="E792" s="15"/>
      <c r="F792" s="15"/>
    </row>
    <row r="793" spans="1:6" ht="18" customHeight="1">
      <c r="A793" s="12" t="e">
        <f t="shared" si="2"/>
        <v>#N/A</v>
      </c>
      <c r="B793" s="15" t="e">
        <f>VLOOKUP(D314,[1]국문!$1:$10000,6,0)</f>
        <v>#N/A</v>
      </c>
      <c r="C793" s="15"/>
      <c r="D793" s="15"/>
      <c r="E793" s="15"/>
      <c r="F793" s="15"/>
    </row>
    <row r="794" spans="1:6" ht="14.45" customHeight="1">
      <c r="A794" s="12" t="e">
        <f t="shared" ref="A794:A800" si="3">A326</f>
        <v>#N/A</v>
      </c>
      <c r="B794" s="15" t="e">
        <f>VLOOKUP(D315,[1]국문!$1:$10000,6,0)</f>
        <v>#N/A</v>
      </c>
      <c r="C794" s="15"/>
      <c r="D794" s="15"/>
      <c r="E794" s="15"/>
      <c r="F794" s="15"/>
    </row>
    <row r="795" spans="1:6" ht="14.45" customHeight="1">
      <c r="A795" s="12" t="e">
        <f t="shared" si="3"/>
        <v>#N/A</v>
      </c>
      <c r="B795" s="15" t="e">
        <f>VLOOKUP(D316,[1]국문!$1:$10000,6,0)</f>
        <v>#N/A</v>
      </c>
      <c r="C795" s="15"/>
      <c r="D795" s="15"/>
      <c r="E795" s="15"/>
      <c r="F795" s="15"/>
    </row>
    <row r="796" spans="1:6" ht="23.25" customHeight="1">
      <c r="A796" s="12" t="e">
        <f t="shared" si="3"/>
        <v>#N/A</v>
      </c>
      <c r="B796" s="15" t="e">
        <f>VLOOKUP(D317,[1]국문!$1:$10000,6,0)</f>
        <v>#N/A</v>
      </c>
      <c r="C796" s="15"/>
      <c r="D796" s="15"/>
      <c r="E796" s="15"/>
      <c r="F796" s="15"/>
    </row>
    <row r="797" spans="1:6" ht="18" customHeight="1">
      <c r="A797" s="12" t="e">
        <f t="shared" si="3"/>
        <v>#N/A</v>
      </c>
      <c r="B797" s="15" t="e">
        <f>VLOOKUP(D318,[1]국문!$1:$10000,6,0)</f>
        <v>#N/A</v>
      </c>
      <c r="C797" s="15"/>
      <c r="D797" s="15"/>
      <c r="E797" s="15"/>
      <c r="F797" s="15"/>
    </row>
    <row r="798" spans="1:6" ht="18" customHeight="1">
      <c r="A798" s="12" t="e">
        <f t="shared" si="3"/>
        <v>#N/A</v>
      </c>
      <c r="B798" s="15" t="e">
        <f>VLOOKUP(D319,[1]국문!$1:$10000,6,0)</f>
        <v>#N/A</v>
      </c>
      <c r="C798" s="15"/>
      <c r="D798" s="15"/>
      <c r="E798" s="15"/>
      <c r="F798" s="15"/>
    </row>
    <row r="799" spans="1:6" ht="18" customHeight="1">
      <c r="A799" s="12" t="e">
        <f t="shared" si="3"/>
        <v>#N/A</v>
      </c>
      <c r="B799" s="15" t="e">
        <f>VLOOKUP(D320,[1]국문!$1:$10000,6,0)</f>
        <v>#N/A</v>
      </c>
      <c r="C799" s="15"/>
      <c r="D799" s="15"/>
      <c r="E799" s="15"/>
      <c r="F799" s="15"/>
    </row>
    <row r="800" spans="1:6" ht="18" customHeight="1">
      <c r="A800" s="12" t="e">
        <f t="shared" si="3"/>
        <v>#N/A</v>
      </c>
      <c r="B800" s="15" t="e">
        <f>VLOOKUP(D321,[1]국문!$1:$10000,6,0)</f>
        <v>#N/A</v>
      </c>
      <c r="C800" s="15"/>
      <c r="D800" s="15"/>
      <c r="E800" s="15"/>
      <c r="F800" s="15"/>
    </row>
    <row r="801" spans="1:6" ht="18" customHeight="1">
      <c r="A801" s="15" t="s">
        <v>51</v>
      </c>
      <c r="B801" s="15"/>
      <c r="C801" s="15"/>
      <c r="D801" s="15"/>
      <c r="E801" s="15"/>
      <c r="F801" s="15"/>
    </row>
    <row r="802" spans="1:6" ht="24" customHeight="1">
      <c r="A802" s="12" t="e">
        <f>A133</f>
        <v>#N/A</v>
      </c>
      <c r="B802" s="15" t="e">
        <f>VLOOKUP(D102,[1]국문!$1:$1048576,7,0)</f>
        <v>#N/A</v>
      </c>
      <c r="C802" s="15"/>
      <c r="D802" s="15"/>
      <c r="E802" s="15"/>
      <c r="F802" s="15"/>
    </row>
    <row r="803" spans="1:6" ht="24" customHeight="1">
      <c r="A803" s="12" t="e">
        <f t="shared" ref="A803:A866" si="4">A134</f>
        <v>#N/A</v>
      </c>
      <c r="B803" s="15" t="e">
        <f>VLOOKUP(D103,[1]국문!$1:$1048576,7,0)</f>
        <v>#N/A</v>
      </c>
      <c r="C803" s="15"/>
      <c r="D803" s="15"/>
      <c r="E803" s="15"/>
      <c r="F803" s="15"/>
    </row>
    <row r="804" spans="1:6" ht="24" customHeight="1">
      <c r="A804" s="12" t="e">
        <f t="shared" si="4"/>
        <v>#N/A</v>
      </c>
      <c r="B804" s="15" t="e">
        <f>VLOOKUP(D104,[1]국문!$1:$1048576,7,0)</f>
        <v>#N/A</v>
      </c>
      <c r="C804" s="15"/>
      <c r="D804" s="15"/>
      <c r="E804" s="15"/>
      <c r="F804" s="15"/>
    </row>
    <row r="805" spans="1:6" ht="24" customHeight="1">
      <c r="A805" s="12" t="e">
        <f t="shared" si="4"/>
        <v>#N/A</v>
      </c>
      <c r="B805" s="15" t="e">
        <f>VLOOKUP(D105,[1]국문!$1:$1048576,7,0)</f>
        <v>#N/A</v>
      </c>
      <c r="C805" s="15"/>
      <c r="D805" s="15"/>
      <c r="E805" s="15"/>
      <c r="F805" s="15"/>
    </row>
    <row r="806" spans="1:6" ht="24" customHeight="1">
      <c r="A806" s="12" t="e">
        <f t="shared" si="4"/>
        <v>#N/A</v>
      </c>
      <c r="B806" s="15" t="e">
        <f>VLOOKUP(D106,[1]국문!$1:$1048576,7,0)</f>
        <v>#N/A</v>
      </c>
      <c r="C806" s="15"/>
      <c r="D806" s="15"/>
      <c r="E806" s="15"/>
      <c r="F806" s="15"/>
    </row>
    <row r="807" spans="1:6" ht="24" customHeight="1">
      <c r="A807" s="12" t="e">
        <f t="shared" si="4"/>
        <v>#N/A</v>
      </c>
      <c r="B807" s="15" t="e">
        <f>VLOOKUP(D107,[1]국문!$1:$1048576,7,0)</f>
        <v>#N/A</v>
      </c>
      <c r="C807" s="15"/>
      <c r="D807" s="15"/>
      <c r="E807" s="15"/>
      <c r="F807" s="15"/>
    </row>
    <row r="808" spans="1:6" ht="24" customHeight="1">
      <c r="A808" s="12" t="e">
        <f t="shared" si="4"/>
        <v>#N/A</v>
      </c>
      <c r="B808" s="15" t="e">
        <f>VLOOKUP(D108,[1]국문!$1:$1048576,7,0)</f>
        <v>#N/A</v>
      </c>
      <c r="C808" s="15"/>
      <c r="D808" s="15"/>
      <c r="E808" s="15"/>
      <c r="F808" s="15"/>
    </row>
    <row r="809" spans="1:6" ht="24" customHeight="1">
      <c r="A809" s="12" t="e">
        <f t="shared" si="4"/>
        <v>#N/A</v>
      </c>
      <c r="B809" s="15" t="e">
        <f>VLOOKUP(D109,[1]국문!$1:$1048576,7,0)</f>
        <v>#N/A</v>
      </c>
      <c r="C809" s="15"/>
      <c r="D809" s="15"/>
      <c r="E809" s="15"/>
      <c r="F809" s="15"/>
    </row>
    <row r="810" spans="1:6" ht="24" customHeight="1">
      <c r="A810" s="12" t="e">
        <f t="shared" si="4"/>
        <v>#N/A</v>
      </c>
      <c r="B810" s="15" t="e">
        <f>VLOOKUP(D110,[1]국문!$1:$1048576,7,0)</f>
        <v>#N/A</v>
      </c>
      <c r="C810" s="15"/>
      <c r="D810" s="15"/>
      <c r="E810" s="15"/>
      <c r="F810" s="15"/>
    </row>
    <row r="811" spans="1:6" ht="24" customHeight="1">
      <c r="A811" s="12" t="e">
        <f t="shared" si="4"/>
        <v>#N/A</v>
      </c>
      <c r="B811" s="15" t="e">
        <f>VLOOKUP(D111,[1]국문!$1:$1048576,7,0)</f>
        <v>#N/A</v>
      </c>
      <c r="C811" s="15"/>
      <c r="D811" s="15"/>
      <c r="E811" s="15"/>
      <c r="F811" s="15"/>
    </row>
    <row r="812" spans="1:6" ht="24" customHeight="1">
      <c r="A812" s="12" t="e">
        <f t="shared" si="4"/>
        <v>#N/A</v>
      </c>
      <c r="B812" s="15" t="e">
        <f>VLOOKUP(D112,[1]국문!$1:$1048576,7,0)</f>
        <v>#N/A</v>
      </c>
      <c r="C812" s="15"/>
      <c r="D812" s="15"/>
      <c r="E812" s="15"/>
      <c r="F812" s="15"/>
    </row>
    <row r="813" spans="1:6" ht="24" customHeight="1">
      <c r="A813" s="12" t="e">
        <f t="shared" si="4"/>
        <v>#N/A</v>
      </c>
      <c r="B813" s="15" t="e">
        <f>VLOOKUP(D113,[1]국문!$1:$1048576,7,0)</f>
        <v>#N/A</v>
      </c>
      <c r="C813" s="15"/>
      <c r="D813" s="15"/>
      <c r="E813" s="15"/>
      <c r="F813" s="15"/>
    </row>
    <row r="814" spans="1:6" ht="24" customHeight="1">
      <c r="A814" s="12" t="e">
        <f t="shared" si="4"/>
        <v>#N/A</v>
      </c>
      <c r="B814" s="15" t="e">
        <f>VLOOKUP(D114,[1]국문!$1:$1048576,7,0)</f>
        <v>#N/A</v>
      </c>
      <c r="C814" s="15"/>
      <c r="D814" s="15"/>
      <c r="E814" s="15"/>
      <c r="F814" s="15"/>
    </row>
    <row r="815" spans="1:6" ht="24" customHeight="1">
      <c r="A815" s="12" t="e">
        <f t="shared" si="4"/>
        <v>#N/A</v>
      </c>
      <c r="B815" s="15" t="e">
        <f>VLOOKUP(D115,[1]국문!$1:$1048576,7,0)</f>
        <v>#N/A</v>
      </c>
      <c r="C815" s="15"/>
      <c r="D815" s="15"/>
      <c r="E815" s="15"/>
      <c r="F815" s="15"/>
    </row>
    <row r="816" spans="1:6" ht="24" customHeight="1">
      <c r="A816" s="12" t="e">
        <f t="shared" si="4"/>
        <v>#N/A</v>
      </c>
      <c r="B816" s="15" t="e">
        <f>VLOOKUP(D116,[1]국문!$1:$1048576,7,0)</f>
        <v>#N/A</v>
      </c>
      <c r="C816" s="15"/>
      <c r="D816" s="15"/>
      <c r="E816" s="15"/>
      <c r="F816" s="15"/>
    </row>
    <row r="817" spans="1:6" ht="18" customHeight="1">
      <c r="A817" s="12" t="e">
        <f t="shared" si="4"/>
        <v>#N/A</v>
      </c>
      <c r="B817" s="15" t="e">
        <f>VLOOKUP(D145,[1]국문!$1:$1048576,7,0)</f>
        <v>#N/A</v>
      </c>
      <c r="C817" s="15"/>
      <c r="D817" s="15"/>
      <c r="E817" s="15"/>
      <c r="F817" s="15"/>
    </row>
    <row r="818" spans="1:6" ht="18" customHeight="1">
      <c r="A818" s="12" t="e">
        <f t="shared" si="4"/>
        <v>#N/A</v>
      </c>
      <c r="B818" s="15" t="e">
        <f>VLOOKUP(D146,[1]국문!$1:$1048576,7,0)</f>
        <v>#N/A</v>
      </c>
      <c r="C818" s="15"/>
      <c r="D818" s="15"/>
      <c r="E818" s="15"/>
      <c r="F818" s="15"/>
    </row>
    <row r="819" spans="1:6" ht="18" customHeight="1">
      <c r="A819" s="12" t="e">
        <f t="shared" si="4"/>
        <v>#N/A</v>
      </c>
      <c r="B819" s="15" t="e">
        <f>VLOOKUP(D147,[1]국문!$1:$1048576,7,0)</f>
        <v>#N/A</v>
      </c>
      <c r="C819" s="15"/>
      <c r="D819" s="15"/>
      <c r="E819" s="15"/>
      <c r="F819" s="15"/>
    </row>
    <row r="820" spans="1:6" ht="18" customHeight="1">
      <c r="A820" s="12" t="e">
        <f t="shared" si="4"/>
        <v>#N/A</v>
      </c>
      <c r="B820" s="15" t="e">
        <f>VLOOKUP(D148,[1]국문!$1:$1048576,7,0)</f>
        <v>#N/A</v>
      </c>
      <c r="C820" s="15"/>
      <c r="D820" s="15"/>
      <c r="E820" s="15"/>
      <c r="F820" s="15"/>
    </row>
    <row r="821" spans="1:6" ht="18" customHeight="1">
      <c r="A821" s="12" t="e">
        <f t="shared" si="4"/>
        <v>#N/A</v>
      </c>
      <c r="B821" s="15" t="e">
        <f>VLOOKUP(D149,[1]국문!$1:$1048576,7,0)</f>
        <v>#N/A</v>
      </c>
      <c r="C821" s="15"/>
      <c r="D821" s="15"/>
      <c r="E821" s="15"/>
      <c r="F821" s="15"/>
    </row>
    <row r="822" spans="1:6" ht="18" customHeight="1">
      <c r="A822" s="12" t="e">
        <f t="shared" si="4"/>
        <v>#N/A</v>
      </c>
      <c r="B822" s="15" t="e">
        <f>VLOOKUP(D150,[1]국문!$1:$1048576,7,0)</f>
        <v>#N/A</v>
      </c>
      <c r="C822" s="15"/>
      <c r="D822" s="15"/>
      <c r="E822" s="15"/>
      <c r="F822" s="15"/>
    </row>
    <row r="823" spans="1:6" ht="18" customHeight="1">
      <c r="A823" s="12" t="e">
        <f t="shared" si="4"/>
        <v>#N/A</v>
      </c>
      <c r="B823" s="15" t="e">
        <f>VLOOKUP(D151,[1]국문!$1:$1048576,7,0)</f>
        <v>#N/A</v>
      </c>
      <c r="C823" s="15"/>
      <c r="D823" s="15"/>
      <c r="E823" s="15"/>
      <c r="F823" s="15"/>
    </row>
    <row r="824" spans="1:6" ht="18" customHeight="1">
      <c r="A824" s="12" t="e">
        <f t="shared" si="4"/>
        <v>#N/A</v>
      </c>
      <c r="B824" s="15" t="e">
        <f>VLOOKUP(D152,[1]국문!$1:$1048576,7,0)</f>
        <v>#N/A</v>
      </c>
      <c r="C824" s="15"/>
      <c r="D824" s="15"/>
      <c r="E824" s="15"/>
      <c r="F824" s="15"/>
    </row>
    <row r="825" spans="1:6" ht="18" customHeight="1">
      <c r="A825" s="12" t="e">
        <f t="shared" si="4"/>
        <v>#N/A</v>
      </c>
      <c r="B825" s="15" t="e">
        <f>VLOOKUP(D153,[1]국문!$1:$1048576,7,0)</f>
        <v>#N/A</v>
      </c>
      <c r="C825" s="15"/>
      <c r="D825" s="15"/>
      <c r="E825" s="15"/>
      <c r="F825" s="15"/>
    </row>
    <row r="826" spans="1:6" ht="18" customHeight="1">
      <c r="A826" s="12" t="e">
        <f t="shared" si="4"/>
        <v>#N/A</v>
      </c>
      <c r="B826" s="15" t="e">
        <f>VLOOKUP(D154,[1]국문!$1:$1048576,7,0)</f>
        <v>#N/A</v>
      </c>
      <c r="C826" s="15"/>
      <c r="D826" s="15"/>
      <c r="E826" s="15"/>
      <c r="F826" s="15"/>
    </row>
    <row r="827" spans="1:6">
      <c r="A827" s="12" t="e">
        <f t="shared" si="4"/>
        <v>#N/A</v>
      </c>
      <c r="B827" s="15" t="e">
        <f>VLOOKUP(D155,[1]국문!$1:$1048576,7,0)</f>
        <v>#N/A</v>
      </c>
      <c r="C827" s="15"/>
      <c r="D827" s="15"/>
      <c r="E827" s="15"/>
      <c r="F827" s="15"/>
    </row>
    <row r="828" spans="1:6">
      <c r="A828" s="12" t="e">
        <f t="shared" si="4"/>
        <v>#N/A</v>
      </c>
      <c r="B828" s="15" t="e">
        <f>VLOOKUP(D156,[1]국문!$1:$1048576,7,0)</f>
        <v>#N/A</v>
      </c>
      <c r="C828" s="15"/>
      <c r="D828" s="15"/>
      <c r="E828" s="15"/>
      <c r="F828" s="15"/>
    </row>
    <row r="829" spans="1:6">
      <c r="A829" s="12" t="e">
        <f t="shared" si="4"/>
        <v>#N/A</v>
      </c>
      <c r="B829" s="15" t="e">
        <f>VLOOKUP(D157,[1]국문!$1:$1048576,7,0)</f>
        <v>#N/A</v>
      </c>
      <c r="C829" s="15"/>
      <c r="D829" s="15"/>
      <c r="E829" s="15"/>
      <c r="F829" s="15"/>
    </row>
    <row r="830" spans="1:6" ht="18" customHeight="1">
      <c r="A830" s="12" t="e">
        <f t="shared" si="4"/>
        <v>#N/A</v>
      </c>
      <c r="B830" s="15" t="e">
        <f>VLOOKUP(D158,[1]국문!$1:$1048576,7,0)</f>
        <v>#N/A</v>
      </c>
      <c r="C830" s="15"/>
      <c r="D830" s="15"/>
      <c r="E830" s="15"/>
      <c r="F830" s="15"/>
    </row>
    <row r="831" spans="1:6" ht="18" customHeight="1">
      <c r="A831" s="12" t="e">
        <f t="shared" si="4"/>
        <v>#N/A</v>
      </c>
      <c r="B831" s="15" t="e">
        <f>VLOOKUP(D159,[1]국문!$1:$1048576,7,0)</f>
        <v>#N/A</v>
      </c>
      <c r="C831" s="15"/>
      <c r="D831" s="15"/>
      <c r="E831" s="15"/>
      <c r="F831" s="15"/>
    </row>
    <row r="832" spans="1:6" ht="18" customHeight="1">
      <c r="A832" s="12" t="e">
        <f t="shared" si="4"/>
        <v>#N/A</v>
      </c>
      <c r="B832" s="15" t="e">
        <f>VLOOKUP(D160,[1]국문!$1:$1048576,7,0)</f>
        <v>#N/A</v>
      </c>
      <c r="C832" s="15"/>
      <c r="D832" s="15"/>
      <c r="E832" s="15"/>
      <c r="F832" s="15"/>
    </row>
    <row r="833" spans="1:6" ht="18" customHeight="1">
      <c r="A833" s="12" t="e">
        <f t="shared" si="4"/>
        <v>#N/A</v>
      </c>
      <c r="B833" s="15" t="e">
        <f>VLOOKUP(D161,[1]국문!$1:$1048576,7,0)</f>
        <v>#N/A</v>
      </c>
      <c r="C833" s="15"/>
      <c r="D833" s="15"/>
      <c r="E833" s="15"/>
      <c r="F833" s="15"/>
    </row>
    <row r="834" spans="1:6" ht="18" customHeight="1">
      <c r="A834" s="12" t="e">
        <f t="shared" si="4"/>
        <v>#N/A</v>
      </c>
      <c r="B834" s="15" t="e">
        <f>VLOOKUP(D162,[1]국문!$1:$1048576,7,0)</f>
        <v>#N/A</v>
      </c>
      <c r="C834" s="15"/>
      <c r="D834" s="15"/>
      <c r="E834" s="15"/>
      <c r="F834" s="15"/>
    </row>
    <row r="835" spans="1:6" ht="18" customHeight="1">
      <c r="A835" s="12" t="e">
        <f t="shared" si="4"/>
        <v>#N/A</v>
      </c>
      <c r="B835" s="15" t="e">
        <f>VLOOKUP(D163,[1]국문!$1:$1048576,7,0)</f>
        <v>#N/A</v>
      </c>
      <c r="C835" s="15"/>
      <c r="D835" s="15"/>
      <c r="E835" s="15"/>
      <c r="F835" s="15"/>
    </row>
    <row r="836" spans="1:6" ht="18" customHeight="1">
      <c r="A836" s="12" t="e">
        <f t="shared" si="4"/>
        <v>#N/A</v>
      </c>
      <c r="B836" s="15" t="e">
        <f>VLOOKUP(D164,[1]국문!$1:$1048576,7,0)</f>
        <v>#N/A</v>
      </c>
      <c r="C836" s="15"/>
      <c r="D836" s="15"/>
      <c r="E836" s="15"/>
      <c r="F836" s="15"/>
    </row>
    <row r="837" spans="1:6" ht="18" customHeight="1">
      <c r="A837" s="12" t="e">
        <f t="shared" si="4"/>
        <v>#N/A</v>
      </c>
      <c r="B837" s="15" t="e">
        <f>VLOOKUP(D165,[1]국문!$1:$1048576,7,0)</f>
        <v>#N/A</v>
      </c>
      <c r="C837" s="15"/>
      <c r="D837" s="15"/>
      <c r="E837" s="15"/>
      <c r="F837" s="15"/>
    </row>
    <row r="838" spans="1:6" ht="18" customHeight="1">
      <c r="A838" s="12" t="e">
        <f t="shared" si="4"/>
        <v>#N/A</v>
      </c>
      <c r="B838" s="15" t="e">
        <f>VLOOKUP(D166,[1]국문!$1:$1048576,7,0)</f>
        <v>#N/A</v>
      </c>
      <c r="C838" s="15"/>
      <c r="D838" s="15"/>
      <c r="E838" s="15"/>
      <c r="F838" s="15"/>
    </row>
    <row r="839" spans="1:6" ht="18" customHeight="1">
      <c r="A839" s="12" t="e">
        <f t="shared" si="4"/>
        <v>#N/A</v>
      </c>
      <c r="B839" s="15" t="e">
        <f>VLOOKUP(D167,[1]국문!$1:$1048576,7,0)</f>
        <v>#N/A</v>
      </c>
      <c r="C839" s="15"/>
      <c r="D839" s="15"/>
      <c r="E839" s="15"/>
      <c r="F839" s="15"/>
    </row>
    <row r="840" spans="1:6" ht="18" customHeight="1">
      <c r="A840" s="12" t="e">
        <f t="shared" si="4"/>
        <v>#N/A</v>
      </c>
      <c r="B840" s="15" t="e">
        <f>VLOOKUP(D168,[1]국문!$1:$1048576,7,0)</f>
        <v>#N/A</v>
      </c>
      <c r="C840" s="15"/>
      <c r="D840" s="15"/>
      <c r="E840" s="15"/>
      <c r="F840" s="15"/>
    </row>
    <row r="841" spans="1:6" ht="18" customHeight="1">
      <c r="A841" s="12" t="e">
        <f t="shared" si="4"/>
        <v>#N/A</v>
      </c>
      <c r="B841" s="15" t="e">
        <f>VLOOKUP(D169,[1]국문!$1:$1048576,7,0)</f>
        <v>#N/A</v>
      </c>
      <c r="C841" s="15"/>
      <c r="D841" s="15"/>
      <c r="E841" s="15"/>
      <c r="F841" s="15"/>
    </row>
    <row r="842" spans="1:6" ht="24" customHeight="1">
      <c r="A842" s="12" t="e">
        <f t="shared" si="4"/>
        <v>#N/A</v>
      </c>
      <c r="B842" s="15" t="e">
        <f>VLOOKUP(D142,[1]국문!$1:$1048576,7,0)</f>
        <v>#N/A</v>
      </c>
      <c r="C842" s="15"/>
      <c r="D842" s="15"/>
      <c r="E842" s="15"/>
      <c r="F842" s="15"/>
    </row>
    <row r="843" spans="1:6" ht="24" customHeight="1">
      <c r="A843" s="12" t="e">
        <f t="shared" si="4"/>
        <v>#N/A</v>
      </c>
      <c r="B843" s="15" t="e">
        <f>VLOOKUP(D143,[1]국문!$1:$1048576,7,0)</f>
        <v>#N/A</v>
      </c>
      <c r="C843" s="15"/>
      <c r="D843" s="15"/>
      <c r="E843" s="15"/>
      <c r="F843" s="15"/>
    </row>
    <row r="844" spans="1:6" ht="24" customHeight="1">
      <c r="A844" s="12" t="e">
        <f t="shared" si="4"/>
        <v>#N/A</v>
      </c>
      <c r="B844" s="15" t="e">
        <f>VLOOKUP(D144,[1]국문!$1:$1048576,7,0)</f>
        <v>#N/A</v>
      </c>
      <c r="C844" s="15"/>
      <c r="D844" s="15"/>
      <c r="E844" s="15"/>
      <c r="F844" s="15"/>
    </row>
    <row r="845" spans="1:6" ht="24" customHeight="1">
      <c r="A845" s="12" t="e">
        <f t="shared" si="4"/>
        <v>#N/A</v>
      </c>
      <c r="B845" s="15" t="e">
        <f>VLOOKUP(D145,[1]국문!$1:$1048576,7,0)</f>
        <v>#N/A</v>
      </c>
      <c r="C845" s="15"/>
      <c r="D845" s="15"/>
      <c r="E845" s="15"/>
      <c r="F845" s="15"/>
    </row>
    <row r="846" spans="1:6" ht="24" customHeight="1">
      <c r="A846" s="12" t="e">
        <f t="shared" si="4"/>
        <v>#N/A</v>
      </c>
      <c r="B846" s="15" t="e">
        <f>VLOOKUP(D146,[1]국문!$1:$1048576,7,0)</f>
        <v>#N/A</v>
      </c>
      <c r="C846" s="15"/>
      <c r="D846" s="15"/>
      <c r="E846" s="15"/>
      <c r="F846" s="15"/>
    </row>
    <row r="847" spans="1:6" ht="24" customHeight="1">
      <c r="A847" s="12" t="e">
        <f t="shared" si="4"/>
        <v>#N/A</v>
      </c>
      <c r="B847" s="15" t="e">
        <f>VLOOKUP(D147,[1]국문!$1:$1048576,7,0)</f>
        <v>#N/A</v>
      </c>
      <c r="C847" s="15"/>
      <c r="D847" s="15"/>
      <c r="E847" s="15"/>
      <c r="F847" s="15"/>
    </row>
    <row r="848" spans="1:6" ht="24" customHeight="1">
      <c r="A848" s="12" t="e">
        <f t="shared" si="4"/>
        <v>#N/A</v>
      </c>
      <c r="B848" s="15" t="e">
        <f>VLOOKUP(D148,[1]국문!$1:$1048576,7,0)</f>
        <v>#N/A</v>
      </c>
      <c r="C848" s="15"/>
      <c r="D848" s="15"/>
      <c r="E848" s="15"/>
      <c r="F848" s="15"/>
    </row>
    <row r="849" spans="1:6" ht="24" customHeight="1">
      <c r="A849" s="12" t="e">
        <f t="shared" si="4"/>
        <v>#N/A</v>
      </c>
      <c r="B849" s="15" t="e">
        <f>VLOOKUP(D149,[1]국문!$1:$1048576,7,0)</f>
        <v>#N/A</v>
      </c>
      <c r="C849" s="15"/>
      <c r="D849" s="15"/>
      <c r="E849" s="15"/>
      <c r="F849" s="15"/>
    </row>
    <row r="850" spans="1:6" ht="24" customHeight="1">
      <c r="A850" s="12" t="e">
        <f t="shared" si="4"/>
        <v>#N/A</v>
      </c>
      <c r="B850" s="15" t="e">
        <f>VLOOKUP(D150,[1]국문!$1:$1048576,7,0)</f>
        <v>#N/A</v>
      </c>
      <c r="C850" s="15"/>
      <c r="D850" s="15"/>
      <c r="E850" s="15"/>
      <c r="F850" s="15"/>
    </row>
    <row r="851" spans="1:6" ht="24" customHeight="1">
      <c r="A851" s="12" t="e">
        <f t="shared" si="4"/>
        <v>#N/A</v>
      </c>
      <c r="B851" s="15" t="e">
        <f>VLOOKUP(D151,[1]국문!$1:$1048576,7,0)</f>
        <v>#N/A</v>
      </c>
      <c r="C851" s="15"/>
      <c r="D851" s="15"/>
      <c r="E851" s="15"/>
      <c r="F851" s="15"/>
    </row>
    <row r="852" spans="1:6" ht="24" customHeight="1">
      <c r="A852" s="12" t="e">
        <f t="shared" si="4"/>
        <v>#N/A</v>
      </c>
      <c r="B852" s="15" t="e">
        <f>VLOOKUP(D152,[1]국문!$1:$1048576,7,0)</f>
        <v>#N/A</v>
      </c>
      <c r="C852" s="15"/>
      <c r="D852" s="15"/>
      <c r="E852" s="15"/>
      <c r="F852" s="15"/>
    </row>
    <row r="853" spans="1:6" ht="24" customHeight="1">
      <c r="A853" s="12" t="e">
        <f t="shared" si="4"/>
        <v>#N/A</v>
      </c>
      <c r="B853" s="15" t="e">
        <f>VLOOKUP(D153,[1]국문!$1:$1048576,7,0)</f>
        <v>#N/A</v>
      </c>
      <c r="C853" s="15"/>
      <c r="D853" s="15"/>
      <c r="E853" s="15"/>
      <c r="F853" s="15"/>
    </row>
    <row r="854" spans="1:6" ht="24" customHeight="1">
      <c r="A854" s="12" t="e">
        <f t="shared" si="4"/>
        <v>#N/A</v>
      </c>
      <c r="B854" s="15" t="e">
        <f>VLOOKUP(D154,[1]국문!$1:$1048576,7,0)</f>
        <v>#N/A</v>
      </c>
      <c r="C854" s="15"/>
      <c r="D854" s="15"/>
      <c r="E854" s="15"/>
      <c r="F854" s="15"/>
    </row>
    <row r="855" spans="1:6" ht="24" customHeight="1">
      <c r="A855" s="12" t="e">
        <f t="shared" si="4"/>
        <v>#N/A</v>
      </c>
      <c r="B855" s="15" t="e">
        <f>VLOOKUP(D155,[1]국문!$1:$1048576,7,0)</f>
        <v>#N/A</v>
      </c>
      <c r="C855" s="15"/>
      <c r="D855" s="15"/>
      <c r="E855" s="15"/>
      <c r="F855" s="15"/>
    </row>
    <row r="856" spans="1:6" ht="24" customHeight="1">
      <c r="A856" s="12" t="e">
        <f t="shared" si="4"/>
        <v>#N/A</v>
      </c>
      <c r="B856" s="15" t="e">
        <f>VLOOKUP(D156,[1]국문!$1:$1048576,7,0)</f>
        <v>#N/A</v>
      </c>
      <c r="C856" s="15"/>
      <c r="D856" s="15"/>
      <c r="E856" s="15"/>
      <c r="F856" s="15"/>
    </row>
    <row r="857" spans="1:6" ht="18" customHeight="1">
      <c r="A857" s="12" t="e">
        <f t="shared" si="4"/>
        <v>#N/A</v>
      </c>
      <c r="B857" s="15" t="e">
        <f>VLOOKUP(D185,[1]국문!$1:$1048576,7,0)</f>
        <v>#N/A</v>
      </c>
      <c r="C857" s="15"/>
      <c r="D857" s="15"/>
      <c r="E857" s="15"/>
      <c r="F857" s="15"/>
    </row>
    <row r="858" spans="1:6" ht="18" customHeight="1">
      <c r="A858" s="12" t="e">
        <f t="shared" si="4"/>
        <v>#N/A</v>
      </c>
      <c r="B858" s="15" t="e">
        <f>VLOOKUP(D186,[1]국문!$1:$1048576,7,0)</f>
        <v>#N/A</v>
      </c>
      <c r="C858" s="15"/>
      <c r="D858" s="15"/>
      <c r="E858" s="15"/>
      <c r="F858" s="15"/>
    </row>
    <row r="859" spans="1:6" ht="18" customHeight="1">
      <c r="A859" s="12" t="e">
        <f t="shared" si="4"/>
        <v>#N/A</v>
      </c>
      <c r="B859" s="15" t="e">
        <f>VLOOKUP(D187,[1]국문!$1:$1048576,7,0)</f>
        <v>#N/A</v>
      </c>
      <c r="C859" s="15"/>
      <c r="D859" s="15"/>
      <c r="E859" s="15"/>
      <c r="F859" s="15"/>
    </row>
    <row r="860" spans="1:6" ht="18" customHeight="1">
      <c r="A860" s="12" t="e">
        <f t="shared" si="4"/>
        <v>#N/A</v>
      </c>
      <c r="B860" s="15" t="e">
        <f>VLOOKUP(D188,[1]국문!$1:$1048576,7,0)</f>
        <v>#N/A</v>
      </c>
      <c r="C860" s="15"/>
      <c r="D860" s="15"/>
      <c r="E860" s="15"/>
      <c r="F860" s="15"/>
    </row>
    <row r="861" spans="1:6" ht="18" customHeight="1">
      <c r="A861" s="12" t="e">
        <f t="shared" si="4"/>
        <v>#N/A</v>
      </c>
      <c r="B861" s="15" t="e">
        <f>VLOOKUP(D189,[1]국문!$1:$1048576,7,0)</f>
        <v>#N/A</v>
      </c>
      <c r="C861" s="15"/>
      <c r="D861" s="15"/>
      <c r="E861" s="15"/>
      <c r="F861" s="15"/>
    </row>
    <row r="862" spans="1:6" ht="18" customHeight="1">
      <c r="A862" s="12" t="e">
        <f t="shared" si="4"/>
        <v>#N/A</v>
      </c>
      <c r="B862" s="15" t="e">
        <f>VLOOKUP(D190,[1]국문!$1:$1048576,7,0)</f>
        <v>#N/A</v>
      </c>
      <c r="C862" s="15"/>
      <c r="D862" s="15"/>
      <c r="E862" s="15"/>
      <c r="F862" s="15"/>
    </row>
    <row r="863" spans="1:6" ht="18" customHeight="1">
      <c r="A863" s="12" t="e">
        <f t="shared" si="4"/>
        <v>#N/A</v>
      </c>
      <c r="B863" s="15" t="e">
        <f>VLOOKUP(D191,[1]국문!$1:$1048576,7,0)</f>
        <v>#N/A</v>
      </c>
      <c r="C863" s="15"/>
      <c r="D863" s="15"/>
      <c r="E863" s="15"/>
      <c r="F863" s="15"/>
    </row>
    <row r="864" spans="1:6" ht="18" customHeight="1">
      <c r="A864" s="12" t="e">
        <f t="shared" si="4"/>
        <v>#N/A</v>
      </c>
      <c r="B864" s="15" t="e">
        <f>VLOOKUP(D192,[1]국문!$1:$1048576,7,0)</f>
        <v>#N/A</v>
      </c>
      <c r="C864" s="15"/>
      <c r="D864" s="15"/>
      <c r="E864" s="15"/>
      <c r="F864" s="15"/>
    </row>
    <row r="865" spans="1:6" ht="18" customHeight="1">
      <c r="A865" s="12" t="e">
        <f t="shared" si="4"/>
        <v>#N/A</v>
      </c>
      <c r="B865" s="15" t="e">
        <f>VLOOKUP(D193,[1]국문!$1:$1048576,7,0)</f>
        <v>#N/A</v>
      </c>
      <c r="C865" s="15"/>
      <c r="D865" s="15"/>
      <c r="E865" s="15"/>
      <c r="F865" s="15"/>
    </row>
    <row r="866" spans="1:6" ht="18" customHeight="1">
      <c r="A866" s="12" t="e">
        <f t="shared" si="4"/>
        <v>#N/A</v>
      </c>
      <c r="B866" s="15" t="e">
        <f>VLOOKUP(D194,[1]국문!$1:$1048576,7,0)</f>
        <v>#N/A</v>
      </c>
      <c r="C866" s="15"/>
      <c r="D866" s="15"/>
      <c r="E866" s="15"/>
      <c r="F866" s="15"/>
    </row>
    <row r="867" spans="1:6">
      <c r="A867" s="12" t="e">
        <f t="shared" ref="A867:A930" si="5">A198</f>
        <v>#N/A</v>
      </c>
      <c r="B867" s="15" t="e">
        <f>VLOOKUP(D195,[1]국문!$1:$1048576,7,0)</f>
        <v>#N/A</v>
      </c>
      <c r="C867" s="15"/>
      <c r="D867" s="15"/>
      <c r="E867" s="15"/>
      <c r="F867" s="15"/>
    </row>
    <row r="868" spans="1:6">
      <c r="A868" s="12" t="e">
        <f t="shared" si="5"/>
        <v>#N/A</v>
      </c>
      <c r="B868" s="15" t="e">
        <f>VLOOKUP(D196,[1]국문!$1:$1048576,7,0)</f>
        <v>#N/A</v>
      </c>
      <c r="C868" s="15"/>
      <c r="D868" s="15"/>
      <c r="E868" s="15"/>
      <c r="F868" s="15"/>
    </row>
    <row r="869" spans="1:6">
      <c r="A869" s="12" t="e">
        <f t="shared" si="5"/>
        <v>#N/A</v>
      </c>
      <c r="B869" s="15" t="e">
        <f>VLOOKUP(D197,[1]국문!$1:$1048576,7,0)</f>
        <v>#N/A</v>
      </c>
      <c r="C869" s="15"/>
      <c r="D869" s="15"/>
      <c r="E869" s="15"/>
      <c r="F869" s="15"/>
    </row>
    <row r="870" spans="1:6" ht="18" customHeight="1">
      <c r="A870" s="12" t="e">
        <f t="shared" si="5"/>
        <v>#N/A</v>
      </c>
      <c r="B870" s="15" t="e">
        <f>VLOOKUP(D198,[1]국문!$1:$1048576,7,0)</f>
        <v>#N/A</v>
      </c>
      <c r="C870" s="15"/>
      <c r="D870" s="15"/>
      <c r="E870" s="15"/>
      <c r="F870" s="15"/>
    </row>
    <row r="871" spans="1:6" ht="18" customHeight="1">
      <c r="A871" s="12" t="e">
        <f t="shared" si="5"/>
        <v>#N/A</v>
      </c>
      <c r="B871" s="15" t="e">
        <f>VLOOKUP(D199,[1]국문!$1:$1048576,7,0)</f>
        <v>#N/A</v>
      </c>
      <c r="C871" s="15"/>
      <c r="D871" s="15"/>
      <c r="E871" s="15"/>
      <c r="F871" s="15"/>
    </row>
    <row r="872" spans="1:6" ht="18" customHeight="1">
      <c r="A872" s="12" t="e">
        <f t="shared" si="5"/>
        <v>#N/A</v>
      </c>
      <c r="B872" s="15" t="e">
        <f>VLOOKUP(D200,[1]국문!$1:$1048576,7,0)</f>
        <v>#N/A</v>
      </c>
      <c r="C872" s="15"/>
      <c r="D872" s="15"/>
      <c r="E872" s="15"/>
      <c r="F872" s="15"/>
    </row>
    <row r="873" spans="1:6" ht="18" customHeight="1">
      <c r="A873" s="12" t="e">
        <f t="shared" si="5"/>
        <v>#N/A</v>
      </c>
      <c r="B873" s="15" t="e">
        <f>VLOOKUP(D201,[1]국문!$1:$1048576,7,0)</f>
        <v>#N/A</v>
      </c>
      <c r="C873" s="15"/>
      <c r="D873" s="15"/>
      <c r="E873" s="15"/>
      <c r="F873" s="15"/>
    </row>
    <row r="874" spans="1:6" ht="18" customHeight="1">
      <c r="A874" s="12" t="e">
        <f t="shared" si="5"/>
        <v>#N/A</v>
      </c>
      <c r="B874" s="15" t="e">
        <f>VLOOKUP(D202,[1]국문!$1:$1048576,7,0)</f>
        <v>#N/A</v>
      </c>
      <c r="C874" s="15"/>
      <c r="D874" s="15"/>
      <c r="E874" s="15"/>
      <c r="F874" s="15"/>
    </row>
    <row r="875" spans="1:6" ht="18" customHeight="1">
      <c r="A875" s="12" t="e">
        <f t="shared" si="5"/>
        <v>#N/A</v>
      </c>
      <c r="B875" s="15" t="e">
        <f>VLOOKUP(D203,[1]국문!$1:$1048576,7,0)</f>
        <v>#N/A</v>
      </c>
      <c r="C875" s="15"/>
      <c r="D875" s="15"/>
      <c r="E875" s="15"/>
      <c r="F875" s="15"/>
    </row>
    <row r="876" spans="1:6" ht="18" customHeight="1">
      <c r="A876" s="12" t="e">
        <f t="shared" si="5"/>
        <v>#N/A</v>
      </c>
      <c r="B876" s="15" t="e">
        <f>VLOOKUP(D204,[1]국문!$1:$1048576,7,0)</f>
        <v>#N/A</v>
      </c>
      <c r="C876" s="15"/>
      <c r="D876" s="15"/>
      <c r="E876" s="15"/>
      <c r="F876" s="15"/>
    </row>
    <row r="877" spans="1:6" ht="18" customHeight="1">
      <c r="A877" s="12" t="e">
        <f t="shared" si="5"/>
        <v>#N/A</v>
      </c>
      <c r="B877" s="15" t="e">
        <f>VLOOKUP(D205,[1]국문!$1:$1048576,7,0)</f>
        <v>#N/A</v>
      </c>
      <c r="C877" s="15"/>
      <c r="D877" s="15"/>
      <c r="E877" s="15"/>
      <c r="F877" s="15"/>
    </row>
    <row r="878" spans="1:6" ht="18" customHeight="1">
      <c r="A878" s="12" t="e">
        <f t="shared" si="5"/>
        <v>#N/A</v>
      </c>
      <c r="B878" s="15" t="e">
        <f>VLOOKUP(D206,[1]국문!$1:$1048576,7,0)</f>
        <v>#N/A</v>
      </c>
      <c r="C878" s="15"/>
      <c r="D878" s="15"/>
      <c r="E878" s="15"/>
      <c r="F878" s="15"/>
    </row>
    <row r="879" spans="1:6" ht="18" customHeight="1">
      <c r="A879" s="12" t="e">
        <f t="shared" si="5"/>
        <v>#N/A</v>
      </c>
      <c r="B879" s="15" t="e">
        <f>VLOOKUP(D207,[1]국문!$1:$1048576,7,0)</f>
        <v>#N/A</v>
      </c>
      <c r="C879" s="15"/>
      <c r="D879" s="15"/>
      <c r="E879" s="15"/>
      <c r="F879" s="15"/>
    </row>
    <row r="880" spans="1:6" ht="18" customHeight="1">
      <c r="A880" s="12" t="e">
        <f t="shared" si="5"/>
        <v>#N/A</v>
      </c>
      <c r="B880" s="15" t="e">
        <f>VLOOKUP(D208,[1]국문!$1:$1048576,7,0)</f>
        <v>#N/A</v>
      </c>
      <c r="C880" s="15"/>
      <c r="D880" s="15"/>
      <c r="E880" s="15"/>
      <c r="F880" s="15"/>
    </row>
    <row r="881" spans="1:6" ht="18" customHeight="1">
      <c r="A881" s="12" t="e">
        <f t="shared" si="5"/>
        <v>#N/A</v>
      </c>
      <c r="B881" s="15" t="e">
        <f>VLOOKUP(D209,[1]국문!$1:$1048576,7,0)</f>
        <v>#N/A</v>
      </c>
      <c r="C881" s="15"/>
      <c r="D881" s="15"/>
      <c r="E881" s="15"/>
      <c r="F881" s="15"/>
    </row>
    <row r="882" spans="1:6" ht="24" customHeight="1">
      <c r="A882" s="12" t="e">
        <f t="shared" si="5"/>
        <v>#N/A</v>
      </c>
      <c r="B882" s="15" t="e">
        <f>VLOOKUP(D182,[1]국문!$1:$1048576,7,0)</f>
        <v>#N/A</v>
      </c>
      <c r="C882" s="15"/>
      <c r="D882" s="15"/>
      <c r="E882" s="15"/>
      <c r="F882" s="15"/>
    </row>
    <row r="883" spans="1:6" ht="24" customHeight="1">
      <c r="A883" s="12" t="e">
        <f t="shared" si="5"/>
        <v>#N/A</v>
      </c>
      <c r="B883" s="15" t="e">
        <f>VLOOKUP(D183,[1]국문!$1:$1048576,7,0)</f>
        <v>#N/A</v>
      </c>
      <c r="C883" s="15"/>
      <c r="D883" s="15"/>
      <c r="E883" s="15"/>
      <c r="F883" s="15"/>
    </row>
    <row r="884" spans="1:6" ht="24" customHeight="1">
      <c r="A884" s="12" t="e">
        <f t="shared" si="5"/>
        <v>#N/A</v>
      </c>
      <c r="B884" s="15" t="e">
        <f>VLOOKUP(D184,[1]국문!$1:$1048576,7,0)</f>
        <v>#N/A</v>
      </c>
      <c r="C884" s="15"/>
      <c r="D884" s="15"/>
      <c r="E884" s="15"/>
      <c r="F884" s="15"/>
    </row>
    <row r="885" spans="1:6" ht="24" customHeight="1">
      <c r="A885" s="12" t="e">
        <f t="shared" si="5"/>
        <v>#N/A</v>
      </c>
      <c r="B885" s="15" t="e">
        <f>VLOOKUP(D185,[1]국문!$1:$1048576,7,0)</f>
        <v>#N/A</v>
      </c>
      <c r="C885" s="15"/>
      <c r="D885" s="15"/>
      <c r="E885" s="15"/>
      <c r="F885" s="15"/>
    </row>
    <row r="886" spans="1:6" ht="24" customHeight="1">
      <c r="A886" s="12" t="e">
        <f t="shared" si="5"/>
        <v>#N/A</v>
      </c>
      <c r="B886" s="15" t="e">
        <f>VLOOKUP(D186,[1]국문!$1:$1048576,7,0)</f>
        <v>#N/A</v>
      </c>
      <c r="C886" s="15"/>
      <c r="D886" s="15"/>
      <c r="E886" s="15"/>
      <c r="F886" s="15"/>
    </row>
    <row r="887" spans="1:6" ht="24" customHeight="1">
      <c r="A887" s="12" t="e">
        <f t="shared" si="5"/>
        <v>#N/A</v>
      </c>
      <c r="B887" s="15" t="e">
        <f>VLOOKUP(D187,[1]국문!$1:$1048576,7,0)</f>
        <v>#N/A</v>
      </c>
      <c r="C887" s="15"/>
      <c r="D887" s="15"/>
      <c r="E887" s="15"/>
      <c r="F887" s="15"/>
    </row>
    <row r="888" spans="1:6" ht="24" customHeight="1">
      <c r="A888" s="12" t="e">
        <f t="shared" si="5"/>
        <v>#N/A</v>
      </c>
      <c r="B888" s="15" t="e">
        <f>VLOOKUP(D188,[1]국문!$1:$1048576,7,0)</f>
        <v>#N/A</v>
      </c>
      <c r="C888" s="15"/>
      <c r="D888" s="15"/>
      <c r="E888" s="15"/>
      <c r="F888" s="15"/>
    </row>
    <row r="889" spans="1:6" ht="24" customHeight="1">
      <c r="A889" s="12" t="e">
        <f t="shared" si="5"/>
        <v>#N/A</v>
      </c>
      <c r="B889" s="15" t="e">
        <f>VLOOKUP(D189,[1]국문!$1:$1048576,7,0)</f>
        <v>#N/A</v>
      </c>
      <c r="C889" s="15"/>
      <c r="D889" s="15"/>
      <c r="E889" s="15"/>
      <c r="F889" s="15"/>
    </row>
    <row r="890" spans="1:6" ht="24" customHeight="1">
      <c r="A890" s="12" t="e">
        <f t="shared" si="5"/>
        <v>#N/A</v>
      </c>
      <c r="B890" s="15" t="e">
        <f>VLOOKUP(D190,[1]국문!$1:$1048576,7,0)</f>
        <v>#N/A</v>
      </c>
      <c r="C890" s="15"/>
      <c r="D890" s="15"/>
      <c r="E890" s="15"/>
      <c r="F890" s="15"/>
    </row>
    <row r="891" spans="1:6" ht="24" customHeight="1">
      <c r="A891" s="12" t="e">
        <f t="shared" si="5"/>
        <v>#N/A</v>
      </c>
      <c r="B891" s="15" t="e">
        <f>VLOOKUP(D191,[1]국문!$1:$1048576,7,0)</f>
        <v>#N/A</v>
      </c>
      <c r="C891" s="15"/>
      <c r="D891" s="15"/>
      <c r="E891" s="15"/>
      <c r="F891" s="15"/>
    </row>
    <row r="892" spans="1:6" ht="24" customHeight="1">
      <c r="A892" s="12" t="e">
        <f t="shared" si="5"/>
        <v>#N/A</v>
      </c>
      <c r="B892" s="15" t="e">
        <f>VLOOKUP(D192,[1]국문!$1:$1048576,7,0)</f>
        <v>#N/A</v>
      </c>
      <c r="C892" s="15"/>
      <c r="D892" s="15"/>
      <c r="E892" s="15"/>
      <c r="F892" s="15"/>
    </row>
    <row r="893" spans="1:6" ht="24" customHeight="1">
      <c r="A893" s="12" t="e">
        <f t="shared" si="5"/>
        <v>#N/A</v>
      </c>
      <c r="B893" s="15" t="e">
        <f>VLOOKUP(D193,[1]국문!$1:$1048576,7,0)</f>
        <v>#N/A</v>
      </c>
      <c r="C893" s="15"/>
      <c r="D893" s="15"/>
      <c r="E893" s="15"/>
      <c r="F893" s="15"/>
    </row>
    <row r="894" spans="1:6" ht="24" customHeight="1">
      <c r="A894" s="12" t="e">
        <f t="shared" si="5"/>
        <v>#N/A</v>
      </c>
      <c r="B894" s="15" t="e">
        <f>VLOOKUP(D194,[1]국문!$1:$1048576,7,0)</f>
        <v>#N/A</v>
      </c>
      <c r="C894" s="15"/>
      <c r="D894" s="15"/>
      <c r="E894" s="15"/>
      <c r="F894" s="15"/>
    </row>
    <row r="895" spans="1:6" ht="24" customHeight="1">
      <c r="A895" s="12" t="e">
        <f t="shared" si="5"/>
        <v>#N/A</v>
      </c>
      <c r="B895" s="15" t="e">
        <f>VLOOKUP(D195,[1]국문!$1:$1048576,7,0)</f>
        <v>#N/A</v>
      </c>
      <c r="C895" s="15"/>
      <c r="D895" s="15"/>
      <c r="E895" s="15"/>
      <c r="F895" s="15"/>
    </row>
    <row r="896" spans="1:6" ht="24" customHeight="1">
      <c r="A896" s="12" t="e">
        <f t="shared" si="5"/>
        <v>#N/A</v>
      </c>
      <c r="B896" s="15" t="e">
        <f>VLOOKUP(D196,[1]국문!$1:$1048576,7,0)</f>
        <v>#N/A</v>
      </c>
      <c r="C896" s="15"/>
      <c r="D896" s="15"/>
      <c r="E896" s="15"/>
      <c r="F896" s="15"/>
    </row>
    <row r="897" spans="1:6" ht="18" customHeight="1">
      <c r="A897" s="12" t="e">
        <f t="shared" si="5"/>
        <v>#N/A</v>
      </c>
      <c r="B897" s="15" t="e">
        <f>VLOOKUP(D225,[1]국문!$1:$1048576,7,0)</f>
        <v>#N/A</v>
      </c>
      <c r="C897" s="15"/>
      <c r="D897" s="15"/>
      <c r="E897" s="15"/>
      <c r="F897" s="15"/>
    </row>
    <row r="898" spans="1:6" ht="18" customHeight="1">
      <c r="A898" s="12" t="e">
        <f t="shared" si="5"/>
        <v>#N/A</v>
      </c>
      <c r="B898" s="15" t="e">
        <f>VLOOKUP(D226,[1]국문!$1:$1048576,7,0)</f>
        <v>#N/A</v>
      </c>
      <c r="C898" s="15"/>
      <c r="D898" s="15"/>
      <c r="E898" s="15"/>
      <c r="F898" s="15"/>
    </row>
    <row r="899" spans="1:6" ht="18" customHeight="1">
      <c r="A899" s="12" t="e">
        <f t="shared" si="5"/>
        <v>#N/A</v>
      </c>
      <c r="B899" s="15" t="e">
        <f>VLOOKUP(D227,[1]국문!$1:$1048576,7,0)</f>
        <v>#N/A</v>
      </c>
      <c r="C899" s="15"/>
      <c r="D899" s="15"/>
      <c r="E899" s="15"/>
      <c r="F899" s="15"/>
    </row>
    <row r="900" spans="1:6" ht="18" customHeight="1">
      <c r="A900" s="12" t="e">
        <f t="shared" si="5"/>
        <v>#N/A</v>
      </c>
      <c r="B900" s="15" t="e">
        <f>VLOOKUP(D228,[1]국문!$1:$1048576,7,0)</f>
        <v>#N/A</v>
      </c>
      <c r="C900" s="15"/>
      <c r="D900" s="15"/>
      <c r="E900" s="15"/>
      <c r="F900" s="15"/>
    </row>
    <row r="901" spans="1:6" ht="18" customHeight="1">
      <c r="A901" s="12" t="e">
        <f t="shared" si="5"/>
        <v>#N/A</v>
      </c>
      <c r="B901" s="15" t="e">
        <f>VLOOKUP(D229,[1]국문!$1:$1048576,7,0)</f>
        <v>#N/A</v>
      </c>
      <c r="C901" s="15"/>
      <c r="D901" s="15"/>
      <c r="E901" s="15"/>
      <c r="F901" s="15"/>
    </row>
    <row r="902" spans="1:6" ht="18" customHeight="1">
      <c r="A902" s="12" t="e">
        <f t="shared" si="5"/>
        <v>#N/A</v>
      </c>
      <c r="B902" s="15" t="e">
        <f>VLOOKUP(D230,[1]국문!$1:$1048576,7,0)</f>
        <v>#N/A</v>
      </c>
      <c r="C902" s="15"/>
      <c r="D902" s="15"/>
      <c r="E902" s="15"/>
      <c r="F902" s="15"/>
    </row>
    <row r="903" spans="1:6" ht="18" customHeight="1">
      <c r="A903" s="12" t="e">
        <f t="shared" si="5"/>
        <v>#N/A</v>
      </c>
      <c r="B903" s="15" t="e">
        <f>VLOOKUP(D231,[1]국문!$1:$1048576,7,0)</f>
        <v>#N/A</v>
      </c>
      <c r="C903" s="15"/>
      <c r="D903" s="15"/>
      <c r="E903" s="15"/>
      <c r="F903" s="15"/>
    </row>
    <row r="904" spans="1:6" ht="18" customHeight="1">
      <c r="A904" s="12" t="e">
        <f t="shared" si="5"/>
        <v>#N/A</v>
      </c>
      <c r="B904" s="15" t="e">
        <f>VLOOKUP(D232,[1]국문!$1:$1048576,7,0)</f>
        <v>#N/A</v>
      </c>
      <c r="C904" s="15"/>
      <c r="D904" s="15"/>
      <c r="E904" s="15"/>
      <c r="F904" s="15"/>
    </row>
    <row r="905" spans="1:6" ht="18" customHeight="1">
      <c r="A905" s="12" t="e">
        <f t="shared" si="5"/>
        <v>#N/A</v>
      </c>
      <c r="B905" s="15" t="e">
        <f>VLOOKUP(D233,[1]국문!$1:$1048576,7,0)</f>
        <v>#N/A</v>
      </c>
      <c r="C905" s="15"/>
      <c r="D905" s="15"/>
      <c r="E905" s="15"/>
      <c r="F905" s="15"/>
    </row>
    <row r="906" spans="1:6" ht="18" customHeight="1">
      <c r="A906" s="12" t="e">
        <f t="shared" si="5"/>
        <v>#N/A</v>
      </c>
      <c r="B906" s="15" t="e">
        <f>VLOOKUP(D234,[1]국문!$1:$1048576,7,0)</f>
        <v>#N/A</v>
      </c>
      <c r="C906" s="15"/>
      <c r="D906" s="15"/>
      <c r="E906" s="15"/>
      <c r="F906" s="15"/>
    </row>
    <row r="907" spans="1:6">
      <c r="A907" s="12" t="e">
        <f t="shared" si="5"/>
        <v>#N/A</v>
      </c>
      <c r="B907" s="15" t="e">
        <f>VLOOKUP(D235,[1]국문!$1:$1048576,7,0)</f>
        <v>#N/A</v>
      </c>
      <c r="C907" s="15"/>
      <c r="D907" s="15"/>
      <c r="E907" s="15"/>
      <c r="F907" s="15"/>
    </row>
    <row r="908" spans="1:6">
      <c r="A908" s="12" t="e">
        <f t="shared" si="5"/>
        <v>#N/A</v>
      </c>
      <c r="B908" s="15" t="e">
        <f>VLOOKUP(D236,[1]국문!$1:$1048576,7,0)</f>
        <v>#N/A</v>
      </c>
      <c r="C908" s="15"/>
      <c r="D908" s="15"/>
      <c r="E908" s="15"/>
      <c r="F908" s="15"/>
    </row>
    <row r="909" spans="1:6">
      <c r="A909" s="12" t="e">
        <f t="shared" si="5"/>
        <v>#N/A</v>
      </c>
      <c r="B909" s="15" t="e">
        <f>VLOOKUP(D237,[1]국문!$1:$1048576,7,0)</f>
        <v>#N/A</v>
      </c>
      <c r="C909" s="15"/>
      <c r="D909" s="15"/>
      <c r="E909" s="15"/>
      <c r="F909" s="15"/>
    </row>
    <row r="910" spans="1:6" ht="18" customHeight="1">
      <c r="A910" s="12" t="e">
        <f t="shared" si="5"/>
        <v>#N/A</v>
      </c>
      <c r="B910" s="15" t="e">
        <f>VLOOKUP(D238,[1]국문!$1:$1048576,7,0)</f>
        <v>#N/A</v>
      </c>
      <c r="C910" s="15"/>
      <c r="D910" s="15"/>
      <c r="E910" s="15"/>
      <c r="F910" s="15"/>
    </row>
    <row r="911" spans="1:6" ht="18" customHeight="1">
      <c r="A911" s="12" t="e">
        <f t="shared" si="5"/>
        <v>#N/A</v>
      </c>
      <c r="B911" s="15" t="e">
        <f>VLOOKUP(D239,[1]국문!$1:$1048576,7,0)</f>
        <v>#N/A</v>
      </c>
      <c r="C911" s="15"/>
      <c r="D911" s="15"/>
      <c r="E911" s="15"/>
      <c r="F911" s="15"/>
    </row>
    <row r="912" spans="1:6" ht="18" customHeight="1">
      <c r="A912" s="12" t="e">
        <f t="shared" si="5"/>
        <v>#N/A</v>
      </c>
      <c r="B912" s="15" t="e">
        <f>VLOOKUP(D240,[1]국문!$1:$1048576,7,0)</f>
        <v>#N/A</v>
      </c>
      <c r="C912" s="15"/>
      <c r="D912" s="15"/>
      <c r="E912" s="15"/>
      <c r="F912" s="15"/>
    </row>
    <row r="913" spans="1:6" ht="18" customHeight="1">
      <c r="A913" s="12" t="e">
        <f t="shared" si="5"/>
        <v>#N/A</v>
      </c>
      <c r="B913" s="15" t="e">
        <f>VLOOKUP(D241,[1]국문!$1:$1048576,7,0)</f>
        <v>#N/A</v>
      </c>
      <c r="C913" s="15"/>
      <c r="D913" s="15"/>
      <c r="E913" s="15"/>
      <c r="F913" s="15"/>
    </row>
    <row r="914" spans="1:6" ht="18" customHeight="1">
      <c r="A914" s="12" t="e">
        <f t="shared" si="5"/>
        <v>#N/A</v>
      </c>
      <c r="B914" s="15" t="e">
        <f>VLOOKUP(D242,[1]국문!$1:$1048576,7,0)</f>
        <v>#N/A</v>
      </c>
      <c r="C914" s="15"/>
      <c r="D914" s="15"/>
      <c r="E914" s="15"/>
      <c r="F914" s="15"/>
    </row>
    <row r="915" spans="1:6" ht="18" customHeight="1">
      <c r="A915" s="12" t="e">
        <f t="shared" si="5"/>
        <v>#N/A</v>
      </c>
      <c r="B915" s="15" t="e">
        <f>VLOOKUP(D243,[1]국문!$1:$1048576,7,0)</f>
        <v>#N/A</v>
      </c>
      <c r="C915" s="15"/>
      <c r="D915" s="15"/>
      <c r="E915" s="15"/>
      <c r="F915" s="15"/>
    </row>
    <row r="916" spans="1:6" ht="18" customHeight="1">
      <c r="A916" s="12" t="e">
        <f t="shared" si="5"/>
        <v>#N/A</v>
      </c>
      <c r="B916" s="15" t="e">
        <f>VLOOKUP(D244,[1]국문!$1:$1048576,7,0)</f>
        <v>#N/A</v>
      </c>
      <c r="C916" s="15"/>
      <c r="D916" s="15"/>
      <c r="E916" s="15"/>
      <c r="F916" s="15"/>
    </row>
    <row r="917" spans="1:6" ht="18" customHeight="1">
      <c r="A917" s="12" t="e">
        <f t="shared" si="5"/>
        <v>#N/A</v>
      </c>
      <c r="B917" s="15" t="e">
        <f>VLOOKUP(D245,[1]국문!$1:$1048576,7,0)</f>
        <v>#N/A</v>
      </c>
      <c r="C917" s="15"/>
      <c r="D917" s="15"/>
      <c r="E917" s="15"/>
      <c r="F917" s="15"/>
    </row>
    <row r="918" spans="1:6" ht="18" customHeight="1">
      <c r="A918" s="12" t="e">
        <f t="shared" si="5"/>
        <v>#N/A</v>
      </c>
      <c r="B918" s="15" t="e">
        <f>VLOOKUP(D246,[1]국문!$1:$1048576,7,0)</f>
        <v>#N/A</v>
      </c>
      <c r="C918" s="15"/>
      <c r="D918" s="15"/>
      <c r="E918" s="15"/>
      <c r="F918" s="15"/>
    </row>
    <row r="919" spans="1:6" ht="18" customHeight="1">
      <c r="A919" s="12" t="e">
        <f t="shared" si="5"/>
        <v>#N/A</v>
      </c>
      <c r="B919" s="15" t="e">
        <f>VLOOKUP(D247,[1]국문!$1:$1048576,7,0)</f>
        <v>#N/A</v>
      </c>
      <c r="C919" s="15"/>
      <c r="D919" s="15"/>
      <c r="E919" s="15"/>
      <c r="F919" s="15"/>
    </row>
    <row r="920" spans="1:6" ht="18" customHeight="1">
      <c r="A920" s="12" t="e">
        <f t="shared" si="5"/>
        <v>#N/A</v>
      </c>
      <c r="B920" s="15" t="e">
        <f>VLOOKUP(D248,[1]국문!$1:$1048576,7,0)</f>
        <v>#N/A</v>
      </c>
      <c r="C920" s="15"/>
      <c r="D920" s="15"/>
      <c r="E920" s="15"/>
      <c r="F920" s="15"/>
    </row>
    <row r="921" spans="1:6" ht="18" customHeight="1">
      <c r="A921" s="12" t="e">
        <f t="shared" si="5"/>
        <v>#N/A</v>
      </c>
      <c r="B921" s="15" t="e">
        <f>VLOOKUP(D249,[1]국문!$1:$1048576,7,0)</f>
        <v>#N/A</v>
      </c>
      <c r="C921" s="15"/>
      <c r="D921" s="15"/>
      <c r="E921" s="15"/>
      <c r="F921" s="15"/>
    </row>
    <row r="922" spans="1:6" ht="24" customHeight="1">
      <c r="A922" s="12" t="e">
        <f t="shared" si="5"/>
        <v>#N/A</v>
      </c>
      <c r="B922" s="15" t="e">
        <f>VLOOKUP(D222,[1]국문!$1:$1048576,7,0)</f>
        <v>#N/A</v>
      </c>
      <c r="C922" s="15"/>
      <c r="D922" s="15"/>
      <c r="E922" s="15"/>
      <c r="F922" s="15"/>
    </row>
    <row r="923" spans="1:6" ht="24" customHeight="1">
      <c r="A923" s="12" t="e">
        <f t="shared" si="5"/>
        <v>#N/A</v>
      </c>
      <c r="B923" s="15" t="e">
        <f>VLOOKUP(D223,[1]국문!$1:$1048576,7,0)</f>
        <v>#N/A</v>
      </c>
      <c r="C923" s="15"/>
      <c r="D923" s="15"/>
      <c r="E923" s="15"/>
      <c r="F923" s="15"/>
    </row>
    <row r="924" spans="1:6" ht="24" customHeight="1">
      <c r="A924" s="12" t="e">
        <f t="shared" si="5"/>
        <v>#N/A</v>
      </c>
      <c r="B924" s="15" t="e">
        <f>VLOOKUP(D224,[1]국문!$1:$1048576,7,0)</f>
        <v>#N/A</v>
      </c>
      <c r="C924" s="15"/>
      <c r="D924" s="15"/>
      <c r="E924" s="15"/>
      <c r="F924" s="15"/>
    </row>
    <row r="925" spans="1:6" ht="24" customHeight="1">
      <c r="A925" s="12" t="e">
        <f t="shared" si="5"/>
        <v>#N/A</v>
      </c>
      <c r="B925" s="15" t="e">
        <f>VLOOKUP(D225,[1]국문!$1:$1048576,7,0)</f>
        <v>#N/A</v>
      </c>
      <c r="C925" s="15"/>
      <c r="D925" s="15"/>
      <c r="E925" s="15"/>
      <c r="F925" s="15"/>
    </row>
    <row r="926" spans="1:6" ht="24" customHeight="1">
      <c r="A926" s="12" t="e">
        <f t="shared" si="5"/>
        <v>#N/A</v>
      </c>
      <c r="B926" s="15" t="e">
        <f>VLOOKUP(D226,[1]국문!$1:$1048576,7,0)</f>
        <v>#N/A</v>
      </c>
      <c r="C926" s="15"/>
      <c r="D926" s="15"/>
      <c r="E926" s="15"/>
      <c r="F926" s="15"/>
    </row>
    <row r="927" spans="1:6" ht="24" customHeight="1">
      <c r="A927" s="12" t="e">
        <f t="shared" si="5"/>
        <v>#N/A</v>
      </c>
      <c r="B927" s="15" t="e">
        <f>VLOOKUP(D227,[1]국문!$1:$1048576,7,0)</f>
        <v>#N/A</v>
      </c>
      <c r="C927" s="15"/>
      <c r="D927" s="15"/>
      <c r="E927" s="15"/>
      <c r="F927" s="15"/>
    </row>
    <row r="928" spans="1:6" ht="24" customHeight="1">
      <c r="A928" s="12" t="e">
        <f t="shared" si="5"/>
        <v>#N/A</v>
      </c>
      <c r="B928" s="15" t="e">
        <f>VLOOKUP(D228,[1]국문!$1:$1048576,7,0)</f>
        <v>#N/A</v>
      </c>
      <c r="C928" s="15"/>
      <c r="D928" s="15"/>
      <c r="E928" s="15"/>
      <c r="F928" s="15"/>
    </row>
    <row r="929" spans="1:6" ht="24" customHeight="1">
      <c r="A929" s="12" t="e">
        <f t="shared" si="5"/>
        <v>#N/A</v>
      </c>
      <c r="B929" s="15" t="e">
        <f>VLOOKUP(D229,[1]국문!$1:$1048576,7,0)</f>
        <v>#N/A</v>
      </c>
      <c r="C929" s="15"/>
      <c r="D929" s="15"/>
      <c r="E929" s="15"/>
      <c r="F929" s="15"/>
    </row>
    <row r="930" spans="1:6" ht="24" customHeight="1">
      <c r="A930" s="12" t="e">
        <f t="shared" si="5"/>
        <v>#N/A</v>
      </c>
      <c r="B930" s="15" t="e">
        <f>VLOOKUP(D230,[1]국문!$1:$1048576,7,0)</f>
        <v>#N/A</v>
      </c>
      <c r="C930" s="15"/>
      <c r="D930" s="15"/>
      <c r="E930" s="15"/>
      <c r="F930" s="15"/>
    </row>
    <row r="931" spans="1:6" ht="24" customHeight="1">
      <c r="A931" s="12" t="e">
        <f t="shared" ref="A931:A994" si="6">A262</f>
        <v>#N/A</v>
      </c>
      <c r="B931" s="15" t="e">
        <f>VLOOKUP(D231,[1]국문!$1:$1048576,7,0)</f>
        <v>#N/A</v>
      </c>
      <c r="C931" s="15"/>
      <c r="D931" s="15"/>
      <c r="E931" s="15"/>
      <c r="F931" s="15"/>
    </row>
    <row r="932" spans="1:6" ht="24" customHeight="1">
      <c r="A932" s="12" t="e">
        <f t="shared" si="6"/>
        <v>#N/A</v>
      </c>
      <c r="B932" s="15" t="e">
        <f>VLOOKUP(D232,[1]국문!$1:$1048576,7,0)</f>
        <v>#N/A</v>
      </c>
      <c r="C932" s="15"/>
      <c r="D932" s="15"/>
      <c r="E932" s="15"/>
      <c r="F932" s="15"/>
    </row>
    <row r="933" spans="1:6" ht="24" customHeight="1">
      <c r="A933" s="12" t="e">
        <f t="shared" si="6"/>
        <v>#N/A</v>
      </c>
      <c r="B933" s="15" t="e">
        <f>VLOOKUP(D233,[1]국문!$1:$1048576,7,0)</f>
        <v>#N/A</v>
      </c>
      <c r="C933" s="15"/>
      <c r="D933" s="15"/>
      <c r="E933" s="15"/>
      <c r="F933" s="15"/>
    </row>
    <row r="934" spans="1:6" ht="24" customHeight="1">
      <c r="A934" s="12" t="e">
        <f t="shared" si="6"/>
        <v>#N/A</v>
      </c>
      <c r="B934" s="15" t="e">
        <f>VLOOKUP(D234,[1]국문!$1:$1048576,7,0)</f>
        <v>#N/A</v>
      </c>
      <c r="C934" s="15"/>
      <c r="D934" s="15"/>
      <c r="E934" s="15"/>
      <c r="F934" s="15"/>
    </row>
    <row r="935" spans="1:6" ht="24" customHeight="1">
      <c r="A935" s="12" t="e">
        <f t="shared" si="6"/>
        <v>#N/A</v>
      </c>
      <c r="B935" s="15" t="e">
        <f>VLOOKUP(D235,[1]국문!$1:$1048576,7,0)</f>
        <v>#N/A</v>
      </c>
      <c r="C935" s="15"/>
      <c r="D935" s="15"/>
      <c r="E935" s="15"/>
      <c r="F935" s="15"/>
    </row>
    <row r="936" spans="1:6" ht="24" customHeight="1">
      <c r="A936" s="12" t="e">
        <f t="shared" si="6"/>
        <v>#N/A</v>
      </c>
      <c r="B936" s="15" t="e">
        <f>VLOOKUP(D236,[1]국문!$1:$1048576,7,0)</f>
        <v>#N/A</v>
      </c>
      <c r="C936" s="15"/>
      <c r="D936" s="15"/>
      <c r="E936" s="15"/>
      <c r="F936" s="15"/>
    </row>
    <row r="937" spans="1:6" ht="18" customHeight="1">
      <c r="A937" s="12" t="e">
        <f t="shared" si="6"/>
        <v>#N/A</v>
      </c>
      <c r="B937" s="15" t="e">
        <f>VLOOKUP(D265,[1]국문!$1:$1048576,7,0)</f>
        <v>#N/A</v>
      </c>
      <c r="C937" s="15"/>
      <c r="D937" s="15"/>
      <c r="E937" s="15"/>
      <c r="F937" s="15"/>
    </row>
    <row r="938" spans="1:6" ht="18" customHeight="1">
      <c r="A938" s="12" t="e">
        <f t="shared" si="6"/>
        <v>#N/A</v>
      </c>
      <c r="B938" s="15" t="e">
        <f>VLOOKUP(D266,[1]국문!$1:$1048576,7,0)</f>
        <v>#N/A</v>
      </c>
      <c r="C938" s="15"/>
      <c r="D938" s="15"/>
      <c r="E938" s="15"/>
      <c r="F938" s="15"/>
    </row>
    <row r="939" spans="1:6" ht="18" customHeight="1">
      <c r="A939" s="12" t="e">
        <f t="shared" si="6"/>
        <v>#N/A</v>
      </c>
      <c r="B939" s="15" t="e">
        <f>VLOOKUP(D267,[1]국문!$1:$1048576,7,0)</f>
        <v>#N/A</v>
      </c>
      <c r="C939" s="15"/>
      <c r="D939" s="15"/>
      <c r="E939" s="15"/>
      <c r="F939" s="15"/>
    </row>
    <row r="940" spans="1:6" ht="18" customHeight="1">
      <c r="A940" s="12" t="e">
        <f t="shared" si="6"/>
        <v>#N/A</v>
      </c>
      <c r="B940" s="15" t="e">
        <f>VLOOKUP(D268,[1]국문!$1:$1048576,7,0)</f>
        <v>#N/A</v>
      </c>
      <c r="C940" s="15"/>
      <c r="D940" s="15"/>
      <c r="E940" s="15"/>
      <c r="F940" s="15"/>
    </row>
    <row r="941" spans="1:6" ht="18" customHeight="1">
      <c r="A941" s="12" t="e">
        <f t="shared" si="6"/>
        <v>#N/A</v>
      </c>
      <c r="B941" s="15" t="e">
        <f>VLOOKUP(D269,[1]국문!$1:$1048576,7,0)</f>
        <v>#N/A</v>
      </c>
      <c r="C941" s="15"/>
      <c r="D941" s="15"/>
      <c r="E941" s="15"/>
      <c r="F941" s="15"/>
    </row>
    <row r="942" spans="1:6" ht="18" customHeight="1">
      <c r="A942" s="12" t="e">
        <f t="shared" si="6"/>
        <v>#N/A</v>
      </c>
      <c r="B942" s="15" t="e">
        <f>VLOOKUP(D270,[1]국문!$1:$1048576,7,0)</f>
        <v>#N/A</v>
      </c>
      <c r="C942" s="15"/>
      <c r="D942" s="15"/>
      <c r="E942" s="15"/>
      <c r="F942" s="15"/>
    </row>
    <row r="943" spans="1:6" ht="18" customHeight="1">
      <c r="A943" s="12" t="e">
        <f t="shared" si="6"/>
        <v>#N/A</v>
      </c>
      <c r="B943" s="15" t="e">
        <f>VLOOKUP(D271,[1]국문!$1:$1048576,7,0)</f>
        <v>#N/A</v>
      </c>
      <c r="C943" s="15"/>
      <c r="D943" s="15"/>
      <c r="E943" s="15"/>
      <c r="F943" s="15"/>
    </row>
    <row r="944" spans="1:6" ht="18" customHeight="1">
      <c r="A944" s="12" t="e">
        <f t="shared" si="6"/>
        <v>#N/A</v>
      </c>
      <c r="B944" s="15" t="e">
        <f>VLOOKUP(D272,[1]국문!$1:$1048576,7,0)</f>
        <v>#N/A</v>
      </c>
      <c r="C944" s="15"/>
      <c r="D944" s="15"/>
      <c r="E944" s="15"/>
      <c r="F944" s="15"/>
    </row>
    <row r="945" spans="1:6" ht="18" customHeight="1">
      <c r="A945" s="12" t="e">
        <f t="shared" si="6"/>
        <v>#N/A</v>
      </c>
      <c r="B945" s="15" t="e">
        <f>VLOOKUP(D273,[1]국문!$1:$1048576,7,0)</f>
        <v>#N/A</v>
      </c>
      <c r="C945" s="15"/>
      <c r="D945" s="15"/>
      <c r="E945" s="15"/>
      <c r="F945" s="15"/>
    </row>
    <row r="946" spans="1:6" ht="18" customHeight="1">
      <c r="A946" s="12" t="e">
        <f t="shared" si="6"/>
        <v>#N/A</v>
      </c>
      <c r="B946" s="15" t="e">
        <f>VLOOKUP(D274,[1]국문!$1:$1048576,7,0)</f>
        <v>#N/A</v>
      </c>
      <c r="C946" s="15"/>
      <c r="D946" s="15"/>
      <c r="E946" s="15"/>
      <c r="F946" s="15"/>
    </row>
    <row r="947" spans="1:6">
      <c r="A947" s="12" t="e">
        <f t="shared" si="6"/>
        <v>#N/A</v>
      </c>
      <c r="B947" s="15" t="e">
        <f>VLOOKUP(D275,[1]국문!$1:$1048576,7,0)</f>
        <v>#N/A</v>
      </c>
      <c r="C947" s="15"/>
      <c r="D947" s="15"/>
      <c r="E947" s="15"/>
      <c r="F947" s="15"/>
    </row>
    <row r="948" spans="1:6">
      <c r="A948" s="12" t="e">
        <f t="shared" si="6"/>
        <v>#N/A</v>
      </c>
      <c r="B948" s="15" t="e">
        <f>VLOOKUP(D276,[1]국문!$1:$1048576,7,0)</f>
        <v>#N/A</v>
      </c>
      <c r="C948" s="15"/>
      <c r="D948" s="15"/>
      <c r="E948" s="15"/>
      <c r="F948" s="15"/>
    </row>
    <row r="949" spans="1:6">
      <c r="A949" s="12" t="e">
        <f t="shared" si="6"/>
        <v>#N/A</v>
      </c>
      <c r="B949" s="15" t="e">
        <f>VLOOKUP(D277,[1]국문!$1:$1048576,7,0)</f>
        <v>#N/A</v>
      </c>
      <c r="C949" s="15"/>
      <c r="D949" s="15"/>
      <c r="E949" s="15"/>
      <c r="F949" s="15"/>
    </row>
    <row r="950" spans="1:6" ht="18" customHeight="1">
      <c r="A950" s="12" t="e">
        <f t="shared" si="6"/>
        <v>#N/A</v>
      </c>
      <c r="B950" s="15" t="e">
        <f>VLOOKUP(D278,[1]국문!$1:$1048576,7,0)</f>
        <v>#N/A</v>
      </c>
      <c r="C950" s="15"/>
      <c r="D950" s="15"/>
      <c r="E950" s="15"/>
      <c r="F950" s="15"/>
    </row>
    <row r="951" spans="1:6" ht="18" customHeight="1">
      <c r="A951" s="12" t="e">
        <f t="shared" si="6"/>
        <v>#N/A</v>
      </c>
      <c r="B951" s="15" t="e">
        <f>VLOOKUP(D279,[1]국문!$1:$1048576,7,0)</f>
        <v>#N/A</v>
      </c>
      <c r="C951" s="15"/>
      <c r="D951" s="15"/>
      <c r="E951" s="15"/>
      <c r="F951" s="15"/>
    </row>
    <row r="952" spans="1:6" ht="18" customHeight="1">
      <c r="A952" s="12" t="e">
        <f t="shared" si="6"/>
        <v>#N/A</v>
      </c>
      <c r="B952" s="15" t="e">
        <f>VLOOKUP(D280,[1]국문!$1:$1048576,7,0)</f>
        <v>#N/A</v>
      </c>
      <c r="C952" s="15"/>
      <c r="D952" s="15"/>
      <c r="E952" s="15"/>
      <c r="F952" s="15"/>
    </row>
    <row r="953" spans="1:6" ht="18" customHeight="1">
      <c r="A953" s="12" t="e">
        <f t="shared" si="6"/>
        <v>#N/A</v>
      </c>
      <c r="B953" s="15" t="e">
        <f>VLOOKUP(D281,[1]국문!$1:$1048576,7,0)</f>
        <v>#N/A</v>
      </c>
      <c r="C953" s="15"/>
      <c r="D953" s="15"/>
      <c r="E953" s="15"/>
      <c r="F953" s="15"/>
    </row>
    <row r="954" spans="1:6" ht="18" customHeight="1">
      <c r="A954" s="12" t="e">
        <f t="shared" si="6"/>
        <v>#N/A</v>
      </c>
      <c r="B954" s="15" t="e">
        <f>VLOOKUP(D282,[1]국문!$1:$1048576,7,0)</f>
        <v>#N/A</v>
      </c>
      <c r="C954" s="15"/>
      <c r="D954" s="15"/>
      <c r="E954" s="15"/>
      <c r="F954" s="15"/>
    </row>
    <row r="955" spans="1:6" ht="18" customHeight="1">
      <c r="A955" s="12" t="e">
        <f t="shared" si="6"/>
        <v>#N/A</v>
      </c>
      <c r="B955" s="15" t="e">
        <f>VLOOKUP(D283,[1]국문!$1:$1048576,7,0)</f>
        <v>#N/A</v>
      </c>
      <c r="C955" s="15"/>
      <c r="D955" s="15"/>
      <c r="E955" s="15"/>
      <c r="F955" s="15"/>
    </row>
    <row r="956" spans="1:6" ht="18" customHeight="1">
      <c r="A956" s="12" t="e">
        <f t="shared" si="6"/>
        <v>#N/A</v>
      </c>
      <c r="B956" s="15" t="e">
        <f>VLOOKUP(D284,[1]국문!$1:$1048576,7,0)</f>
        <v>#N/A</v>
      </c>
      <c r="C956" s="15"/>
      <c r="D956" s="15"/>
      <c r="E956" s="15"/>
      <c r="F956" s="15"/>
    </row>
    <row r="957" spans="1:6" ht="18" customHeight="1">
      <c r="A957" s="12" t="e">
        <f t="shared" si="6"/>
        <v>#N/A</v>
      </c>
      <c r="B957" s="15" t="e">
        <f>VLOOKUP(D285,[1]국문!$1:$1048576,7,0)</f>
        <v>#N/A</v>
      </c>
      <c r="C957" s="15"/>
      <c r="D957" s="15"/>
      <c r="E957" s="15"/>
      <c r="F957" s="15"/>
    </row>
    <row r="958" spans="1:6" ht="18" customHeight="1">
      <c r="A958" s="12" t="e">
        <f t="shared" si="6"/>
        <v>#N/A</v>
      </c>
      <c r="B958" s="15" t="e">
        <f>VLOOKUP(D286,[1]국문!$1:$1048576,7,0)</f>
        <v>#N/A</v>
      </c>
      <c r="C958" s="15"/>
      <c r="D958" s="15"/>
      <c r="E958" s="15"/>
      <c r="F958" s="15"/>
    </row>
    <row r="959" spans="1:6" ht="18" customHeight="1">
      <c r="A959" s="12" t="e">
        <f t="shared" si="6"/>
        <v>#N/A</v>
      </c>
      <c r="B959" s="15" t="e">
        <f>VLOOKUP(D287,[1]국문!$1:$1048576,7,0)</f>
        <v>#N/A</v>
      </c>
      <c r="C959" s="15"/>
      <c r="D959" s="15"/>
      <c r="E959" s="15"/>
      <c r="F959" s="15"/>
    </row>
    <row r="960" spans="1:6" ht="18" customHeight="1">
      <c r="A960" s="12" t="e">
        <f t="shared" si="6"/>
        <v>#N/A</v>
      </c>
      <c r="B960" s="15" t="e">
        <f>VLOOKUP(D288,[1]국문!$1:$1048576,7,0)</f>
        <v>#N/A</v>
      </c>
      <c r="C960" s="15"/>
      <c r="D960" s="15"/>
      <c r="E960" s="15"/>
      <c r="F960" s="15"/>
    </row>
    <row r="961" spans="1:6" ht="18" customHeight="1">
      <c r="A961" s="12" t="e">
        <f t="shared" si="6"/>
        <v>#N/A</v>
      </c>
      <c r="B961" s="15" t="e">
        <f>VLOOKUP(D289,[1]국문!$1:$1048576,7,0)</f>
        <v>#N/A</v>
      </c>
      <c r="C961" s="15"/>
      <c r="D961" s="15"/>
      <c r="E961" s="15"/>
      <c r="F961" s="15"/>
    </row>
    <row r="962" spans="1:6" ht="24" customHeight="1">
      <c r="A962" s="12" t="e">
        <f t="shared" si="6"/>
        <v>#N/A</v>
      </c>
      <c r="B962" s="15" t="e">
        <f>VLOOKUP(D262,[1]국문!$1:$1048576,7,0)</f>
        <v>#N/A</v>
      </c>
      <c r="C962" s="15"/>
      <c r="D962" s="15"/>
      <c r="E962" s="15"/>
      <c r="F962" s="15"/>
    </row>
    <row r="963" spans="1:6" ht="24" customHeight="1">
      <c r="A963" s="12" t="e">
        <f t="shared" si="6"/>
        <v>#N/A</v>
      </c>
      <c r="B963" s="15" t="e">
        <f>VLOOKUP(D263,[1]국문!$1:$1048576,7,0)</f>
        <v>#N/A</v>
      </c>
      <c r="C963" s="15"/>
      <c r="D963" s="15"/>
      <c r="E963" s="15"/>
      <c r="F963" s="15"/>
    </row>
    <row r="964" spans="1:6" ht="24" customHeight="1">
      <c r="A964" s="12" t="e">
        <f t="shared" si="6"/>
        <v>#N/A</v>
      </c>
      <c r="B964" s="15" t="e">
        <f>VLOOKUP(D264,[1]국문!$1:$1048576,7,0)</f>
        <v>#N/A</v>
      </c>
      <c r="C964" s="15"/>
      <c r="D964" s="15"/>
      <c r="E964" s="15"/>
      <c r="F964" s="15"/>
    </row>
    <row r="965" spans="1:6" ht="24" customHeight="1">
      <c r="A965" s="12" t="e">
        <f t="shared" si="6"/>
        <v>#N/A</v>
      </c>
      <c r="B965" s="15" t="e">
        <f>VLOOKUP(D265,[1]국문!$1:$1048576,7,0)</f>
        <v>#N/A</v>
      </c>
      <c r="C965" s="15"/>
      <c r="D965" s="15"/>
      <c r="E965" s="15"/>
      <c r="F965" s="15"/>
    </row>
    <row r="966" spans="1:6" ht="24" customHeight="1">
      <c r="A966" s="12" t="e">
        <f t="shared" si="6"/>
        <v>#N/A</v>
      </c>
      <c r="B966" s="15" t="e">
        <f>VLOOKUP(D266,[1]국문!$1:$1048576,7,0)</f>
        <v>#N/A</v>
      </c>
      <c r="C966" s="15"/>
      <c r="D966" s="15"/>
      <c r="E966" s="15"/>
      <c r="F966" s="15"/>
    </row>
    <row r="967" spans="1:6" ht="24" customHeight="1">
      <c r="A967" s="12" t="e">
        <f t="shared" si="6"/>
        <v>#N/A</v>
      </c>
      <c r="B967" s="15" t="e">
        <f>VLOOKUP(D267,[1]국문!$1:$1048576,7,0)</f>
        <v>#N/A</v>
      </c>
      <c r="C967" s="15"/>
      <c r="D967" s="15"/>
      <c r="E967" s="15"/>
      <c r="F967" s="15"/>
    </row>
    <row r="968" spans="1:6" ht="24" customHeight="1">
      <c r="A968" s="12" t="e">
        <f t="shared" si="6"/>
        <v>#N/A</v>
      </c>
      <c r="B968" s="15" t="e">
        <f>VLOOKUP(D268,[1]국문!$1:$1048576,7,0)</f>
        <v>#N/A</v>
      </c>
      <c r="C968" s="15"/>
      <c r="D968" s="15"/>
      <c r="E968" s="15"/>
      <c r="F968" s="15"/>
    </row>
    <row r="969" spans="1:6" ht="24" customHeight="1">
      <c r="A969" s="12" t="e">
        <f t="shared" si="6"/>
        <v>#N/A</v>
      </c>
      <c r="B969" s="15" t="e">
        <f>VLOOKUP(D269,[1]국문!$1:$1048576,7,0)</f>
        <v>#N/A</v>
      </c>
      <c r="C969" s="15"/>
      <c r="D969" s="15"/>
      <c r="E969" s="15"/>
      <c r="F969" s="15"/>
    </row>
    <row r="970" spans="1:6" ht="24" customHeight="1">
      <c r="A970" s="12" t="e">
        <f t="shared" si="6"/>
        <v>#N/A</v>
      </c>
      <c r="B970" s="15" t="e">
        <f>VLOOKUP(D270,[1]국문!$1:$1048576,7,0)</f>
        <v>#N/A</v>
      </c>
      <c r="C970" s="15"/>
      <c r="D970" s="15"/>
      <c r="E970" s="15"/>
      <c r="F970" s="15"/>
    </row>
    <row r="971" spans="1:6" ht="24" customHeight="1">
      <c r="A971" s="12" t="e">
        <f t="shared" si="6"/>
        <v>#N/A</v>
      </c>
      <c r="B971" s="15" t="e">
        <f>VLOOKUP(D271,[1]국문!$1:$1048576,7,0)</f>
        <v>#N/A</v>
      </c>
      <c r="C971" s="15"/>
      <c r="D971" s="15"/>
      <c r="E971" s="15"/>
      <c r="F971" s="15"/>
    </row>
    <row r="972" spans="1:6" ht="24" customHeight="1">
      <c r="A972" s="12" t="e">
        <f t="shared" si="6"/>
        <v>#N/A</v>
      </c>
      <c r="B972" s="15" t="e">
        <f>VLOOKUP(D272,[1]국문!$1:$1048576,7,0)</f>
        <v>#N/A</v>
      </c>
      <c r="C972" s="15"/>
      <c r="D972" s="15"/>
      <c r="E972" s="15"/>
      <c r="F972" s="15"/>
    </row>
    <row r="973" spans="1:6" ht="24" customHeight="1">
      <c r="A973" s="12" t="e">
        <f t="shared" si="6"/>
        <v>#N/A</v>
      </c>
      <c r="B973" s="15" t="e">
        <f>VLOOKUP(D273,[1]국문!$1:$1048576,7,0)</f>
        <v>#N/A</v>
      </c>
      <c r="C973" s="15"/>
      <c r="D973" s="15"/>
      <c r="E973" s="15"/>
      <c r="F973" s="15"/>
    </row>
    <row r="974" spans="1:6" ht="24" customHeight="1">
      <c r="A974" s="12" t="e">
        <f t="shared" si="6"/>
        <v>#N/A</v>
      </c>
      <c r="B974" s="15" t="e">
        <f>VLOOKUP(D274,[1]국문!$1:$1048576,7,0)</f>
        <v>#N/A</v>
      </c>
      <c r="C974" s="15"/>
      <c r="D974" s="15"/>
      <c r="E974" s="15"/>
      <c r="F974" s="15"/>
    </row>
    <row r="975" spans="1:6" ht="24" customHeight="1">
      <c r="A975" s="12" t="e">
        <f t="shared" si="6"/>
        <v>#N/A</v>
      </c>
      <c r="B975" s="15" t="e">
        <f>VLOOKUP(D275,[1]국문!$1:$1048576,7,0)</f>
        <v>#N/A</v>
      </c>
      <c r="C975" s="15"/>
      <c r="D975" s="15"/>
      <c r="E975" s="15"/>
      <c r="F975" s="15"/>
    </row>
    <row r="976" spans="1:6" ht="24" customHeight="1">
      <c r="A976" s="12" t="e">
        <f t="shared" si="6"/>
        <v>#N/A</v>
      </c>
      <c r="B976" s="15" t="e">
        <f>VLOOKUP(D276,[1]국문!$1:$1048576,7,0)</f>
        <v>#N/A</v>
      </c>
      <c r="C976" s="15"/>
      <c r="D976" s="15"/>
      <c r="E976" s="15"/>
      <c r="F976" s="15"/>
    </row>
    <row r="977" spans="1:6" ht="18" customHeight="1">
      <c r="A977" s="12" t="e">
        <f t="shared" si="6"/>
        <v>#N/A</v>
      </c>
      <c r="B977" s="15" t="e">
        <f>VLOOKUP(D305,[1]국문!$1:$1048576,7,0)</f>
        <v>#N/A</v>
      </c>
      <c r="C977" s="15"/>
      <c r="D977" s="15"/>
      <c r="E977" s="15"/>
      <c r="F977" s="15"/>
    </row>
    <row r="978" spans="1:6" ht="18" customHeight="1">
      <c r="A978" s="12" t="e">
        <f t="shared" si="6"/>
        <v>#N/A</v>
      </c>
      <c r="B978" s="15" t="e">
        <f>VLOOKUP(D306,[1]국문!$1:$1048576,7,0)</f>
        <v>#N/A</v>
      </c>
      <c r="C978" s="15"/>
      <c r="D978" s="15"/>
      <c r="E978" s="15"/>
      <c r="F978" s="15"/>
    </row>
    <row r="979" spans="1:6" ht="18" customHeight="1">
      <c r="A979" s="12" t="e">
        <f t="shared" si="6"/>
        <v>#N/A</v>
      </c>
      <c r="B979" s="15" t="e">
        <f>VLOOKUP(D307,[1]국문!$1:$1048576,7,0)</f>
        <v>#N/A</v>
      </c>
      <c r="C979" s="15"/>
      <c r="D979" s="15"/>
      <c r="E979" s="15"/>
      <c r="F979" s="15"/>
    </row>
    <row r="980" spans="1:6" ht="18" customHeight="1">
      <c r="A980" s="12" t="e">
        <f t="shared" si="6"/>
        <v>#N/A</v>
      </c>
      <c r="B980" s="15" t="e">
        <f>VLOOKUP(D308,[1]국문!$1:$1048576,7,0)</f>
        <v>#N/A</v>
      </c>
      <c r="C980" s="15"/>
      <c r="D980" s="15"/>
      <c r="E980" s="15"/>
      <c r="F980" s="15"/>
    </row>
    <row r="981" spans="1:6" ht="18" customHeight="1">
      <c r="A981" s="12" t="e">
        <f t="shared" si="6"/>
        <v>#N/A</v>
      </c>
      <c r="B981" s="15" t="e">
        <f>VLOOKUP(D309,[1]국문!$1:$1048576,7,0)</f>
        <v>#N/A</v>
      </c>
      <c r="C981" s="15"/>
      <c r="D981" s="15"/>
      <c r="E981" s="15"/>
      <c r="F981" s="15"/>
    </row>
    <row r="982" spans="1:6" ht="18" customHeight="1">
      <c r="A982" s="12" t="e">
        <f t="shared" si="6"/>
        <v>#N/A</v>
      </c>
      <c r="B982" s="15" t="e">
        <f>VLOOKUP(D310,[1]국문!$1:$1048576,7,0)</f>
        <v>#N/A</v>
      </c>
      <c r="C982" s="15"/>
      <c r="D982" s="15"/>
      <c r="E982" s="15"/>
      <c r="F982" s="15"/>
    </row>
    <row r="983" spans="1:6" ht="18" customHeight="1">
      <c r="A983" s="12" t="e">
        <f t="shared" si="6"/>
        <v>#N/A</v>
      </c>
      <c r="B983" s="15" t="e">
        <f>VLOOKUP(D311,[1]국문!$1:$1048576,7,0)</f>
        <v>#N/A</v>
      </c>
      <c r="C983" s="15"/>
      <c r="D983" s="15"/>
      <c r="E983" s="15"/>
      <c r="F983" s="15"/>
    </row>
    <row r="984" spans="1:6" ht="18" customHeight="1">
      <c r="A984" s="12" t="e">
        <f t="shared" si="6"/>
        <v>#N/A</v>
      </c>
      <c r="B984" s="15" t="e">
        <f>VLOOKUP(D312,[1]국문!$1:$1048576,7,0)</f>
        <v>#N/A</v>
      </c>
      <c r="C984" s="15"/>
      <c r="D984" s="15"/>
      <c r="E984" s="15"/>
      <c r="F984" s="15"/>
    </row>
    <row r="985" spans="1:6" ht="18" customHeight="1">
      <c r="A985" s="12" t="e">
        <f t="shared" si="6"/>
        <v>#N/A</v>
      </c>
      <c r="B985" s="15" t="e">
        <f>VLOOKUP(D313,[1]국문!$1:$1048576,7,0)</f>
        <v>#N/A</v>
      </c>
      <c r="C985" s="15"/>
      <c r="D985" s="15"/>
      <c r="E985" s="15"/>
      <c r="F985" s="15"/>
    </row>
    <row r="986" spans="1:6" ht="18" customHeight="1">
      <c r="A986" s="12" t="e">
        <f t="shared" si="6"/>
        <v>#N/A</v>
      </c>
      <c r="B986" s="15" t="e">
        <f>VLOOKUP(D314,[1]국문!$1:$1048576,7,0)</f>
        <v>#N/A</v>
      </c>
      <c r="C986" s="15"/>
      <c r="D986" s="15"/>
      <c r="E986" s="15"/>
      <c r="F986" s="15"/>
    </row>
    <row r="987" spans="1:6">
      <c r="A987" s="12" t="e">
        <f t="shared" si="6"/>
        <v>#N/A</v>
      </c>
      <c r="B987" s="15" t="e">
        <f>VLOOKUP(D315,[1]국문!$1:$1048576,7,0)</f>
        <v>#N/A</v>
      </c>
      <c r="C987" s="15"/>
      <c r="D987" s="15"/>
      <c r="E987" s="15"/>
      <c r="F987" s="15"/>
    </row>
    <row r="988" spans="1:6">
      <c r="A988" s="12" t="e">
        <f t="shared" si="6"/>
        <v>#N/A</v>
      </c>
      <c r="B988" s="15" t="e">
        <f>VLOOKUP(D316,[1]국문!$1:$1048576,7,0)</f>
        <v>#N/A</v>
      </c>
      <c r="C988" s="15"/>
      <c r="D988" s="15"/>
      <c r="E988" s="15"/>
      <c r="F988" s="15"/>
    </row>
    <row r="989" spans="1:6">
      <c r="A989" s="12" t="e">
        <f t="shared" si="6"/>
        <v>#N/A</v>
      </c>
      <c r="B989" s="15" t="e">
        <f>VLOOKUP(D317,[1]국문!$1:$1048576,7,0)</f>
        <v>#N/A</v>
      </c>
      <c r="C989" s="15"/>
      <c r="D989" s="15"/>
      <c r="E989" s="15"/>
      <c r="F989" s="15"/>
    </row>
    <row r="990" spans="1:6" ht="18" customHeight="1">
      <c r="A990" s="12" t="e">
        <f t="shared" si="6"/>
        <v>#N/A</v>
      </c>
      <c r="B990" s="15" t="e">
        <f>VLOOKUP(D318,[1]국문!$1:$1048576,7,0)</f>
        <v>#N/A</v>
      </c>
      <c r="C990" s="15"/>
      <c r="D990" s="15"/>
      <c r="E990" s="15"/>
      <c r="F990" s="15"/>
    </row>
    <row r="991" spans="1:6" ht="18" customHeight="1">
      <c r="A991" s="12" t="e">
        <f t="shared" si="6"/>
        <v>#N/A</v>
      </c>
      <c r="B991" s="15" t="e">
        <f>VLOOKUP(D319,[1]국문!$1:$1048576,7,0)</f>
        <v>#N/A</v>
      </c>
      <c r="C991" s="15"/>
      <c r="D991" s="15"/>
      <c r="E991" s="15"/>
      <c r="F991" s="15"/>
    </row>
    <row r="992" spans="1:6" ht="18" customHeight="1">
      <c r="A992" s="12" t="e">
        <f t="shared" si="6"/>
        <v>#N/A</v>
      </c>
      <c r="B992" s="15" t="e">
        <f>VLOOKUP(D320,[1]국문!$1:$1048576,7,0)</f>
        <v>#N/A</v>
      </c>
      <c r="C992" s="15"/>
      <c r="D992" s="15"/>
      <c r="E992" s="15"/>
      <c r="F992" s="15"/>
    </row>
    <row r="993" spans="1:6" ht="18" customHeight="1">
      <c r="A993" s="12" t="e">
        <f t="shared" si="6"/>
        <v>#N/A</v>
      </c>
      <c r="B993" s="15" t="e">
        <f>VLOOKUP(D321,[1]국문!$1:$1048576,7,0)</f>
        <v>#N/A</v>
      </c>
      <c r="C993" s="15"/>
      <c r="D993" s="15"/>
      <c r="E993" s="15"/>
      <c r="F993" s="15"/>
    </row>
    <row r="994" spans="1:6" ht="18" customHeight="1">
      <c r="A994" s="12" t="e">
        <f t="shared" si="6"/>
        <v>#N/A</v>
      </c>
      <c r="B994" s="15" t="e">
        <f>VLOOKUP(D322,[1]국문!$1:$1048576,7,0)</f>
        <v>#N/A</v>
      </c>
      <c r="C994" s="15"/>
      <c r="D994" s="15"/>
      <c r="E994" s="15"/>
      <c r="F994" s="15"/>
    </row>
    <row r="995" spans="1:6" ht="18" customHeight="1">
      <c r="A995" s="12" t="e">
        <f t="shared" ref="A995:A1001" si="7">A326</f>
        <v>#N/A</v>
      </c>
      <c r="B995" s="15" t="e">
        <f>VLOOKUP(D323,[1]국문!$1:$1048576,7,0)</f>
        <v>#N/A</v>
      </c>
      <c r="C995" s="15"/>
      <c r="D995" s="15"/>
      <c r="E995" s="15"/>
      <c r="F995" s="15"/>
    </row>
    <row r="996" spans="1:6" ht="18" customHeight="1">
      <c r="A996" s="12" t="e">
        <f t="shared" si="7"/>
        <v>#N/A</v>
      </c>
      <c r="B996" s="15" t="e">
        <f>VLOOKUP(D324,[1]국문!$1:$1048576,7,0)</f>
        <v>#N/A</v>
      </c>
      <c r="C996" s="15"/>
      <c r="D996" s="15"/>
      <c r="E996" s="15"/>
      <c r="F996" s="15"/>
    </row>
    <row r="997" spans="1:6" ht="18" customHeight="1">
      <c r="A997" s="12" t="e">
        <f t="shared" si="7"/>
        <v>#N/A</v>
      </c>
      <c r="B997" s="15" t="e">
        <f>VLOOKUP(D325,[1]국문!$1:$1048576,7,0)</f>
        <v>#N/A</v>
      </c>
      <c r="C997" s="15"/>
      <c r="D997" s="15"/>
      <c r="E997" s="15"/>
      <c r="F997" s="15"/>
    </row>
    <row r="998" spans="1:6" ht="18" customHeight="1">
      <c r="A998" s="12" t="e">
        <f t="shared" si="7"/>
        <v>#N/A</v>
      </c>
      <c r="B998" s="15" t="e">
        <f>VLOOKUP(D326,[1]국문!$1:$1048576,7,0)</f>
        <v>#N/A</v>
      </c>
      <c r="C998" s="15"/>
      <c r="D998" s="15"/>
      <c r="E998" s="15"/>
      <c r="F998" s="15"/>
    </row>
    <row r="999" spans="1:6" ht="18" customHeight="1">
      <c r="A999" s="12" t="e">
        <f t="shared" si="7"/>
        <v>#N/A</v>
      </c>
      <c r="B999" s="15" t="e">
        <f>VLOOKUP(D327,[1]국문!$1:$1048576,7,0)</f>
        <v>#N/A</v>
      </c>
      <c r="C999" s="15"/>
      <c r="D999" s="15"/>
      <c r="E999" s="15"/>
      <c r="F999" s="15"/>
    </row>
    <row r="1000" spans="1:6" ht="18" customHeight="1">
      <c r="A1000" s="12" t="e">
        <f t="shared" si="7"/>
        <v>#N/A</v>
      </c>
      <c r="B1000" s="15" t="e">
        <f>VLOOKUP(D328,[1]국문!$1:$1048576,7,0)</f>
        <v>#N/A</v>
      </c>
      <c r="C1000" s="15"/>
      <c r="D1000" s="15"/>
      <c r="E1000" s="15"/>
      <c r="F1000" s="15"/>
    </row>
    <row r="1001" spans="1:6" ht="18" customHeight="1">
      <c r="A1001" s="12" t="e">
        <f t="shared" si="7"/>
        <v>#N/A</v>
      </c>
      <c r="B1001" s="15" t="e">
        <f>VLOOKUP(D329,[1]국문!$1:$1048576,7,0)</f>
        <v>#N/A</v>
      </c>
      <c r="C1001" s="15"/>
      <c r="D1001" s="15"/>
      <c r="E1001" s="15"/>
      <c r="F1001" s="15"/>
    </row>
    <row r="1002" spans="1:6" ht="18" customHeight="1">
      <c r="A1002" s="8" t="s">
        <v>52</v>
      </c>
      <c r="B1002" s="15"/>
      <c r="C1002" s="15"/>
      <c r="D1002" s="15"/>
      <c r="E1002" s="15"/>
      <c r="F1002" s="15"/>
    </row>
    <row r="1003" spans="1:6" ht="24" customHeight="1">
      <c r="A1003" s="12" t="e">
        <f>A133</f>
        <v>#N/A</v>
      </c>
      <c r="B1003" s="15" t="e">
        <f>VLOOKUP(D94,[1]국문!$1:$1048576,8,0)</f>
        <v>#N/A</v>
      </c>
      <c r="C1003" s="15"/>
      <c r="D1003" s="15"/>
      <c r="E1003" s="15"/>
      <c r="F1003" s="15"/>
    </row>
    <row r="1004" spans="1:6" ht="24" customHeight="1">
      <c r="A1004" s="12" t="e">
        <f t="shared" ref="A1004:A1067" si="8">A134</f>
        <v>#N/A</v>
      </c>
      <c r="B1004" s="15" t="e">
        <f>VLOOKUP(D95,[1]국문!$1:$1048576,8,0)</f>
        <v>#N/A</v>
      </c>
      <c r="C1004" s="15"/>
      <c r="D1004" s="15"/>
      <c r="E1004" s="15"/>
      <c r="F1004" s="15"/>
    </row>
    <row r="1005" spans="1:6" ht="24" customHeight="1">
      <c r="A1005" s="12" t="e">
        <f t="shared" si="8"/>
        <v>#N/A</v>
      </c>
      <c r="B1005" s="15" t="e">
        <f>VLOOKUP(D96,[1]국문!$1:$1048576,8,0)</f>
        <v>#N/A</v>
      </c>
      <c r="C1005" s="15"/>
      <c r="D1005" s="15"/>
      <c r="E1005" s="15"/>
      <c r="F1005" s="15"/>
    </row>
    <row r="1006" spans="1:6" ht="24" customHeight="1">
      <c r="A1006" s="12" t="e">
        <f t="shared" si="8"/>
        <v>#N/A</v>
      </c>
      <c r="B1006" s="15" t="e">
        <f>VLOOKUP(D97,[1]국문!$1:$1048576,8,0)</f>
        <v>#N/A</v>
      </c>
      <c r="C1006" s="15"/>
      <c r="D1006" s="15"/>
      <c r="E1006" s="15"/>
      <c r="F1006" s="15"/>
    </row>
    <row r="1007" spans="1:6" ht="24" customHeight="1">
      <c r="A1007" s="12" t="e">
        <f t="shared" si="8"/>
        <v>#N/A</v>
      </c>
      <c r="B1007" s="15" t="e">
        <f>VLOOKUP(D98,[1]국문!$1:$1048576,8,0)</f>
        <v>#N/A</v>
      </c>
      <c r="C1007" s="15"/>
      <c r="D1007" s="15"/>
      <c r="E1007" s="15"/>
      <c r="F1007" s="15"/>
    </row>
    <row r="1008" spans="1:6" ht="24" customHeight="1">
      <c r="A1008" s="12" t="e">
        <f t="shared" si="8"/>
        <v>#N/A</v>
      </c>
      <c r="B1008" s="15" t="e">
        <f>VLOOKUP(D99,[1]국문!$1:$1048576,8,0)</f>
        <v>#N/A</v>
      </c>
      <c r="C1008" s="15"/>
      <c r="D1008" s="15"/>
      <c r="E1008" s="15"/>
      <c r="F1008" s="15"/>
    </row>
    <row r="1009" spans="1:6" ht="24" customHeight="1">
      <c r="A1009" s="12" t="e">
        <f t="shared" si="8"/>
        <v>#N/A</v>
      </c>
      <c r="B1009" s="15" t="e">
        <f>VLOOKUP(D100,[1]국문!$1:$1048576,8,0)</f>
        <v>#N/A</v>
      </c>
      <c r="C1009" s="15"/>
      <c r="D1009" s="15"/>
      <c r="E1009" s="15"/>
      <c r="F1009" s="15"/>
    </row>
    <row r="1010" spans="1:6" ht="24" customHeight="1">
      <c r="A1010" s="12" t="e">
        <f t="shared" si="8"/>
        <v>#N/A</v>
      </c>
      <c r="B1010" s="15" t="e">
        <f>VLOOKUP(D101,[1]국문!$1:$1048576,8,0)</f>
        <v>#N/A</v>
      </c>
      <c r="C1010" s="15"/>
      <c r="D1010" s="15"/>
      <c r="E1010" s="15"/>
      <c r="F1010" s="15"/>
    </row>
    <row r="1011" spans="1:6" ht="24" customHeight="1">
      <c r="A1011" s="12" t="e">
        <f t="shared" si="8"/>
        <v>#N/A</v>
      </c>
      <c r="B1011" s="15" t="e">
        <f>VLOOKUP(D102,[1]국문!$1:$1048576,8,0)</f>
        <v>#N/A</v>
      </c>
      <c r="C1011" s="15"/>
      <c r="D1011" s="15"/>
      <c r="E1011" s="15"/>
      <c r="F1011" s="15"/>
    </row>
    <row r="1012" spans="1:6" ht="24" customHeight="1">
      <c r="A1012" s="12" t="e">
        <f t="shared" si="8"/>
        <v>#N/A</v>
      </c>
      <c r="B1012" s="15" t="e">
        <f>VLOOKUP(D103,[1]국문!$1:$1048576,8,0)</f>
        <v>#N/A</v>
      </c>
      <c r="C1012" s="15"/>
      <c r="D1012" s="15"/>
      <c r="E1012" s="15"/>
      <c r="F1012" s="15"/>
    </row>
    <row r="1013" spans="1:6" ht="24" customHeight="1">
      <c r="A1013" s="12" t="e">
        <f t="shared" si="8"/>
        <v>#N/A</v>
      </c>
      <c r="B1013" s="15" t="e">
        <f>VLOOKUP(D104,[1]국문!$1:$1048576,8,0)</f>
        <v>#N/A</v>
      </c>
      <c r="C1013" s="15"/>
      <c r="D1013" s="15"/>
      <c r="E1013" s="15"/>
      <c r="F1013" s="15"/>
    </row>
    <row r="1014" spans="1:6" ht="24" customHeight="1">
      <c r="A1014" s="12" t="e">
        <f t="shared" si="8"/>
        <v>#N/A</v>
      </c>
      <c r="B1014" s="15" t="e">
        <f>VLOOKUP(D105,[1]국문!$1:$1048576,8,0)</f>
        <v>#N/A</v>
      </c>
      <c r="C1014" s="15"/>
      <c r="D1014" s="15"/>
      <c r="E1014" s="15"/>
      <c r="F1014" s="15"/>
    </row>
    <row r="1015" spans="1:6" ht="24" customHeight="1">
      <c r="A1015" s="12" t="e">
        <f t="shared" si="8"/>
        <v>#N/A</v>
      </c>
      <c r="B1015" s="15" t="e">
        <f>VLOOKUP(D106,[1]국문!$1:$1048576,8,0)</f>
        <v>#N/A</v>
      </c>
      <c r="C1015" s="15"/>
      <c r="D1015" s="15"/>
      <c r="E1015" s="15"/>
      <c r="F1015" s="15"/>
    </row>
    <row r="1016" spans="1:6" ht="24" customHeight="1">
      <c r="A1016" s="12" t="e">
        <f t="shared" si="8"/>
        <v>#N/A</v>
      </c>
      <c r="B1016" s="15" t="e">
        <f>VLOOKUP(D107,[1]국문!$1:$1048576,8,0)</f>
        <v>#N/A</v>
      </c>
      <c r="C1016" s="15"/>
      <c r="D1016" s="15"/>
      <c r="E1016" s="15"/>
      <c r="F1016" s="15"/>
    </row>
    <row r="1017" spans="1:6" ht="24" customHeight="1">
      <c r="A1017" s="12" t="e">
        <f t="shared" si="8"/>
        <v>#N/A</v>
      </c>
      <c r="B1017" s="15" t="e">
        <f>VLOOKUP(D108,[1]국문!$1:$1048576,8,0)</f>
        <v>#N/A</v>
      </c>
      <c r="C1017" s="15"/>
      <c r="D1017" s="15"/>
      <c r="E1017" s="15"/>
      <c r="F1017" s="15"/>
    </row>
    <row r="1018" spans="1:6" ht="18" customHeight="1">
      <c r="A1018" s="12" t="e">
        <f t="shared" si="8"/>
        <v>#N/A</v>
      </c>
      <c r="B1018" s="15" t="e">
        <f>VLOOKUP(D137,[1]국문!$1:$1048576,8,0)</f>
        <v>#N/A</v>
      </c>
      <c r="C1018" s="15"/>
      <c r="D1018" s="15"/>
      <c r="E1018" s="15"/>
      <c r="F1018" s="15"/>
    </row>
    <row r="1019" spans="1:6" ht="18" customHeight="1">
      <c r="A1019" s="12" t="e">
        <f t="shared" si="8"/>
        <v>#N/A</v>
      </c>
      <c r="B1019" s="15" t="e">
        <f>VLOOKUP(D138,[1]국문!$1:$1048576,8,0)</f>
        <v>#N/A</v>
      </c>
      <c r="C1019" s="15"/>
      <c r="D1019" s="15"/>
      <c r="E1019" s="15"/>
      <c r="F1019" s="15"/>
    </row>
    <row r="1020" spans="1:6" ht="18" customHeight="1">
      <c r="A1020" s="12" t="e">
        <f t="shared" si="8"/>
        <v>#N/A</v>
      </c>
      <c r="B1020" s="15" t="e">
        <f>VLOOKUP(D139,[1]국문!$1:$1048576,8,0)</f>
        <v>#N/A</v>
      </c>
      <c r="C1020" s="15"/>
      <c r="D1020" s="15"/>
      <c r="E1020" s="15"/>
      <c r="F1020" s="15"/>
    </row>
    <row r="1021" spans="1:6" ht="18" customHeight="1">
      <c r="A1021" s="12" t="e">
        <f t="shared" si="8"/>
        <v>#N/A</v>
      </c>
      <c r="B1021" s="15" t="e">
        <f>VLOOKUP(D140,[1]국문!$1:$1048576,8,0)</f>
        <v>#N/A</v>
      </c>
      <c r="C1021" s="15"/>
      <c r="D1021" s="15"/>
      <c r="E1021" s="15"/>
      <c r="F1021" s="15"/>
    </row>
    <row r="1022" spans="1:6" ht="18" customHeight="1">
      <c r="A1022" s="12" t="e">
        <f t="shared" si="8"/>
        <v>#N/A</v>
      </c>
      <c r="B1022" s="15" t="e">
        <f>VLOOKUP(D141,[1]국문!$1:$1048576,8,0)</f>
        <v>#N/A</v>
      </c>
      <c r="C1022" s="15"/>
      <c r="D1022" s="15"/>
      <c r="E1022" s="15"/>
      <c r="F1022" s="15"/>
    </row>
    <row r="1023" spans="1:6">
      <c r="A1023" s="12" t="e">
        <f t="shared" si="8"/>
        <v>#N/A</v>
      </c>
      <c r="B1023" s="15" t="e">
        <f>VLOOKUP(D142,[1]국문!$1:$1048576,8,0)</f>
        <v>#N/A</v>
      </c>
      <c r="C1023" s="15"/>
      <c r="D1023" s="15"/>
      <c r="E1023" s="15"/>
      <c r="F1023" s="15"/>
    </row>
    <row r="1024" spans="1:6" ht="18" customHeight="1">
      <c r="A1024" s="12" t="e">
        <f t="shared" si="8"/>
        <v>#N/A</v>
      </c>
      <c r="B1024" s="15" t="e">
        <f>VLOOKUP(D143,[1]국문!$1:$1048576,8,0)</f>
        <v>#N/A</v>
      </c>
      <c r="C1024" s="15"/>
      <c r="D1024" s="15"/>
      <c r="E1024" s="15"/>
      <c r="F1024" s="15"/>
    </row>
    <row r="1025" spans="1:6" ht="18" customHeight="1">
      <c r="A1025" s="12" t="e">
        <f t="shared" si="8"/>
        <v>#N/A</v>
      </c>
      <c r="B1025" s="15" t="e">
        <f>VLOOKUP(D144,[1]국문!$1:$1048576,8,0)</f>
        <v>#N/A</v>
      </c>
      <c r="C1025" s="15"/>
      <c r="D1025" s="15"/>
      <c r="E1025" s="15"/>
      <c r="F1025" s="15"/>
    </row>
    <row r="1026" spans="1:6" ht="18" customHeight="1">
      <c r="A1026" s="12" t="e">
        <f t="shared" si="8"/>
        <v>#N/A</v>
      </c>
      <c r="B1026" s="15" t="e">
        <f>VLOOKUP(D145,[1]국문!$1:$1048576,8,0)</f>
        <v>#N/A</v>
      </c>
      <c r="C1026" s="15"/>
      <c r="D1026" s="15"/>
      <c r="E1026" s="15"/>
      <c r="F1026" s="15"/>
    </row>
    <row r="1027" spans="1:6" ht="18" customHeight="1">
      <c r="A1027" s="12" t="e">
        <f t="shared" si="8"/>
        <v>#N/A</v>
      </c>
      <c r="B1027" s="15" t="e">
        <f>VLOOKUP(D146,[1]국문!$1:$1048576,8,0)</f>
        <v>#N/A</v>
      </c>
      <c r="C1027" s="15"/>
      <c r="D1027" s="15"/>
      <c r="E1027" s="15"/>
      <c r="F1027" s="15"/>
    </row>
    <row r="1028" spans="1:6">
      <c r="A1028" s="12" t="e">
        <f t="shared" si="8"/>
        <v>#N/A</v>
      </c>
      <c r="B1028" s="15" t="e">
        <f>VLOOKUP(D147,[1]국문!$1:$1048576,8,0)</f>
        <v>#N/A</v>
      </c>
      <c r="C1028" s="15"/>
      <c r="D1028" s="15"/>
      <c r="E1028" s="15"/>
      <c r="F1028" s="15"/>
    </row>
    <row r="1029" spans="1:6">
      <c r="A1029" s="12" t="e">
        <f t="shared" si="8"/>
        <v>#N/A</v>
      </c>
      <c r="B1029" s="15" t="e">
        <f>VLOOKUP(D148,[1]국문!$1:$1048576,8,0)</f>
        <v>#N/A</v>
      </c>
      <c r="C1029" s="15"/>
      <c r="D1029" s="15"/>
      <c r="E1029" s="15"/>
      <c r="F1029" s="15"/>
    </row>
    <row r="1030" spans="1:6">
      <c r="A1030" s="12" t="e">
        <f t="shared" si="8"/>
        <v>#N/A</v>
      </c>
      <c r="B1030" s="15" t="e">
        <f>VLOOKUP(D149,[1]국문!$1:$1048576,8,0)</f>
        <v>#N/A</v>
      </c>
      <c r="C1030" s="15"/>
      <c r="D1030" s="15"/>
      <c r="E1030" s="15"/>
      <c r="F1030" s="15"/>
    </row>
    <row r="1031" spans="1:6" ht="18" customHeight="1">
      <c r="A1031" s="12" t="e">
        <f t="shared" si="8"/>
        <v>#N/A</v>
      </c>
      <c r="B1031" s="15" t="e">
        <f>VLOOKUP(D150,[1]국문!$1:$1048576,8,0)</f>
        <v>#N/A</v>
      </c>
      <c r="C1031" s="15"/>
      <c r="D1031" s="15"/>
      <c r="E1031" s="15"/>
      <c r="F1031" s="15"/>
    </row>
    <row r="1032" spans="1:6" ht="18" customHeight="1">
      <c r="A1032" s="12" t="e">
        <f t="shared" si="8"/>
        <v>#N/A</v>
      </c>
      <c r="B1032" s="15" t="e">
        <f>VLOOKUP(D151,[1]국문!$1:$1048576,8,0)</f>
        <v>#N/A</v>
      </c>
      <c r="C1032" s="15"/>
      <c r="D1032" s="15"/>
      <c r="E1032" s="15"/>
      <c r="F1032" s="15"/>
    </row>
    <row r="1033" spans="1:6" ht="18" customHeight="1">
      <c r="A1033" s="12" t="e">
        <f t="shared" si="8"/>
        <v>#N/A</v>
      </c>
      <c r="B1033" s="15" t="e">
        <f>VLOOKUP(D152,[1]국문!$1:$1048576,8,0)</f>
        <v>#N/A</v>
      </c>
      <c r="C1033" s="15"/>
      <c r="D1033" s="15"/>
      <c r="E1033" s="15"/>
      <c r="F1033" s="15"/>
    </row>
    <row r="1034" spans="1:6" ht="18" customHeight="1">
      <c r="A1034" s="12" t="e">
        <f t="shared" si="8"/>
        <v>#N/A</v>
      </c>
      <c r="B1034" s="15" t="e">
        <f>VLOOKUP(D153,[1]국문!$1:$1048576,8,0)</f>
        <v>#N/A</v>
      </c>
      <c r="C1034" s="15"/>
      <c r="D1034" s="15"/>
      <c r="E1034" s="15"/>
      <c r="F1034" s="15"/>
    </row>
    <row r="1035" spans="1:6" ht="24" customHeight="1">
      <c r="A1035" s="12" t="e">
        <f t="shared" si="8"/>
        <v>#N/A</v>
      </c>
      <c r="B1035" s="15" t="e">
        <f>VLOOKUP(D126,[1]국문!$1:$1048576,8,0)</f>
        <v>#N/A</v>
      </c>
      <c r="C1035" s="15"/>
      <c r="D1035" s="15"/>
      <c r="E1035" s="15"/>
      <c r="F1035" s="15"/>
    </row>
    <row r="1036" spans="1:6" ht="24" customHeight="1">
      <c r="A1036" s="12" t="e">
        <f t="shared" si="8"/>
        <v>#N/A</v>
      </c>
      <c r="B1036" s="15" t="e">
        <f>VLOOKUP(D127,[1]국문!$1:$1048576,8,0)</f>
        <v>#N/A</v>
      </c>
      <c r="C1036" s="15"/>
      <c r="D1036" s="15"/>
      <c r="E1036" s="15"/>
      <c r="F1036" s="15"/>
    </row>
    <row r="1037" spans="1:6" ht="24" customHeight="1">
      <c r="A1037" s="12" t="e">
        <f t="shared" si="8"/>
        <v>#N/A</v>
      </c>
      <c r="B1037" s="15" t="e">
        <f>VLOOKUP(D128,[1]국문!$1:$1048576,8,0)</f>
        <v>#N/A</v>
      </c>
      <c r="C1037" s="15"/>
      <c r="D1037" s="15"/>
      <c r="E1037" s="15"/>
      <c r="F1037" s="15"/>
    </row>
    <row r="1038" spans="1:6" ht="24" customHeight="1">
      <c r="A1038" s="12" t="e">
        <f t="shared" si="8"/>
        <v>#N/A</v>
      </c>
      <c r="B1038" s="15" t="e">
        <f>VLOOKUP(D129,[1]국문!$1:$1048576,8,0)</f>
        <v>#N/A</v>
      </c>
      <c r="C1038" s="15"/>
      <c r="D1038" s="15"/>
      <c r="E1038" s="15"/>
      <c r="F1038" s="15"/>
    </row>
    <row r="1039" spans="1:6" ht="24" customHeight="1">
      <c r="A1039" s="12" t="e">
        <f t="shared" si="8"/>
        <v>#N/A</v>
      </c>
      <c r="B1039" s="15" t="e">
        <f>VLOOKUP(D130,[1]국문!$1:$1048576,8,0)</f>
        <v>#N/A</v>
      </c>
      <c r="C1039" s="15"/>
      <c r="D1039" s="15"/>
      <c r="E1039" s="15"/>
      <c r="F1039" s="15"/>
    </row>
    <row r="1040" spans="1:6" ht="24" customHeight="1">
      <c r="A1040" s="12" t="e">
        <f t="shared" si="8"/>
        <v>#N/A</v>
      </c>
      <c r="B1040" s="15" t="e">
        <f>VLOOKUP(D131,[1]국문!$1:$1048576,8,0)</f>
        <v>#N/A</v>
      </c>
      <c r="C1040" s="15"/>
      <c r="D1040" s="15"/>
      <c r="E1040" s="15"/>
      <c r="F1040" s="15"/>
    </row>
    <row r="1041" spans="1:6" ht="24" customHeight="1">
      <c r="A1041" s="12" t="e">
        <f t="shared" si="8"/>
        <v>#N/A</v>
      </c>
      <c r="B1041" s="15" t="e">
        <f>VLOOKUP(D132,[1]국문!$1:$1048576,8,0)</f>
        <v>#N/A</v>
      </c>
      <c r="C1041" s="15"/>
      <c r="D1041" s="15"/>
      <c r="E1041" s="15"/>
      <c r="F1041" s="15"/>
    </row>
    <row r="1042" spans="1:6" ht="24" customHeight="1">
      <c r="A1042" s="12" t="e">
        <f t="shared" si="8"/>
        <v>#N/A</v>
      </c>
      <c r="B1042" s="15" t="e">
        <f>VLOOKUP(D133,[1]국문!$1:$1048576,8,0)</f>
        <v>#N/A</v>
      </c>
      <c r="C1042" s="15"/>
      <c r="D1042" s="15"/>
      <c r="E1042" s="15"/>
      <c r="F1042" s="15"/>
    </row>
    <row r="1043" spans="1:6" ht="24" customHeight="1">
      <c r="A1043" s="12" t="e">
        <f t="shared" si="8"/>
        <v>#N/A</v>
      </c>
      <c r="B1043" s="15" t="e">
        <f>VLOOKUP(D134,[1]국문!$1:$1048576,8,0)</f>
        <v>#N/A</v>
      </c>
      <c r="C1043" s="15"/>
      <c r="D1043" s="15"/>
      <c r="E1043" s="15"/>
      <c r="F1043" s="15"/>
    </row>
    <row r="1044" spans="1:6" ht="24" customHeight="1">
      <c r="A1044" s="12" t="e">
        <f t="shared" si="8"/>
        <v>#N/A</v>
      </c>
      <c r="B1044" s="15" t="e">
        <f>VLOOKUP(D135,[1]국문!$1:$1048576,8,0)</f>
        <v>#N/A</v>
      </c>
      <c r="C1044" s="15"/>
      <c r="D1044" s="15"/>
      <c r="E1044" s="15"/>
      <c r="F1044" s="15"/>
    </row>
    <row r="1045" spans="1:6" ht="24" customHeight="1">
      <c r="A1045" s="12" t="e">
        <f t="shared" si="8"/>
        <v>#N/A</v>
      </c>
      <c r="B1045" s="15" t="e">
        <f>VLOOKUP(D136,[1]국문!$1:$1048576,8,0)</f>
        <v>#N/A</v>
      </c>
      <c r="C1045" s="15"/>
      <c r="D1045" s="15"/>
      <c r="E1045" s="15"/>
      <c r="F1045" s="15"/>
    </row>
    <row r="1046" spans="1:6" ht="24" customHeight="1">
      <c r="A1046" s="12" t="e">
        <f t="shared" si="8"/>
        <v>#N/A</v>
      </c>
      <c r="B1046" s="15" t="e">
        <f>VLOOKUP(D137,[1]국문!$1:$1048576,8,0)</f>
        <v>#N/A</v>
      </c>
      <c r="C1046" s="15"/>
      <c r="D1046" s="15"/>
      <c r="E1046" s="15"/>
      <c r="F1046" s="15"/>
    </row>
    <row r="1047" spans="1:6" ht="24" customHeight="1">
      <c r="A1047" s="12" t="e">
        <f t="shared" si="8"/>
        <v>#N/A</v>
      </c>
      <c r="B1047" s="15" t="e">
        <f>VLOOKUP(D138,[1]국문!$1:$1048576,8,0)</f>
        <v>#N/A</v>
      </c>
      <c r="C1047" s="15"/>
      <c r="D1047" s="15"/>
      <c r="E1047" s="15"/>
      <c r="F1047" s="15"/>
    </row>
    <row r="1048" spans="1:6" ht="24" customHeight="1">
      <c r="A1048" s="12" t="e">
        <f t="shared" si="8"/>
        <v>#N/A</v>
      </c>
      <c r="B1048" s="15" t="e">
        <f>VLOOKUP(D139,[1]국문!$1:$1048576,8,0)</f>
        <v>#N/A</v>
      </c>
      <c r="C1048" s="15"/>
      <c r="D1048" s="15"/>
      <c r="E1048" s="15"/>
      <c r="F1048" s="15"/>
    </row>
    <row r="1049" spans="1:6" ht="24" customHeight="1">
      <c r="A1049" s="12" t="e">
        <f t="shared" si="8"/>
        <v>#N/A</v>
      </c>
      <c r="B1049" s="15" t="e">
        <f>VLOOKUP(D140,[1]국문!$1:$1048576,8,0)</f>
        <v>#N/A</v>
      </c>
      <c r="C1049" s="15"/>
      <c r="D1049" s="15"/>
      <c r="E1049" s="15"/>
      <c r="F1049" s="15"/>
    </row>
    <row r="1050" spans="1:6" ht="18" customHeight="1">
      <c r="A1050" s="12" t="e">
        <f t="shared" si="8"/>
        <v>#N/A</v>
      </c>
      <c r="B1050" s="15" t="e">
        <f>VLOOKUP(D169,[1]국문!$1:$1048576,8,0)</f>
        <v>#N/A</v>
      </c>
      <c r="C1050" s="15"/>
      <c r="D1050" s="15"/>
      <c r="E1050" s="15"/>
      <c r="F1050" s="15"/>
    </row>
    <row r="1051" spans="1:6" ht="18" customHeight="1">
      <c r="A1051" s="12" t="e">
        <f t="shared" si="8"/>
        <v>#N/A</v>
      </c>
      <c r="B1051" s="15" t="e">
        <f>VLOOKUP(D170,[1]국문!$1:$1048576,8,0)</f>
        <v>#N/A</v>
      </c>
      <c r="C1051" s="15"/>
      <c r="D1051" s="15"/>
      <c r="E1051" s="15"/>
      <c r="F1051" s="15"/>
    </row>
    <row r="1052" spans="1:6" ht="18" customHeight="1">
      <c r="A1052" s="12" t="e">
        <f t="shared" si="8"/>
        <v>#N/A</v>
      </c>
      <c r="B1052" s="15" t="e">
        <f>VLOOKUP(D171,[1]국문!$1:$1048576,8,0)</f>
        <v>#N/A</v>
      </c>
      <c r="C1052" s="15"/>
      <c r="D1052" s="15"/>
      <c r="E1052" s="15"/>
      <c r="F1052" s="15"/>
    </row>
    <row r="1053" spans="1:6" ht="18" customHeight="1">
      <c r="A1053" s="12" t="e">
        <f t="shared" si="8"/>
        <v>#N/A</v>
      </c>
      <c r="B1053" s="15" t="e">
        <f>VLOOKUP(D172,[1]국문!$1:$1048576,8,0)</f>
        <v>#N/A</v>
      </c>
      <c r="C1053" s="15"/>
      <c r="D1053" s="15"/>
      <c r="E1053" s="15"/>
      <c r="F1053" s="15"/>
    </row>
    <row r="1054" spans="1:6" ht="18" customHeight="1">
      <c r="A1054" s="12" t="e">
        <f t="shared" si="8"/>
        <v>#N/A</v>
      </c>
      <c r="B1054" s="15" t="e">
        <f>VLOOKUP(D173,[1]국문!$1:$1048576,8,0)</f>
        <v>#N/A</v>
      </c>
      <c r="C1054" s="15"/>
      <c r="D1054" s="15"/>
      <c r="E1054" s="15"/>
      <c r="F1054" s="15"/>
    </row>
    <row r="1055" spans="1:6">
      <c r="A1055" s="12" t="e">
        <f t="shared" si="8"/>
        <v>#N/A</v>
      </c>
      <c r="B1055" s="15" t="e">
        <f>VLOOKUP(D174,[1]국문!$1:$1048576,8,0)</f>
        <v>#N/A</v>
      </c>
      <c r="C1055" s="15"/>
      <c r="D1055" s="15"/>
      <c r="E1055" s="15"/>
      <c r="F1055" s="15"/>
    </row>
    <row r="1056" spans="1:6" ht="18" customHeight="1">
      <c r="A1056" s="12" t="e">
        <f t="shared" si="8"/>
        <v>#N/A</v>
      </c>
      <c r="B1056" s="15" t="e">
        <f>VLOOKUP(D175,[1]국문!$1:$1048576,8,0)</f>
        <v>#N/A</v>
      </c>
      <c r="C1056" s="15"/>
      <c r="D1056" s="15"/>
      <c r="E1056" s="15"/>
      <c r="F1056" s="15"/>
    </row>
    <row r="1057" spans="1:6" ht="18" customHeight="1">
      <c r="A1057" s="12" t="e">
        <f t="shared" si="8"/>
        <v>#N/A</v>
      </c>
      <c r="B1057" s="15" t="e">
        <f>VLOOKUP(D176,[1]국문!$1:$1048576,8,0)</f>
        <v>#N/A</v>
      </c>
      <c r="C1057" s="15"/>
      <c r="D1057" s="15"/>
      <c r="E1057" s="15"/>
      <c r="F1057" s="15"/>
    </row>
    <row r="1058" spans="1:6" ht="18" customHeight="1">
      <c r="A1058" s="12" t="e">
        <f t="shared" si="8"/>
        <v>#N/A</v>
      </c>
      <c r="B1058" s="15" t="e">
        <f>VLOOKUP(D177,[1]국문!$1:$1048576,8,0)</f>
        <v>#N/A</v>
      </c>
      <c r="C1058" s="15"/>
      <c r="D1058" s="15"/>
      <c r="E1058" s="15"/>
      <c r="F1058" s="15"/>
    </row>
    <row r="1059" spans="1:6" ht="18" customHeight="1">
      <c r="A1059" s="12" t="e">
        <f t="shared" si="8"/>
        <v>#N/A</v>
      </c>
      <c r="B1059" s="15" t="e">
        <f>VLOOKUP(D178,[1]국문!$1:$1048576,8,0)</f>
        <v>#N/A</v>
      </c>
      <c r="C1059" s="15"/>
      <c r="D1059" s="15"/>
      <c r="E1059" s="15"/>
      <c r="F1059" s="15"/>
    </row>
    <row r="1060" spans="1:6">
      <c r="A1060" s="12" t="e">
        <f t="shared" si="8"/>
        <v>#N/A</v>
      </c>
      <c r="B1060" s="15" t="e">
        <f>VLOOKUP(D179,[1]국문!$1:$1048576,8,0)</f>
        <v>#N/A</v>
      </c>
      <c r="C1060" s="15"/>
      <c r="D1060" s="15"/>
      <c r="E1060" s="15"/>
      <c r="F1060" s="15"/>
    </row>
    <row r="1061" spans="1:6">
      <c r="A1061" s="12" t="e">
        <f t="shared" si="8"/>
        <v>#N/A</v>
      </c>
      <c r="B1061" s="15" t="e">
        <f>VLOOKUP(D180,[1]국문!$1:$1048576,8,0)</f>
        <v>#N/A</v>
      </c>
      <c r="C1061" s="15"/>
      <c r="D1061" s="15"/>
      <c r="E1061" s="15"/>
      <c r="F1061" s="15"/>
    </row>
    <row r="1062" spans="1:6">
      <c r="A1062" s="12" t="e">
        <f t="shared" si="8"/>
        <v>#N/A</v>
      </c>
      <c r="B1062" s="15" t="e">
        <f>VLOOKUP(D181,[1]국문!$1:$1048576,8,0)</f>
        <v>#N/A</v>
      </c>
      <c r="C1062" s="15"/>
      <c r="D1062" s="15"/>
      <c r="E1062" s="15"/>
      <c r="F1062" s="15"/>
    </row>
    <row r="1063" spans="1:6" ht="18" customHeight="1">
      <c r="A1063" s="12" t="e">
        <f t="shared" si="8"/>
        <v>#N/A</v>
      </c>
      <c r="B1063" s="15" t="e">
        <f>VLOOKUP(D182,[1]국문!$1:$1048576,8,0)</f>
        <v>#N/A</v>
      </c>
      <c r="C1063" s="15"/>
      <c r="D1063" s="15"/>
      <c r="E1063" s="15"/>
      <c r="F1063" s="15"/>
    </row>
    <row r="1064" spans="1:6" ht="18" customHeight="1">
      <c r="A1064" s="12" t="e">
        <f t="shared" si="8"/>
        <v>#N/A</v>
      </c>
      <c r="B1064" s="15" t="e">
        <f>VLOOKUP(D183,[1]국문!$1:$1048576,8,0)</f>
        <v>#N/A</v>
      </c>
      <c r="C1064" s="15"/>
      <c r="D1064" s="15"/>
      <c r="E1064" s="15"/>
      <c r="F1064" s="15"/>
    </row>
    <row r="1065" spans="1:6" ht="18" customHeight="1">
      <c r="A1065" s="12" t="e">
        <f t="shared" si="8"/>
        <v>#N/A</v>
      </c>
      <c r="B1065" s="15" t="e">
        <f>VLOOKUP(D184,[1]국문!$1:$1048576,8,0)</f>
        <v>#N/A</v>
      </c>
      <c r="C1065" s="15"/>
      <c r="D1065" s="15"/>
      <c r="E1065" s="15"/>
      <c r="F1065" s="15"/>
    </row>
    <row r="1066" spans="1:6" ht="18" customHeight="1">
      <c r="A1066" s="12" t="e">
        <f t="shared" si="8"/>
        <v>#N/A</v>
      </c>
      <c r="B1066" s="15" t="e">
        <f>VLOOKUP(D185,[1]국문!$1:$1048576,8,0)</f>
        <v>#N/A</v>
      </c>
      <c r="C1066" s="15"/>
      <c r="D1066" s="15"/>
      <c r="E1066" s="15"/>
      <c r="F1066" s="15"/>
    </row>
    <row r="1067" spans="1:6" ht="24" customHeight="1">
      <c r="A1067" s="12" t="e">
        <f t="shared" si="8"/>
        <v>#N/A</v>
      </c>
      <c r="B1067" s="15" t="e">
        <f>VLOOKUP(D158,[1]국문!$1:$1048576,8,0)</f>
        <v>#N/A</v>
      </c>
      <c r="C1067" s="15"/>
      <c r="D1067" s="15"/>
      <c r="E1067" s="15"/>
      <c r="F1067" s="15"/>
    </row>
    <row r="1068" spans="1:6" ht="24" customHeight="1">
      <c r="A1068" s="12" t="e">
        <f t="shared" ref="A1068:A1131" si="9">A198</f>
        <v>#N/A</v>
      </c>
      <c r="B1068" s="15" t="e">
        <f>VLOOKUP(D159,[1]국문!$1:$1048576,8,0)</f>
        <v>#N/A</v>
      </c>
      <c r="C1068" s="15"/>
      <c r="D1068" s="15"/>
      <c r="E1068" s="15"/>
      <c r="F1068" s="15"/>
    </row>
    <row r="1069" spans="1:6" ht="24" customHeight="1">
      <c r="A1069" s="12" t="e">
        <f t="shared" si="9"/>
        <v>#N/A</v>
      </c>
      <c r="B1069" s="15" t="e">
        <f>VLOOKUP(D160,[1]국문!$1:$1048576,8,0)</f>
        <v>#N/A</v>
      </c>
      <c r="C1069" s="15"/>
      <c r="D1069" s="15"/>
      <c r="E1069" s="15"/>
      <c r="F1069" s="15"/>
    </row>
    <row r="1070" spans="1:6" ht="24" customHeight="1">
      <c r="A1070" s="12" t="e">
        <f t="shared" si="9"/>
        <v>#N/A</v>
      </c>
      <c r="B1070" s="15" t="e">
        <f>VLOOKUP(D161,[1]국문!$1:$1048576,8,0)</f>
        <v>#N/A</v>
      </c>
      <c r="C1070" s="15"/>
      <c r="D1070" s="15"/>
      <c r="E1070" s="15"/>
      <c r="F1070" s="15"/>
    </row>
    <row r="1071" spans="1:6" ht="24" customHeight="1">
      <c r="A1071" s="12" t="e">
        <f t="shared" si="9"/>
        <v>#N/A</v>
      </c>
      <c r="B1071" s="15" t="e">
        <f>VLOOKUP(D162,[1]국문!$1:$1048576,8,0)</f>
        <v>#N/A</v>
      </c>
      <c r="C1071" s="15"/>
      <c r="D1071" s="15"/>
      <c r="E1071" s="15"/>
      <c r="F1071" s="15"/>
    </row>
    <row r="1072" spans="1:6" ht="24" customHeight="1">
      <c r="A1072" s="12" t="e">
        <f t="shared" si="9"/>
        <v>#N/A</v>
      </c>
      <c r="B1072" s="15" t="e">
        <f>VLOOKUP(D163,[1]국문!$1:$1048576,8,0)</f>
        <v>#N/A</v>
      </c>
      <c r="C1072" s="15"/>
      <c r="D1072" s="15"/>
      <c r="E1072" s="15"/>
      <c r="F1072" s="15"/>
    </row>
    <row r="1073" spans="1:6" ht="24" customHeight="1">
      <c r="A1073" s="12" t="e">
        <f t="shared" si="9"/>
        <v>#N/A</v>
      </c>
      <c r="B1073" s="15" t="e">
        <f>VLOOKUP(D164,[1]국문!$1:$1048576,8,0)</f>
        <v>#N/A</v>
      </c>
      <c r="C1073" s="15"/>
      <c r="D1073" s="15"/>
      <c r="E1073" s="15"/>
      <c r="F1073" s="15"/>
    </row>
    <row r="1074" spans="1:6" ht="24" customHeight="1">
      <c r="A1074" s="12" t="e">
        <f t="shared" si="9"/>
        <v>#N/A</v>
      </c>
      <c r="B1074" s="15" t="e">
        <f>VLOOKUP(D165,[1]국문!$1:$1048576,8,0)</f>
        <v>#N/A</v>
      </c>
      <c r="C1074" s="15"/>
      <c r="D1074" s="15"/>
      <c r="E1074" s="15"/>
      <c r="F1074" s="15"/>
    </row>
    <row r="1075" spans="1:6" ht="24" customHeight="1">
      <c r="A1075" s="12" t="e">
        <f t="shared" si="9"/>
        <v>#N/A</v>
      </c>
      <c r="B1075" s="15" t="e">
        <f>VLOOKUP(D166,[1]국문!$1:$1048576,8,0)</f>
        <v>#N/A</v>
      </c>
      <c r="C1075" s="15"/>
      <c r="D1075" s="15"/>
      <c r="E1075" s="15"/>
      <c r="F1075" s="15"/>
    </row>
    <row r="1076" spans="1:6" ht="24" customHeight="1">
      <c r="A1076" s="12" t="e">
        <f t="shared" si="9"/>
        <v>#N/A</v>
      </c>
      <c r="B1076" s="15" t="e">
        <f>VLOOKUP(D167,[1]국문!$1:$1048576,8,0)</f>
        <v>#N/A</v>
      </c>
      <c r="C1076" s="15"/>
      <c r="D1076" s="15"/>
      <c r="E1076" s="15"/>
      <c r="F1076" s="15"/>
    </row>
    <row r="1077" spans="1:6" ht="24" customHeight="1">
      <c r="A1077" s="12" t="e">
        <f t="shared" si="9"/>
        <v>#N/A</v>
      </c>
      <c r="B1077" s="15" t="e">
        <f>VLOOKUP(D168,[1]국문!$1:$1048576,8,0)</f>
        <v>#N/A</v>
      </c>
      <c r="C1077" s="15"/>
      <c r="D1077" s="15"/>
      <c r="E1077" s="15"/>
      <c r="F1077" s="15"/>
    </row>
    <row r="1078" spans="1:6" ht="24" customHeight="1">
      <c r="A1078" s="12" t="e">
        <f t="shared" si="9"/>
        <v>#N/A</v>
      </c>
      <c r="B1078" s="15" t="e">
        <f>VLOOKUP(D169,[1]국문!$1:$1048576,8,0)</f>
        <v>#N/A</v>
      </c>
      <c r="C1078" s="15"/>
      <c r="D1078" s="15"/>
      <c r="E1078" s="15"/>
      <c r="F1078" s="15"/>
    </row>
    <row r="1079" spans="1:6" ht="24" customHeight="1">
      <c r="A1079" s="12" t="e">
        <f t="shared" si="9"/>
        <v>#N/A</v>
      </c>
      <c r="B1079" s="15" t="e">
        <f>VLOOKUP(D170,[1]국문!$1:$1048576,8,0)</f>
        <v>#N/A</v>
      </c>
      <c r="C1079" s="15"/>
      <c r="D1079" s="15"/>
      <c r="E1079" s="15"/>
      <c r="F1079" s="15"/>
    </row>
    <row r="1080" spans="1:6" ht="24" customHeight="1">
      <c r="A1080" s="12" t="e">
        <f t="shared" si="9"/>
        <v>#N/A</v>
      </c>
      <c r="B1080" s="15" t="e">
        <f>VLOOKUP(D171,[1]국문!$1:$1048576,8,0)</f>
        <v>#N/A</v>
      </c>
      <c r="C1080" s="15"/>
      <c r="D1080" s="15"/>
      <c r="E1080" s="15"/>
      <c r="F1080" s="15"/>
    </row>
    <row r="1081" spans="1:6" ht="24" customHeight="1">
      <c r="A1081" s="12" t="e">
        <f t="shared" si="9"/>
        <v>#N/A</v>
      </c>
      <c r="B1081" s="15" t="e">
        <f>VLOOKUP(D172,[1]국문!$1:$1048576,8,0)</f>
        <v>#N/A</v>
      </c>
      <c r="C1081" s="15"/>
      <c r="D1081" s="15"/>
      <c r="E1081" s="15"/>
      <c r="F1081" s="15"/>
    </row>
    <row r="1082" spans="1:6" ht="24" customHeight="1">
      <c r="A1082" s="12" t="e">
        <f t="shared" si="9"/>
        <v>#N/A</v>
      </c>
      <c r="B1082" s="15" t="e">
        <f>VLOOKUP(D173,[1]국문!$1:$1048576,8,0)</f>
        <v>#N/A</v>
      </c>
      <c r="C1082" s="15"/>
      <c r="D1082" s="15"/>
      <c r="E1082" s="15"/>
      <c r="F1082" s="15"/>
    </row>
    <row r="1083" spans="1:6" ht="24" customHeight="1">
      <c r="A1083" s="12" t="e">
        <f t="shared" si="9"/>
        <v>#N/A</v>
      </c>
      <c r="B1083" s="15" t="e">
        <f>VLOOKUP(D174,[1]국문!$1:$1048576,8,0)</f>
        <v>#N/A</v>
      </c>
      <c r="C1083" s="15"/>
      <c r="D1083" s="15"/>
      <c r="E1083" s="15"/>
      <c r="F1083" s="15"/>
    </row>
    <row r="1084" spans="1:6" ht="24" customHeight="1">
      <c r="A1084" s="12" t="e">
        <f t="shared" si="9"/>
        <v>#N/A</v>
      </c>
      <c r="B1084" s="15" t="e">
        <f>VLOOKUP(D175,[1]국문!$1:$1048576,8,0)</f>
        <v>#N/A</v>
      </c>
      <c r="C1084" s="15"/>
      <c r="D1084" s="15"/>
      <c r="E1084" s="15"/>
      <c r="F1084" s="15"/>
    </row>
    <row r="1085" spans="1:6" ht="24" customHeight="1">
      <c r="A1085" s="12" t="e">
        <f t="shared" si="9"/>
        <v>#N/A</v>
      </c>
      <c r="B1085" s="15" t="e">
        <f>VLOOKUP(D176,[1]국문!$1:$1048576,8,0)</f>
        <v>#N/A</v>
      </c>
      <c r="C1085" s="15"/>
      <c r="D1085" s="15"/>
      <c r="E1085" s="15"/>
      <c r="F1085" s="15"/>
    </row>
    <row r="1086" spans="1:6" ht="24" customHeight="1">
      <c r="A1086" s="12" t="e">
        <f t="shared" si="9"/>
        <v>#N/A</v>
      </c>
      <c r="B1086" s="15" t="e">
        <f>VLOOKUP(D177,[1]국문!$1:$1048576,8,0)</f>
        <v>#N/A</v>
      </c>
      <c r="C1086" s="15"/>
      <c r="D1086" s="15"/>
      <c r="E1086" s="15"/>
      <c r="F1086" s="15"/>
    </row>
    <row r="1087" spans="1:6" ht="24" customHeight="1">
      <c r="A1087" s="12" t="e">
        <f t="shared" si="9"/>
        <v>#N/A</v>
      </c>
      <c r="B1087" s="15" t="e">
        <f>VLOOKUP(D178,[1]국문!$1:$1048576,8,0)</f>
        <v>#N/A</v>
      </c>
      <c r="C1087" s="15"/>
      <c r="D1087" s="15"/>
      <c r="E1087" s="15"/>
      <c r="F1087" s="15"/>
    </row>
    <row r="1088" spans="1:6" ht="24" customHeight="1">
      <c r="A1088" s="12" t="e">
        <f t="shared" si="9"/>
        <v>#N/A</v>
      </c>
      <c r="B1088" s="15" t="e">
        <f>VLOOKUP(D179,[1]국문!$1:$1048576,8,0)</f>
        <v>#N/A</v>
      </c>
      <c r="C1088" s="15"/>
      <c r="D1088" s="15"/>
      <c r="E1088" s="15"/>
      <c r="F1088" s="15"/>
    </row>
    <row r="1089" spans="1:6" ht="24" customHeight="1">
      <c r="A1089" s="12" t="e">
        <f t="shared" si="9"/>
        <v>#N/A</v>
      </c>
      <c r="B1089" s="15" t="e">
        <f>VLOOKUP(D180,[1]국문!$1:$1048576,8,0)</f>
        <v>#N/A</v>
      </c>
      <c r="C1089" s="15"/>
      <c r="D1089" s="15"/>
      <c r="E1089" s="15"/>
      <c r="F1089" s="15"/>
    </row>
    <row r="1090" spans="1:6" ht="18" customHeight="1">
      <c r="A1090" s="12" t="e">
        <f t="shared" si="9"/>
        <v>#N/A</v>
      </c>
      <c r="B1090" s="15" t="e">
        <f>VLOOKUP(D209,[1]국문!$1:$1048576,8,0)</f>
        <v>#N/A</v>
      </c>
      <c r="C1090" s="15"/>
      <c r="D1090" s="15"/>
      <c r="E1090" s="15"/>
      <c r="F1090" s="15"/>
    </row>
    <row r="1091" spans="1:6" ht="18" customHeight="1">
      <c r="A1091" s="12" t="e">
        <f t="shared" si="9"/>
        <v>#N/A</v>
      </c>
      <c r="B1091" s="15" t="e">
        <f>VLOOKUP(D210,[1]국문!$1:$1048576,8,0)</f>
        <v>#N/A</v>
      </c>
      <c r="C1091" s="15"/>
      <c r="D1091" s="15"/>
      <c r="E1091" s="15"/>
      <c r="F1091" s="15"/>
    </row>
    <row r="1092" spans="1:6" ht="18" customHeight="1">
      <c r="A1092" s="12" t="e">
        <f t="shared" si="9"/>
        <v>#N/A</v>
      </c>
      <c r="B1092" s="15" t="e">
        <f>VLOOKUP(D211,[1]국문!$1:$1048576,8,0)</f>
        <v>#N/A</v>
      </c>
      <c r="C1092" s="15"/>
      <c r="D1092" s="15"/>
      <c r="E1092" s="15"/>
      <c r="F1092" s="15"/>
    </row>
    <row r="1093" spans="1:6" ht="18" customHeight="1">
      <c r="A1093" s="12" t="e">
        <f t="shared" si="9"/>
        <v>#N/A</v>
      </c>
      <c r="B1093" s="15" t="e">
        <f>VLOOKUP(D212,[1]국문!$1:$1048576,8,0)</f>
        <v>#N/A</v>
      </c>
      <c r="C1093" s="15"/>
      <c r="D1093" s="15"/>
      <c r="E1093" s="15"/>
      <c r="F1093" s="15"/>
    </row>
    <row r="1094" spans="1:6" ht="18" customHeight="1">
      <c r="A1094" s="12" t="e">
        <f t="shared" si="9"/>
        <v>#N/A</v>
      </c>
      <c r="B1094" s="15" t="e">
        <f>VLOOKUP(D213,[1]국문!$1:$1048576,8,0)</f>
        <v>#N/A</v>
      </c>
      <c r="C1094" s="15"/>
      <c r="D1094" s="15"/>
      <c r="E1094" s="15"/>
      <c r="F1094" s="15"/>
    </row>
    <row r="1095" spans="1:6">
      <c r="A1095" s="12" t="e">
        <f t="shared" si="9"/>
        <v>#N/A</v>
      </c>
      <c r="B1095" s="15" t="e">
        <f>VLOOKUP(D214,[1]국문!$1:$1048576,8,0)</f>
        <v>#N/A</v>
      </c>
      <c r="C1095" s="15"/>
      <c r="D1095" s="15"/>
      <c r="E1095" s="15"/>
      <c r="F1095" s="15"/>
    </row>
    <row r="1096" spans="1:6" ht="18" customHeight="1">
      <c r="A1096" s="12" t="e">
        <f t="shared" si="9"/>
        <v>#N/A</v>
      </c>
      <c r="B1096" s="15" t="e">
        <f>VLOOKUP(D215,[1]국문!$1:$1048576,8,0)</f>
        <v>#N/A</v>
      </c>
      <c r="C1096" s="15"/>
      <c r="D1096" s="15"/>
      <c r="E1096" s="15"/>
      <c r="F1096" s="15"/>
    </row>
    <row r="1097" spans="1:6" ht="18" customHeight="1">
      <c r="A1097" s="12" t="e">
        <f t="shared" si="9"/>
        <v>#N/A</v>
      </c>
      <c r="B1097" s="15" t="e">
        <f>VLOOKUP(D216,[1]국문!$1:$1048576,8,0)</f>
        <v>#N/A</v>
      </c>
      <c r="C1097" s="15"/>
      <c r="D1097" s="15"/>
      <c r="E1097" s="15"/>
      <c r="F1097" s="15"/>
    </row>
    <row r="1098" spans="1:6" ht="18" customHeight="1">
      <c r="A1098" s="12" t="e">
        <f t="shared" si="9"/>
        <v>#N/A</v>
      </c>
      <c r="B1098" s="15" t="e">
        <f>VLOOKUP(D217,[1]국문!$1:$1048576,8,0)</f>
        <v>#N/A</v>
      </c>
      <c r="C1098" s="15"/>
      <c r="D1098" s="15"/>
      <c r="E1098" s="15"/>
      <c r="F1098" s="15"/>
    </row>
    <row r="1099" spans="1:6" ht="18" customHeight="1">
      <c r="A1099" s="12" t="e">
        <f t="shared" si="9"/>
        <v>#N/A</v>
      </c>
      <c r="B1099" s="15" t="e">
        <f>VLOOKUP(D218,[1]국문!$1:$1048576,8,0)</f>
        <v>#N/A</v>
      </c>
      <c r="C1099" s="15"/>
      <c r="D1099" s="15"/>
      <c r="E1099" s="15"/>
      <c r="F1099" s="15"/>
    </row>
    <row r="1100" spans="1:6">
      <c r="A1100" s="12" t="e">
        <f t="shared" si="9"/>
        <v>#N/A</v>
      </c>
      <c r="B1100" s="15" t="e">
        <f>VLOOKUP(D219,[1]국문!$1:$1048576,8,0)</f>
        <v>#N/A</v>
      </c>
      <c r="C1100" s="15"/>
      <c r="D1100" s="15"/>
      <c r="E1100" s="15"/>
      <c r="F1100" s="15"/>
    </row>
    <row r="1101" spans="1:6">
      <c r="A1101" s="12" t="e">
        <f t="shared" si="9"/>
        <v>#N/A</v>
      </c>
      <c r="B1101" s="15" t="e">
        <f>VLOOKUP(D220,[1]국문!$1:$1048576,8,0)</f>
        <v>#N/A</v>
      </c>
      <c r="C1101" s="15"/>
      <c r="D1101" s="15"/>
      <c r="E1101" s="15"/>
      <c r="F1101" s="15"/>
    </row>
    <row r="1102" spans="1:6">
      <c r="A1102" s="12" t="e">
        <f t="shared" si="9"/>
        <v>#N/A</v>
      </c>
      <c r="B1102" s="15" t="e">
        <f>VLOOKUP(D221,[1]국문!$1:$1048576,8,0)</f>
        <v>#N/A</v>
      </c>
      <c r="C1102" s="15"/>
      <c r="D1102" s="15"/>
      <c r="E1102" s="15"/>
      <c r="F1102" s="15"/>
    </row>
    <row r="1103" spans="1:6" ht="18" customHeight="1">
      <c r="A1103" s="12" t="e">
        <f t="shared" si="9"/>
        <v>#N/A</v>
      </c>
      <c r="B1103" s="15" t="e">
        <f>VLOOKUP(D222,[1]국문!$1:$1048576,8,0)</f>
        <v>#N/A</v>
      </c>
      <c r="C1103" s="15"/>
      <c r="D1103" s="15"/>
      <c r="E1103" s="15"/>
      <c r="F1103" s="15"/>
    </row>
    <row r="1104" spans="1:6" ht="18" customHeight="1">
      <c r="A1104" s="12" t="e">
        <f t="shared" si="9"/>
        <v>#N/A</v>
      </c>
      <c r="B1104" s="15" t="e">
        <f>VLOOKUP(D223,[1]국문!$1:$1048576,8,0)</f>
        <v>#N/A</v>
      </c>
      <c r="C1104" s="15"/>
      <c r="D1104" s="15"/>
      <c r="E1104" s="15"/>
      <c r="F1104" s="15"/>
    </row>
    <row r="1105" spans="1:6" ht="18" customHeight="1">
      <c r="A1105" s="12" t="e">
        <f t="shared" si="9"/>
        <v>#N/A</v>
      </c>
      <c r="B1105" s="15" t="e">
        <f>VLOOKUP(D224,[1]국문!$1:$1048576,8,0)</f>
        <v>#N/A</v>
      </c>
      <c r="C1105" s="15"/>
      <c r="D1105" s="15"/>
      <c r="E1105" s="15"/>
      <c r="F1105" s="15"/>
    </row>
    <row r="1106" spans="1:6" ht="18" customHeight="1">
      <c r="A1106" s="12" t="e">
        <f t="shared" si="9"/>
        <v>#N/A</v>
      </c>
      <c r="B1106" s="15" t="e">
        <f>VLOOKUP(D225,[1]국문!$1:$1048576,8,0)</f>
        <v>#N/A</v>
      </c>
      <c r="C1106" s="15"/>
      <c r="D1106" s="15"/>
      <c r="E1106" s="15"/>
      <c r="F1106" s="15"/>
    </row>
    <row r="1107" spans="1:6" ht="24" customHeight="1">
      <c r="A1107" s="12" t="e">
        <f t="shared" si="9"/>
        <v>#N/A</v>
      </c>
      <c r="B1107" s="15" t="e">
        <f>VLOOKUP(D198,[1]국문!$1:$1048576,8,0)</f>
        <v>#N/A</v>
      </c>
      <c r="C1107" s="15"/>
      <c r="D1107" s="15"/>
      <c r="E1107" s="15"/>
      <c r="F1107" s="15"/>
    </row>
    <row r="1108" spans="1:6" ht="24" customHeight="1">
      <c r="A1108" s="12" t="e">
        <f t="shared" si="9"/>
        <v>#N/A</v>
      </c>
      <c r="B1108" s="15" t="e">
        <f>VLOOKUP(D199,[1]국문!$1:$1048576,8,0)</f>
        <v>#N/A</v>
      </c>
      <c r="C1108" s="15"/>
      <c r="D1108" s="15"/>
      <c r="E1108" s="15"/>
      <c r="F1108" s="15"/>
    </row>
    <row r="1109" spans="1:6" ht="24" customHeight="1">
      <c r="A1109" s="12" t="e">
        <f t="shared" si="9"/>
        <v>#N/A</v>
      </c>
      <c r="B1109" s="15" t="e">
        <f>VLOOKUP(D200,[1]국문!$1:$1048576,8,0)</f>
        <v>#N/A</v>
      </c>
      <c r="C1109" s="15"/>
      <c r="D1109" s="15"/>
      <c r="E1109" s="15"/>
      <c r="F1109" s="15"/>
    </row>
    <row r="1110" spans="1:6" ht="24" customHeight="1">
      <c r="A1110" s="12" t="e">
        <f t="shared" si="9"/>
        <v>#N/A</v>
      </c>
      <c r="B1110" s="15" t="e">
        <f>VLOOKUP(D201,[1]국문!$1:$1048576,8,0)</f>
        <v>#N/A</v>
      </c>
      <c r="C1110" s="15"/>
      <c r="D1110" s="15"/>
      <c r="E1110" s="15"/>
      <c r="F1110" s="15"/>
    </row>
    <row r="1111" spans="1:6" ht="24" customHeight="1">
      <c r="A1111" s="12" t="e">
        <f t="shared" si="9"/>
        <v>#N/A</v>
      </c>
      <c r="B1111" s="15" t="e">
        <f>VLOOKUP(D202,[1]국문!$1:$1048576,8,0)</f>
        <v>#N/A</v>
      </c>
      <c r="C1111" s="15"/>
      <c r="D1111" s="15"/>
      <c r="E1111" s="15"/>
      <c r="F1111" s="15"/>
    </row>
    <row r="1112" spans="1:6" ht="24" customHeight="1">
      <c r="A1112" s="12" t="e">
        <f t="shared" si="9"/>
        <v>#N/A</v>
      </c>
      <c r="B1112" s="15" t="e">
        <f>VLOOKUP(D203,[1]국문!$1:$1048576,8,0)</f>
        <v>#N/A</v>
      </c>
      <c r="C1112" s="15"/>
      <c r="D1112" s="15"/>
      <c r="E1112" s="15"/>
      <c r="F1112" s="15"/>
    </row>
    <row r="1113" spans="1:6" ht="24" customHeight="1">
      <c r="A1113" s="12" t="e">
        <f t="shared" si="9"/>
        <v>#N/A</v>
      </c>
      <c r="B1113" s="15" t="e">
        <f>VLOOKUP(D204,[1]국문!$1:$1048576,8,0)</f>
        <v>#N/A</v>
      </c>
      <c r="C1113" s="15"/>
      <c r="D1113" s="15"/>
      <c r="E1113" s="15"/>
      <c r="F1113" s="15"/>
    </row>
    <row r="1114" spans="1:6" ht="24" customHeight="1">
      <c r="A1114" s="12" t="e">
        <f t="shared" si="9"/>
        <v>#N/A</v>
      </c>
      <c r="B1114" s="15" t="e">
        <f>VLOOKUP(D205,[1]국문!$1:$1048576,8,0)</f>
        <v>#N/A</v>
      </c>
      <c r="C1114" s="15"/>
      <c r="D1114" s="15"/>
      <c r="E1114" s="15"/>
      <c r="F1114" s="15"/>
    </row>
    <row r="1115" spans="1:6" ht="24" customHeight="1">
      <c r="A1115" s="12" t="e">
        <f t="shared" si="9"/>
        <v>#N/A</v>
      </c>
      <c r="B1115" s="15" t="e">
        <f>VLOOKUP(D206,[1]국문!$1:$1048576,8,0)</f>
        <v>#N/A</v>
      </c>
      <c r="C1115" s="15"/>
      <c r="D1115" s="15"/>
      <c r="E1115" s="15"/>
      <c r="F1115" s="15"/>
    </row>
    <row r="1116" spans="1:6" ht="24" customHeight="1">
      <c r="A1116" s="12" t="e">
        <f t="shared" si="9"/>
        <v>#N/A</v>
      </c>
      <c r="B1116" s="15" t="e">
        <f>VLOOKUP(D207,[1]국문!$1:$1048576,8,0)</f>
        <v>#N/A</v>
      </c>
      <c r="C1116" s="15"/>
      <c r="D1116" s="15"/>
      <c r="E1116" s="15"/>
      <c r="F1116" s="15"/>
    </row>
    <row r="1117" spans="1:6" ht="24" customHeight="1">
      <c r="A1117" s="12" t="e">
        <f t="shared" si="9"/>
        <v>#N/A</v>
      </c>
      <c r="B1117" s="15" t="e">
        <f>VLOOKUP(D208,[1]국문!$1:$1048576,8,0)</f>
        <v>#N/A</v>
      </c>
      <c r="C1117" s="15"/>
      <c r="D1117" s="15"/>
      <c r="E1117" s="15"/>
      <c r="F1117" s="15"/>
    </row>
    <row r="1118" spans="1:6" ht="24" customHeight="1">
      <c r="A1118" s="12" t="e">
        <f t="shared" si="9"/>
        <v>#N/A</v>
      </c>
      <c r="B1118" s="15" t="e">
        <f>VLOOKUP(D209,[1]국문!$1:$1048576,8,0)</f>
        <v>#N/A</v>
      </c>
      <c r="C1118" s="15"/>
      <c r="D1118" s="15"/>
      <c r="E1118" s="15"/>
      <c r="F1118" s="15"/>
    </row>
    <row r="1119" spans="1:6" ht="24" customHeight="1">
      <c r="A1119" s="12" t="e">
        <f t="shared" si="9"/>
        <v>#N/A</v>
      </c>
      <c r="B1119" s="15" t="e">
        <f>VLOOKUP(D210,[1]국문!$1:$1048576,8,0)</f>
        <v>#N/A</v>
      </c>
      <c r="C1119" s="15"/>
      <c r="D1119" s="15"/>
      <c r="E1119" s="15"/>
      <c r="F1119" s="15"/>
    </row>
    <row r="1120" spans="1:6" ht="24" customHeight="1">
      <c r="A1120" s="12" t="e">
        <f t="shared" si="9"/>
        <v>#N/A</v>
      </c>
      <c r="B1120" s="15" t="e">
        <f>VLOOKUP(D211,[1]국문!$1:$1048576,8,0)</f>
        <v>#N/A</v>
      </c>
      <c r="C1120" s="15"/>
      <c r="D1120" s="15"/>
      <c r="E1120" s="15"/>
      <c r="F1120" s="15"/>
    </row>
    <row r="1121" spans="1:6" ht="24" customHeight="1">
      <c r="A1121" s="12" t="e">
        <f t="shared" si="9"/>
        <v>#N/A</v>
      </c>
      <c r="B1121" s="15" t="e">
        <f>VLOOKUP(D212,[1]국문!$1:$1048576,8,0)</f>
        <v>#N/A</v>
      </c>
      <c r="C1121" s="15"/>
      <c r="D1121" s="15"/>
      <c r="E1121" s="15"/>
      <c r="F1121" s="15"/>
    </row>
    <row r="1122" spans="1:6" ht="18" customHeight="1">
      <c r="A1122" s="12" t="e">
        <f t="shared" si="9"/>
        <v>#N/A</v>
      </c>
      <c r="B1122" s="15" t="e">
        <f>VLOOKUP(D241,[1]국문!$1:$1048576,8,0)</f>
        <v>#N/A</v>
      </c>
      <c r="C1122" s="15"/>
      <c r="D1122" s="15"/>
      <c r="E1122" s="15"/>
      <c r="F1122" s="15"/>
    </row>
    <row r="1123" spans="1:6" ht="18" customHeight="1">
      <c r="A1123" s="12" t="e">
        <f t="shared" si="9"/>
        <v>#N/A</v>
      </c>
      <c r="B1123" s="15" t="e">
        <f>VLOOKUP(D242,[1]국문!$1:$1048576,8,0)</f>
        <v>#N/A</v>
      </c>
      <c r="C1123" s="15"/>
      <c r="D1123" s="15"/>
      <c r="E1123" s="15"/>
      <c r="F1123" s="15"/>
    </row>
    <row r="1124" spans="1:6" ht="18" customHeight="1">
      <c r="A1124" s="12" t="e">
        <f t="shared" si="9"/>
        <v>#N/A</v>
      </c>
      <c r="B1124" s="15" t="e">
        <f>VLOOKUP(D243,[1]국문!$1:$1048576,8,0)</f>
        <v>#N/A</v>
      </c>
      <c r="C1124" s="15"/>
      <c r="D1124" s="15"/>
      <c r="E1124" s="15"/>
      <c r="F1124" s="15"/>
    </row>
    <row r="1125" spans="1:6" ht="18" customHeight="1">
      <c r="A1125" s="12" t="e">
        <f t="shared" si="9"/>
        <v>#N/A</v>
      </c>
      <c r="B1125" s="15" t="e">
        <f>VLOOKUP(D244,[1]국문!$1:$1048576,8,0)</f>
        <v>#N/A</v>
      </c>
      <c r="C1125" s="15"/>
      <c r="D1125" s="15"/>
      <c r="E1125" s="15"/>
      <c r="F1125" s="15"/>
    </row>
    <row r="1126" spans="1:6" ht="18" customHeight="1">
      <c r="A1126" s="12" t="e">
        <f t="shared" si="9"/>
        <v>#N/A</v>
      </c>
      <c r="B1126" s="15" t="e">
        <f>VLOOKUP(D245,[1]국문!$1:$1048576,8,0)</f>
        <v>#N/A</v>
      </c>
      <c r="C1126" s="15"/>
      <c r="D1126" s="15"/>
      <c r="E1126" s="15"/>
      <c r="F1126" s="15"/>
    </row>
    <row r="1127" spans="1:6">
      <c r="A1127" s="12" t="e">
        <f t="shared" si="9"/>
        <v>#N/A</v>
      </c>
      <c r="B1127" s="15" t="e">
        <f>VLOOKUP(D246,[1]국문!$1:$1048576,8,0)</f>
        <v>#N/A</v>
      </c>
      <c r="C1127" s="15"/>
      <c r="D1127" s="15"/>
      <c r="E1127" s="15"/>
      <c r="F1127" s="15"/>
    </row>
    <row r="1128" spans="1:6" ht="18" customHeight="1">
      <c r="A1128" s="12" t="e">
        <f t="shared" si="9"/>
        <v>#N/A</v>
      </c>
      <c r="B1128" s="15" t="e">
        <f>VLOOKUP(D247,[1]국문!$1:$1048576,8,0)</f>
        <v>#N/A</v>
      </c>
      <c r="C1128" s="15"/>
      <c r="D1128" s="15"/>
      <c r="E1128" s="15"/>
      <c r="F1128" s="15"/>
    </row>
    <row r="1129" spans="1:6" ht="18" customHeight="1">
      <c r="A1129" s="12" t="e">
        <f t="shared" si="9"/>
        <v>#N/A</v>
      </c>
      <c r="B1129" s="15" t="e">
        <f>VLOOKUP(D248,[1]국문!$1:$1048576,8,0)</f>
        <v>#N/A</v>
      </c>
      <c r="C1129" s="15"/>
      <c r="D1129" s="15"/>
      <c r="E1129" s="15"/>
      <c r="F1129" s="15"/>
    </row>
    <row r="1130" spans="1:6" ht="18" customHeight="1">
      <c r="A1130" s="12" t="e">
        <f t="shared" si="9"/>
        <v>#N/A</v>
      </c>
      <c r="B1130" s="15" t="e">
        <f>VLOOKUP(D249,[1]국문!$1:$1048576,8,0)</f>
        <v>#N/A</v>
      </c>
      <c r="C1130" s="15"/>
      <c r="D1130" s="15"/>
      <c r="E1130" s="15"/>
      <c r="F1130" s="15"/>
    </row>
    <row r="1131" spans="1:6" ht="18" customHeight="1">
      <c r="A1131" s="12" t="e">
        <f t="shared" si="9"/>
        <v>#N/A</v>
      </c>
      <c r="B1131" s="15" t="e">
        <f>VLOOKUP(D250,[1]국문!$1:$1048576,8,0)</f>
        <v>#N/A</v>
      </c>
      <c r="C1131" s="15"/>
      <c r="D1131" s="15"/>
      <c r="E1131" s="15"/>
      <c r="F1131" s="15"/>
    </row>
    <row r="1132" spans="1:6">
      <c r="A1132" s="12" t="e">
        <f t="shared" ref="A1132:A1195" si="10">A262</f>
        <v>#N/A</v>
      </c>
      <c r="B1132" s="15" t="e">
        <f>VLOOKUP(D251,[1]국문!$1:$1048576,8,0)</f>
        <v>#N/A</v>
      </c>
      <c r="C1132" s="15"/>
      <c r="D1132" s="15"/>
      <c r="E1132" s="15"/>
      <c r="F1132" s="15"/>
    </row>
    <row r="1133" spans="1:6">
      <c r="A1133" s="12" t="e">
        <f t="shared" si="10"/>
        <v>#N/A</v>
      </c>
      <c r="B1133" s="15" t="e">
        <f>VLOOKUP(D252,[1]국문!$1:$1048576,8,0)</f>
        <v>#N/A</v>
      </c>
      <c r="C1133" s="15"/>
      <c r="D1133" s="15"/>
      <c r="E1133" s="15"/>
      <c r="F1133" s="15"/>
    </row>
    <row r="1134" spans="1:6">
      <c r="A1134" s="12" t="e">
        <f t="shared" si="10"/>
        <v>#N/A</v>
      </c>
      <c r="B1134" s="15" t="e">
        <f>VLOOKUP(D253,[1]국문!$1:$1048576,8,0)</f>
        <v>#N/A</v>
      </c>
      <c r="C1134" s="15"/>
      <c r="D1134" s="15"/>
      <c r="E1134" s="15"/>
      <c r="F1134" s="15"/>
    </row>
    <row r="1135" spans="1:6" ht="18" customHeight="1">
      <c r="A1135" s="12" t="e">
        <f t="shared" si="10"/>
        <v>#N/A</v>
      </c>
      <c r="B1135" s="15" t="e">
        <f>VLOOKUP(D254,[1]국문!$1:$1048576,8,0)</f>
        <v>#N/A</v>
      </c>
      <c r="C1135" s="15"/>
      <c r="D1135" s="15"/>
      <c r="E1135" s="15"/>
      <c r="F1135" s="15"/>
    </row>
    <row r="1136" spans="1:6" ht="18" customHeight="1">
      <c r="A1136" s="12" t="e">
        <f t="shared" si="10"/>
        <v>#N/A</v>
      </c>
      <c r="B1136" s="15" t="e">
        <f>VLOOKUP(D255,[1]국문!$1:$1048576,8,0)</f>
        <v>#N/A</v>
      </c>
      <c r="C1136" s="15"/>
      <c r="D1136" s="15"/>
      <c r="E1136" s="15"/>
      <c r="F1136" s="15"/>
    </row>
    <row r="1137" spans="1:6" ht="18" customHeight="1">
      <c r="A1137" s="12" t="e">
        <f t="shared" si="10"/>
        <v>#N/A</v>
      </c>
      <c r="B1137" s="15" t="e">
        <f>VLOOKUP(D256,[1]국문!$1:$1048576,8,0)</f>
        <v>#N/A</v>
      </c>
      <c r="C1137" s="15"/>
      <c r="D1137" s="15"/>
      <c r="E1137" s="15"/>
      <c r="F1137" s="15"/>
    </row>
    <row r="1138" spans="1:6" ht="18" customHeight="1">
      <c r="A1138" s="12" t="e">
        <f t="shared" si="10"/>
        <v>#N/A</v>
      </c>
      <c r="B1138" s="15" t="e">
        <f>VLOOKUP(D257,[1]국문!$1:$1048576,8,0)</f>
        <v>#N/A</v>
      </c>
      <c r="C1138" s="15"/>
      <c r="D1138" s="15"/>
      <c r="E1138" s="15"/>
      <c r="F1138" s="15"/>
    </row>
    <row r="1139" spans="1:6" ht="24" customHeight="1">
      <c r="A1139" s="12" t="e">
        <f t="shared" si="10"/>
        <v>#N/A</v>
      </c>
      <c r="B1139" s="15" t="e">
        <f>VLOOKUP(D230,[1]국문!$1:$1048576,8,0)</f>
        <v>#N/A</v>
      </c>
      <c r="C1139" s="15"/>
      <c r="D1139" s="15"/>
      <c r="E1139" s="15"/>
      <c r="F1139" s="15"/>
    </row>
    <row r="1140" spans="1:6" ht="24" customHeight="1">
      <c r="A1140" s="12" t="e">
        <f t="shared" si="10"/>
        <v>#N/A</v>
      </c>
      <c r="B1140" s="15" t="e">
        <f>VLOOKUP(D231,[1]국문!$1:$1048576,8,0)</f>
        <v>#N/A</v>
      </c>
      <c r="C1140" s="15"/>
      <c r="D1140" s="15"/>
      <c r="E1140" s="15"/>
      <c r="F1140" s="15"/>
    </row>
    <row r="1141" spans="1:6" ht="24" customHeight="1">
      <c r="A1141" s="12" t="e">
        <f t="shared" si="10"/>
        <v>#N/A</v>
      </c>
      <c r="B1141" s="15" t="e">
        <f>VLOOKUP(D232,[1]국문!$1:$1048576,8,0)</f>
        <v>#N/A</v>
      </c>
      <c r="C1141" s="15"/>
      <c r="D1141" s="15"/>
      <c r="E1141" s="15"/>
      <c r="F1141" s="15"/>
    </row>
    <row r="1142" spans="1:6" ht="24" customHeight="1">
      <c r="A1142" s="12" t="e">
        <f t="shared" si="10"/>
        <v>#N/A</v>
      </c>
      <c r="B1142" s="15" t="e">
        <f>VLOOKUP(D233,[1]국문!$1:$1048576,8,0)</f>
        <v>#N/A</v>
      </c>
      <c r="C1142" s="15"/>
      <c r="D1142" s="15"/>
      <c r="E1142" s="15"/>
      <c r="F1142" s="15"/>
    </row>
    <row r="1143" spans="1:6" ht="24" customHeight="1">
      <c r="A1143" s="12" t="e">
        <f t="shared" si="10"/>
        <v>#N/A</v>
      </c>
      <c r="B1143" s="15" t="e">
        <f>VLOOKUP(D234,[1]국문!$1:$1048576,8,0)</f>
        <v>#N/A</v>
      </c>
      <c r="C1143" s="15"/>
      <c r="D1143" s="15"/>
      <c r="E1143" s="15"/>
      <c r="F1143" s="15"/>
    </row>
    <row r="1144" spans="1:6" ht="24" customHeight="1">
      <c r="A1144" s="12" t="e">
        <f t="shared" si="10"/>
        <v>#N/A</v>
      </c>
      <c r="B1144" s="15" t="e">
        <f>VLOOKUP(D235,[1]국문!$1:$1048576,8,0)</f>
        <v>#N/A</v>
      </c>
      <c r="C1144" s="15"/>
      <c r="D1144" s="15"/>
      <c r="E1144" s="15"/>
      <c r="F1144" s="15"/>
    </row>
    <row r="1145" spans="1:6" ht="24" customHeight="1">
      <c r="A1145" s="12" t="e">
        <f t="shared" si="10"/>
        <v>#N/A</v>
      </c>
      <c r="B1145" s="15" t="e">
        <f>VLOOKUP(D236,[1]국문!$1:$1048576,8,0)</f>
        <v>#N/A</v>
      </c>
      <c r="C1145" s="15"/>
      <c r="D1145" s="15"/>
      <c r="E1145" s="15"/>
      <c r="F1145" s="15"/>
    </row>
    <row r="1146" spans="1:6" ht="24" customHeight="1">
      <c r="A1146" s="12" t="e">
        <f t="shared" si="10"/>
        <v>#N/A</v>
      </c>
      <c r="B1146" s="15" t="e">
        <f>VLOOKUP(D237,[1]국문!$1:$1048576,8,0)</f>
        <v>#N/A</v>
      </c>
      <c r="C1146" s="15"/>
      <c r="D1146" s="15"/>
      <c r="E1146" s="15"/>
      <c r="F1146" s="15"/>
    </row>
    <row r="1147" spans="1:6" ht="24" customHeight="1">
      <c r="A1147" s="12" t="e">
        <f t="shared" si="10"/>
        <v>#N/A</v>
      </c>
      <c r="B1147" s="15" t="e">
        <f>VLOOKUP(D238,[1]국문!$1:$1048576,8,0)</f>
        <v>#N/A</v>
      </c>
      <c r="C1147" s="15"/>
      <c r="D1147" s="15"/>
      <c r="E1147" s="15"/>
      <c r="F1147" s="15"/>
    </row>
    <row r="1148" spans="1:6" ht="24" customHeight="1">
      <c r="A1148" s="12" t="e">
        <f t="shared" si="10"/>
        <v>#N/A</v>
      </c>
      <c r="B1148" s="15" t="e">
        <f>VLOOKUP(D239,[1]국문!$1:$1048576,8,0)</f>
        <v>#N/A</v>
      </c>
      <c r="C1148" s="15"/>
      <c r="D1148" s="15"/>
      <c r="E1148" s="15"/>
      <c r="F1148" s="15"/>
    </row>
    <row r="1149" spans="1:6" ht="24" customHeight="1">
      <c r="A1149" s="12" t="e">
        <f t="shared" si="10"/>
        <v>#N/A</v>
      </c>
      <c r="B1149" s="15" t="e">
        <f>VLOOKUP(D240,[1]국문!$1:$1048576,8,0)</f>
        <v>#N/A</v>
      </c>
      <c r="C1149" s="15"/>
      <c r="D1149" s="15"/>
      <c r="E1149" s="15"/>
      <c r="F1149" s="15"/>
    </row>
    <row r="1150" spans="1:6" ht="24" customHeight="1">
      <c r="A1150" s="12" t="e">
        <f t="shared" si="10"/>
        <v>#N/A</v>
      </c>
      <c r="B1150" s="15" t="e">
        <f>VLOOKUP(D241,[1]국문!$1:$1048576,8,0)</f>
        <v>#N/A</v>
      </c>
      <c r="C1150" s="15"/>
      <c r="D1150" s="15"/>
      <c r="E1150" s="15"/>
      <c r="F1150" s="15"/>
    </row>
    <row r="1151" spans="1:6" ht="24" customHeight="1">
      <c r="A1151" s="12" t="e">
        <f t="shared" si="10"/>
        <v>#N/A</v>
      </c>
      <c r="B1151" s="15" t="e">
        <f>VLOOKUP(D242,[1]국문!$1:$1048576,8,0)</f>
        <v>#N/A</v>
      </c>
      <c r="C1151" s="15"/>
      <c r="D1151" s="15"/>
      <c r="E1151" s="15"/>
      <c r="F1151" s="15"/>
    </row>
    <row r="1152" spans="1:6" ht="24" customHeight="1">
      <c r="A1152" s="12" t="e">
        <f t="shared" si="10"/>
        <v>#N/A</v>
      </c>
      <c r="B1152" s="15" t="e">
        <f>VLOOKUP(D243,[1]국문!$1:$1048576,8,0)</f>
        <v>#N/A</v>
      </c>
      <c r="C1152" s="15"/>
      <c r="D1152" s="15"/>
      <c r="E1152" s="15"/>
      <c r="F1152" s="15"/>
    </row>
    <row r="1153" spans="1:6" ht="24" customHeight="1">
      <c r="A1153" s="12" t="e">
        <f t="shared" si="10"/>
        <v>#N/A</v>
      </c>
      <c r="B1153" s="15" t="e">
        <f>VLOOKUP(D244,[1]국문!$1:$1048576,8,0)</f>
        <v>#N/A</v>
      </c>
      <c r="C1153" s="15"/>
      <c r="D1153" s="15"/>
      <c r="E1153" s="15"/>
      <c r="F1153" s="15"/>
    </row>
    <row r="1154" spans="1:6" ht="18" customHeight="1">
      <c r="A1154" s="12" t="e">
        <f t="shared" si="10"/>
        <v>#N/A</v>
      </c>
      <c r="B1154" s="15" t="e">
        <f>VLOOKUP(D273,[1]국문!$1:$1048576,8,0)</f>
        <v>#N/A</v>
      </c>
      <c r="C1154" s="15"/>
      <c r="D1154" s="15"/>
      <c r="E1154" s="15"/>
      <c r="F1154" s="15"/>
    </row>
    <row r="1155" spans="1:6" ht="18" customHeight="1">
      <c r="A1155" s="12" t="e">
        <f t="shared" si="10"/>
        <v>#N/A</v>
      </c>
      <c r="B1155" s="15" t="e">
        <f>VLOOKUP(D274,[1]국문!$1:$1048576,8,0)</f>
        <v>#N/A</v>
      </c>
      <c r="C1155" s="15"/>
      <c r="D1155" s="15"/>
      <c r="E1155" s="15"/>
      <c r="F1155" s="15"/>
    </row>
    <row r="1156" spans="1:6" ht="18" customHeight="1">
      <c r="A1156" s="12" t="e">
        <f t="shared" si="10"/>
        <v>#N/A</v>
      </c>
      <c r="B1156" s="15" t="e">
        <f>VLOOKUP(D275,[1]국문!$1:$1048576,8,0)</f>
        <v>#N/A</v>
      </c>
      <c r="C1156" s="15"/>
      <c r="D1156" s="15"/>
      <c r="E1156" s="15"/>
      <c r="F1156" s="15"/>
    </row>
    <row r="1157" spans="1:6" ht="18" customHeight="1">
      <c r="A1157" s="12" t="e">
        <f t="shared" si="10"/>
        <v>#N/A</v>
      </c>
      <c r="B1157" s="15" t="e">
        <f>VLOOKUP(D276,[1]국문!$1:$1048576,8,0)</f>
        <v>#N/A</v>
      </c>
      <c r="C1157" s="15"/>
      <c r="D1157" s="15"/>
      <c r="E1157" s="15"/>
      <c r="F1157" s="15"/>
    </row>
    <row r="1158" spans="1:6" ht="18" customHeight="1">
      <c r="A1158" s="12" t="e">
        <f t="shared" si="10"/>
        <v>#N/A</v>
      </c>
      <c r="B1158" s="15" t="e">
        <f>VLOOKUP(D277,[1]국문!$1:$1048576,8,0)</f>
        <v>#N/A</v>
      </c>
      <c r="C1158" s="15"/>
      <c r="D1158" s="15"/>
      <c r="E1158" s="15"/>
      <c r="F1158" s="15"/>
    </row>
    <row r="1159" spans="1:6">
      <c r="A1159" s="12" t="e">
        <f t="shared" si="10"/>
        <v>#N/A</v>
      </c>
      <c r="B1159" s="15" t="e">
        <f>VLOOKUP(D278,[1]국문!$1:$1048576,8,0)</f>
        <v>#N/A</v>
      </c>
      <c r="C1159" s="15"/>
      <c r="D1159" s="15"/>
      <c r="E1159" s="15"/>
      <c r="F1159" s="15"/>
    </row>
    <row r="1160" spans="1:6" ht="18" customHeight="1">
      <c r="A1160" s="12" t="e">
        <f t="shared" si="10"/>
        <v>#N/A</v>
      </c>
      <c r="B1160" s="15" t="e">
        <f>VLOOKUP(D279,[1]국문!$1:$1048576,8,0)</f>
        <v>#N/A</v>
      </c>
      <c r="C1160" s="15"/>
      <c r="D1160" s="15"/>
      <c r="E1160" s="15"/>
      <c r="F1160" s="15"/>
    </row>
    <row r="1161" spans="1:6" ht="18" customHeight="1">
      <c r="A1161" s="12" t="e">
        <f t="shared" si="10"/>
        <v>#N/A</v>
      </c>
      <c r="B1161" s="15" t="e">
        <f>VLOOKUP(D280,[1]국문!$1:$1048576,8,0)</f>
        <v>#N/A</v>
      </c>
      <c r="C1161" s="15"/>
      <c r="D1161" s="15"/>
      <c r="E1161" s="15"/>
      <c r="F1161" s="15"/>
    </row>
    <row r="1162" spans="1:6" ht="18" customHeight="1">
      <c r="A1162" s="12" t="e">
        <f t="shared" si="10"/>
        <v>#N/A</v>
      </c>
      <c r="B1162" s="15" t="e">
        <f>VLOOKUP(D281,[1]국문!$1:$1048576,8,0)</f>
        <v>#N/A</v>
      </c>
      <c r="C1162" s="15"/>
      <c r="D1162" s="15"/>
      <c r="E1162" s="15"/>
      <c r="F1162" s="15"/>
    </row>
    <row r="1163" spans="1:6" ht="18" customHeight="1">
      <c r="A1163" s="12" t="e">
        <f t="shared" si="10"/>
        <v>#N/A</v>
      </c>
      <c r="B1163" s="15" t="e">
        <f>VLOOKUP(D282,[1]국문!$1:$1048576,8,0)</f>
        <v>#N/A</v>
      </c>
      <c r="C1163" s="15"/>
      <c r="D1163" s="15"/>
      <c r="E1163" s="15"/>
      <c r="F1163" s="15"/>
    </row>
    <row r="1164" spans="1:6">
      <c r="A1164" s="12" t="e">
        <f t="shared" si="10"/>
        <v>#N/A</v>
      </c>
      <c r="B1164" s="15" t="e">
        <f>VLOOKUP(D283,[1]국문!$1:$1048576,8,0)</f>
        <v>#N/A</v>
      </c>
      <c r="C1164" s="15"/>
      <c r="D1164" s="15"/>
      <c r="E1164" s="15"/>
      <c r="F1164" s="15"/>
    </row>
    <row r="1165" spans="1:6">
      <c r="A1165" s="12" t="e">
        <f t="shared" si="10"/>
        <v>#N/A</v>
      </c>
      <c r="B1165" s="15" t="e">
        <f>VLOOKUP(D284,[1]국문!$1:$1048576,8,0)</f>
        <v>#N/A</v>
      </c>
      <c r="C1165" s="15"/>
      <c r="D1165" s="15"/>
      <c r="E1165" s="15"/>
      <c r="F1165" s="15"/>
    </row>
    <row r="1166" spans="1:6">
      <c r="A1166" s="12" t="e">
        <f t="shared" si="10"/>
        <v>#N/A</v>
      </c>
      <c r="B1166" s="15" t="e">
        <f>VLOOKUP(D285,[1]국문!$1:$1048576,8,0)</f>
        <v>#N/A</v>
      </c>
      <c r="C1166" s="15"/>
      <c r="D1166" s="15"/>
      <c r="E1166" s="15"/>
      <c r="F1166" s="15"/>
    </row>
    <row r="1167" spans="1:6" ht="18" customHeight="1">
      <c r="A1167" s="12" t="e">
        <f t="shared" si="10"/>
        <v>#N/A</v>
      </c>
      <c r="B1167" s="15" t="e">
        <f>VLOOKUP(D286,[1]국문!$1:$1048576,8,0)</f>
        <v>#N/A</v>
      </c>
      <c r="C1167" s="15"/>
      <c r="D1167" s="15"/>
      <c r="E1167" s="15"/>
      <c r="F1167" s="15"/>
    </row>
    <row r="1168" spans="1:6" ht="18" customHeight="1">
      <c r="A1168" s="12" t="e">
        <f t="shared" si="10"/>
        <v>#N/A</v>
      </c>
      <c r="B1168" s="15" t="e">
        <f>VLOOKUP(D287,[1]국문!$1:$1048576,8,0)</f>
        <v>#N/A</v>
      </c>
      <c r="C1168" s="15"/>
      <c r="D1168" s="15"/>
      <c r="E1168" s="15"/>
      <c r="F1168" s="15"/>
    </row>
    <row r="1169" spans="1:6" ht="18" customHeight="1">
      <c r="A1169" s="12" t="e">
        <f t="shared" si="10"/>
        <v>#N/A</v>
      </c>
      <c r="B1169" s="15" t="e">
        <f>VLOOKUP(D288,[1]국문!$1:$1048576,8,0)</f>
        <v>#N/A</v>
      </c>
      <c r="C1169" s="15"/>
      <c r="D1169" s="15"/>
      <c r="E1169" s="15"/>
      <c r="F1169" s="15"/>
    </row>
    <row r="1170" spans="1:6" ht="18" customHeight="1">
      <c r="A1170" s="12" t="e">
        <f t="shared" si="10"/>
        <v>#N/A</v>
      </c>
      <c r="B1170" s="15" t="e">
        <f>VLOOKUP(D289,[1]국문!$1:$1048576,8,0)</f>
        <v>#N/A</v>
      </c>
      <c r="C1170" s="15"/>
      <c r="D1170" s="15"/>
      <c r="E1170" s="15"/>
      <c r="F1170" s="15"/>
    </row>
    <row r="1171" spans="1:6" ht="24" customHeight="1">
      <c r="A1171" s="12" t="e">
        <f t="shared" si="10"/>
        <v>#N/A</v>
      </c>
      <c r="B1171" s="15" t="e">
        <f>VLOOKUP(D262,[1]국문!$1:$1048576,8,0)</f>
        <v>#N/A</v>
      </c>
      <c r="C1171" s="15"/>
      <c r="D1171" s="15"/>
      <c r="E1171" s="15"/>
      <c r="F1171" s="15"/>
    </row>
    <row r="1172" spans="1:6" ht="24" customHeight="1">
      <c r="A1172" s="12" t="e">
        <f t="shared" si="10"/>
        <v>#N/A</v>
      </c>
      <c r="B1172" s="15" t="e">
        <f>VLOOKUP(D263,[1]국문!$1:$1048576,8,0)</f>
        <v>#N/A</v>
      </c>
      <c r="C1172" s="15"/>
      <c r="D1172" s="15"/>
      <c r="E1172" s="15"/>
      <c r="F1172" s="15"/>
    </row>
    <row r="1173" spans="1:6" ht="24" customHeight="1">
      <c r="A1173" s="12" t="e">
        <f t="shared" si="10"/>
        <v>#N/A</v>
      </c>
      <c r="B1173" s="15" t="e">
        <f>VLOOKUP(D264,[1]국문!$1:$1048576,8,0)</f>
        <v>#N/A</v>
      </c>
      <c r="C1173" s="15"/>
      <c r="D1173" s="15"/>
      <c r="E1173" s="15"/>
      <c r="F1173" s="15"/>
    </row>
    <row r="1174" spans="1:6" ht="24" customHeight="1">
      <c r="A1174" s="12" t="e">
        <f t="shared" si="10"/>
        <v>#N/A</v>
      </c>
      <c r="B1174" s="15" t="e">
        <f>VLOOKUP(D265,[1]국문!$1:$1048576,8,0)</f>
        <v>#N/A</v>
      </c>
      <c r="C1174" s="15"/>
      <c r="D1174" s="15"/>
      <c r="E1174" s="15"/>
      <c r="F1174" s="15"/>
    </row>
    <row r="1175" spans="1:6" ht="24" customHeight="1">
      <c r="A1175" s="12" t="e">
        <f t="shared" si="10"/>
        <v>#N/A</v>
      </c>
      <c r="B1175" s="15" t="e">
        <f>VLOOKUP(D266,[1]국문!$1:$1048576,8,0)</f>
        <v>#N/A</v>
      </c>
      <c r="C1175" s="15"/>
      <c r="D1175" s="15"/>
      <c r="E1175" s="15"/>
      <c r="F1175" s="15"/>
    </row>
    <row r="1176" spans="1:6" ht="24" customHeight="1">
      <c r="A1176" s="12" t="e">
        <f t="shared" si="10"/>
        <v>#N/A</v>
      </c>
      <c r="B1176" s="15" t="e">
        <f>VLOOKUP(D267,[1]국문!$1:$1048576,8,0)</f>
        <v>#N/A</v>
      </c>
      <c r="C1176" s="15"/>
      <c r="D1176" s="15"/>
      <c r="E1176" s="15"/>
      <c r="F1176" s="15"/>
    </row>
    <row r="1177" spans="1:6" ht="24" customHeight="1">
      <c r="A1177" s="12" t="e">
        <f t="shared" si="10"/>
        <v>#N/A</v>
      </c>
      <c r="B1177" s="15" t="e">
        <f>VLOOKUP(D268,[1]국문!$1:$1048576,8,0)</f>
        <v>#N/A</v>
      </c>
      <c r="C1177" s="15"/>
      <c r="D1177" s="15"/>
      <c r="E1177" s="15"/>
      <c r="F1177" s="15"/>
    </row>
    <row r="1178" spans="1:6" ht="24" customHeight="1">
      <c r="A1178" s="12" t="e">
        <f t="shared" si="10"/>
        <v>#N/A</v>
      </c>
      <c r="B1178" s="15" t="e">
        <f>VLOOKUP(D269,[1]국문!$1:$1048576,8,0)</f>
        <v>#N/A</v>
      </c>
      <c r="C1178" s="15"/>
      <c r="D1178" s="15"/>
      <c r="E1178" s="15"/>
      <c r="F1178" s="15"/>
    </row>
    <row r="1179" spans="1:6" ht="24" customHeight="1">
      <c r="A1179" s="12" t="e">
        <f t="shared" si="10"/>
        <v>#N/A</v>
      </c>
      <c r="B1179" s="15" t="e">
        <f>VLOOKUP(D270,[1]국문!$1:$1048576,8,0)</f>
        <v>#N/A</v>
      </c>
      <c r="C1179" s="15"/>
      <c r="D1179" s="15"/>
      <c r="E1179" s="15"/>
      <c r="F1179" s="15"/>
    </row>
    <row r="1180" spans="1:6" ht="24" customHeight="1">
      <c r="A1180" s="12" t="e">
        <f t="shared" si="10"/>
        <v>#N/A</v>
      </c>
      <c r="B1180" s="15" t="e">
        <f>VLOOKUP(D271,[1]국문!$1:$1048576,8,0)</f>
        <v>#N/A</v>
      </c>
      <c r="C1180" s="15"/>
      <c r="D1180" s="15"/>
      <c r="E1180" s="15"/>
      <c r="F1180" s="15"/>
    </row>
    <row r="1181" spans="1:6" ht="24" customHeight="1">
      <c r="A1181" s="12" t="e">
        <f t="shared" si="10"/>
        <v>#N/A</v>
      </c>
      <c r="B1181" s="15" t="e">
        <f>VLOOKUP(D272,[1]국문!$1:$1048576,8,0)</f>
        <v>#N/A</v>
      </c>
      <c r="C1181" s="15"/>
      <c r="D1181" s="15"/>
      <c r="E1181" s="15"/>
      <c r="F1181" s="15"/>
    </row>
    <row r="1182" spans="1:6" ht="24" customHeight="1">
      <c r="A1182" s="12" t="e">
        <f t="shared" si="10"/>
        <v>#N/A</v>
      </c>
      <c r="B1182" s="15" t="e">
        <f>VLOOKUP(D273,[1]국문!$1:$1048576,8,0)</f>
        <v>#N/A</v>
      </c>
      <c r="C1182" s="15"/>
      <c r="D1182" s="15"/>
      <c r="E1182" s="15"/>
      <c r="F1182" s="15"/>
    </row>
    <row r="1183" spans="1:6" ht="24" customHeight="1">
      <c r="A1183" s="12" t="e">
        <f t="shared" si="10"/>
        <v>#N/A</v>
      </c>
      <c r="B1183" s="15" t="e">
        <f>VLOOKUP(D274,[1]국문!$1:$1048576,8,0)</f>
        <v>#N/A</v>
      </c>
      <c r="C1183" s="15"/>
      <c r="D1183" s="15"/>
      <c r="E1183" s="15"/>
      <c r="F1183" s="15"/>
    </row>
    <row r="1184" spans="1:6" ht="24" customHeight="1">
      <c r="A1184" s="12" t="e">
        <f t="shared" si="10"/>
        <v>#N/A</v>
      </c>
      <c r="B1184" s="15" t="e">
        <f>VLOOKUP(D275,[1]국문!$1:$1048576,8,0)</f>
        <v>#N/A</v>
      </c>
      <c r="C1184" s="15"/>
      <c r="D1184" s="15"/>
      <c r="E1184" s="15"/>
      <c r="F1184" s="15"/>
    </row>
    <row r="1185" spans="1:6" ht="24" customHeight="1">
      <c r="A1185" s="12" t="e">
        <f t="shared" si="10"/>
        <v>#N/A</v>
      </c>
      <c r="B1185" s="15" t="e">
        <f>VLOOKUP(D276,[1]국문!$1:$1048576,8,0)</f>
        <v>#N/A</v>
      </c>
      <c r="C1185" s="15"/>
      <c r="D1185" s="15"/>
      <c r="E1185" s="15"/>
      <c r="F1185" s="15"/>
    </row>
    <row r="1186" spans="1:6" ht="18" customHeight="1">
      <c r="A1186" s="12" t="e">
        <f t="shared" si="10"/>
        <v>#N/A</v>
      </c>
      <c r="B1186" s="15" t="e">
        <f>VLOOKUP(D305,[1]국문!$1:$1048576,8,0)</f>
        <v>#N/A</v>
      </c>
      <c r="C1186" s="15"/>
      <c r="D1186" s="15"/>
      <c r="E1186" s="15"/>
      <c r="F1186" s="15"/>
    </row>
    <row r="1187" spans="1:6" ht="18" customHeight="1">
      <c r="A1187" s="12" t="e">
        <f t="shared" si="10"/>
        <v>#N/A</v>
      </c>
      <c r="B1187" s="15" t="e">
        <f>VLOOKUP(D306,[1]국문!$1:$1048576,8,0)</f>
        <v>#N/A</v>
      </c>
      <c r="C1187" s="15"/>
      <c r="D1187" s="15"/>
      <c r="E1187" s="15"/>
      <c r="F1187" s="15"/>
    </row>
    <row r="1188" spans="1:6" ht="18" customHeight="1">
      <c r="A1188" s="12" t="e">
        <f t="shared" si="10"/>
        <v>#N/A</v>
      </c>
      <c r="B1188" s="15" t="e">
        <f>VLOOKUP(D307,[1]국문!$1:$1048576,8,0)</f>
        <v>#N/A</v>
      </c>
      <c r="C1188" s="15"/>
      <c r="D1188" s="15"/>
      <c r="E1188" s="15"/>
      <c r="F1188" s="15"/>
    </row>
    <row r="1189" spans="1:6" ht="18" customHeight="1">
      <c r="A1189" s="12" t="e">
        <f t="shared" si="10"/>
        <v>#N/A</v>
      </c>
      <c r="B1189" s="15" t="e">
        <f>VLOOKUP(D308,[1]국문!$1:$1048576,8,0)</f>
        <v>#N/A</v>
      </c>
      <c r="C1189" s="15"/>
      <c r="D1189" s="15"/>
      <c r="E1189" s="15"/>
      <c r="F1189" s="15"/>
    </row>
    <row r="1190" spans="1:6" ht="18" customHeight="1">
      <c r="A1190" s="12" t="e">
        <f t="shared" si="10"/>
        <v>#N/A</v>
      </c>
      <c r="B1190" s="15" t="e">
        <f>VLOOKUP(D309,[1]국문!$1:$1048576,8,0)</f>
        <v>#N/A</v>
      </c>
      <c r="C1190" s="15"/>
      <c r="D1190" s="15"/>
      <c r="E1190" s="15"/>
      <c r="F1190" s="15"/>
    </row>
    <row r="1191" spans="1:6">
      <c r="A1191" s="12" t="e">
        <f t="shared" si="10"/>
        <v>#N/A</v>
      </c>
      <c r="B1191" s="15" t="e">
        <f>VLOOKUP(D310,[1]국문!$1:$1048576,8,0)</f>
        <v>#N/A</v>
      </c>
      <c r="C1191" s="15"/>
      <c r="D1191" s="15"/>
      <c r="E1191" s="15"/>
      <c r="F1191" s="15"/>
    </row>
    <row r="1192" spans="1:6" ht="18" customHeight="1">
      <c r="A1192" s="12" t="e">
        <f t="shared" si="10"/>
        <v>#N/A</v>
      </c>
      <c r="B1192" s="15" t="e">
        <f>VLOOKUP(D311,[1]국문!$1:$1048576,8,0)</f>
        <v>#N/A</v>
      </c>
      <c r="C1192" s="15"/>
      <c r="D1192" s="15"/>
      <c r="E1192" s="15"/>
      <c r="F1192" s="15"/>
    </row>
    <row r="1193" spans="1:6" ht="18" customHeight="1">
      <c r="A1193" s="12" t="e">
        <f t="shared" si="10"/>
        <v>#N/A</v>
      </c>
      <c r="B1193" s="15" t="e">
        <f>VLOOKUP(D312,[1]국문!$1:$1048576,8,0)</f>
        <v>#N/A</v>
      </c>
      <c r="C1193" s="15"/>
      <c r="D1193" s="15"/>
      <c r="E1193" s="15"/>
      <c r="F1193" s="15"/>
    </row>
    <row r="1194" spans="1:6" ht="18" customHeight="1">
      <c r="A1194" s="12" t="e">
        <f t="shared" si="10"/>
        <v>#N/A</v>
      </c>
      <c r="B1194" s="15" t="e">
        <f>VLOOKUP(D313,[1]국문!$1:$1048576,8,0)</f>
        <v>#N/A</v>
      </c>
      <c r="C1194" s="15"/>
      <c r="D1194" s="15"/>
      <c r="E1194" s="15"/>
      <c r="F1194" s="15"/>
    </row>
    <row r="1195" spans="1:6" ht="18" customHeight="1">
      <c r="A1195" s="12" t="e">
        <f t="shared" si="10"/>
        <v>#N/A</v>
      </c>
      <c r="B1195" s="15" t="e">
        <f>VLOOKUP(D314,[1]국문!$1:$1048576,8,0)</f>
        <v>#N/A</v>
      </c>
      <c r="C1195" s="15"/>
      <c r="D1195" s="15"/>
      <c r="E1195" s="15"/>
      <c r="F1195" s="15"/>
    </row>
    <row r="1196" spans="1:6">
      <c r="A1196" s="12" t="e">
        <f t="shared" ref="A1196:A1202" si="11">A326</f>
        <v>#N/A</v>
      </c>
      <c r="B1196" s="15" t="e">
        <f>VLOOKUP(D315,[1]국문!$1:$1048576,8,0)</f>
        <v>#N/A</v>
      </c>
      <c r="C1196" s="15"/>
      <c r="D1196" s="15"/>
      <c r="E1196" s="15"/>
      <c r="F1196" s="15"/>
    </row>
    <row r="1197" spans="1:6">
      <c r="A1197" s="12" t="e">
        <f t="shared" si="11"/>
        <v>#N/A</v>
      </c>
      <c r="B1197" s="15" t="e">
        <f>VLOOKUP(D316,[1]국문!$1:$1048576,8,0)</f>
        <v>#N/A</v>
      </c>
      <c r="C1197" s="15"/>
      <c r="D1197" s="15"/>
      <c r="E1197" s="15"/>
      <c r="F1197" s="15"/>
    </row>
    <row r="1198" spans="1:6">
      <c r="A1198" s="12" t="e">
        <f t="shared" si="11"/>
        <v>#N/A</v>
      </c>
      <c r="B1198" s="15" t="e">
        <f>VLOOKUP(D317,[1]국문!$1:$1048576,8,0)</f>
        <v>#N/A</v>
      </c>
      <c r="C1198" s="15"/>
      <c r="D1198" s="15"/>
      <c r="E1198" s="15"/>
      <c r="F1198" s="15"/>
    </row>
    <row r="1199" spans="1:6" ht="18" customHeight="1">
      <c r="A1199" s="12" t="e">
        <f t="shared" si="11"/>
        <v>#N/A</v>
      </c>
      <c r="B1199" s="15" t="e">
        <f>VLOOKUP(D318,[1]국문!$1:$1048576,8,0)</f>
        <v>#N/A</v>
      </c>
      <c r="C1199" s="15"/>
      <c r="D1199" s="15"/>
      <c r="E1199" s="15"/>
      <c r="F1199" s="15"/>
    </row>
    <row r="1200" spans="1:6" ht="18" customHeight="1">
      <c r="A1200" s="12" t="e">
        <f t="shared" si="11"/>
        <v>#N/A</v>
      </c>
      <c r="B1200" s="15" t="e">
        <f>VLOOKUP(D319,[1]국문!$1:$1048576,8,0)</f>
        <v>#N/A</v>
      </c>
      <c r="C1200" s="15"/>
      <c r="D1200" s="15"/>
      <c r="E1200" s="15"/>
      <c r="F1200" s="15"/>
    </row>
    <row r="1201" spans="1:6" ht="18" customHeight="1">
      <c r="A1201" s="12" t="e">
        <f t="shared" si="11"/>
        <v>#N/A</v>
      </c>
      <c r="B1201" s="15" t="e">
        <f>VLOOKUP(D320,[1]국문!$1:$1048576,8,0)</f>
        <v>#N/A</v>
      </c>
      <c r="C1201" s="15"/>
      <c r="D1201" s="15"/>
      <c r="E1201" s="15"/>
      <c r="F1201" s="15"/>
    </row>
    <row r="1202" spans="1:6" ht="18" customHeight="1">
      <c r="A1202" s="12" t="e">
        <f t="shared" si="11"/>
        <v>#N/A</v>
      </c>
      <c r="B1202" s="15" t="e">
        <f>VLOOKUP(D321,[1]국문!$1:$1048576,8,0)</f>
        <v>#N/A</v>
      </c>
      <c r="C1202" s="15"/>
      <c r="D1202" s="15"/>
      <c r="E1202" s="15"/>
      <c r="F1202" s="15"/>
    </row>
    <row r="1203" spans="1:6" ht="18" customHeight="1">
      <c r="A1203" s="8" t="s">
        <v>75</v>
      </c>
      <c r="B1203" s="15" t="s">
        <v>183</v>
      </c>
      <c r="C1203" s="15"/>
      <c r="D1203" s="15"/>
      <c r="E1203" s="15"/>
      <c r="F1203" s="15"/>
    </row>
    <row r="1204" spans="1:6" ht="18" customHeight="1">
      <c r="A1204" s="8" t="s">
        <v>76</v>
      </c>
      <c r="B1204" s="15" t="s">
        <v>184</v>
      </c>
      <c r="C1204" s="15"/>
      <c r="D1204" s="15"/>
      <c r="E1204" s="15"/>
      <c r="F1204" s="15"/>
    </row>
    <row r="1205" spans="1:6" ht="18" customHeight="1">
      <c r="A1205" s="8" t="s">
        <v>77</v>
      </c>
      <c r="B1205" s="15" t="s">
        <v>1</v>
      </c>
      <c r="C1205" s="15"/>
      <c r="D1205" s="15"/>
      <c r="E1205" s="15"/>
      <c r="F1205" s="15"/>
    </row>
    <row r="1206" spans="1:6" ht="18" customHeight="1">
      <c r="A1206" s="8" t="s">
        <v>78</v>
      </c>
      <c r="B1206" s="15" t="s">
        <v>1</v>
      </c>
      <c r="C1206" s="15"/>
      <c r="D1206" s="15"/>
      <c r="E1206" s="15"/>
      <c r="F1206" s="15"/>
    </row>
    <row r="1207" spans="1:6" ht="18" customHeight="1">
      <c r="A1207" s="8" t="s">
        <v>79</v>
      </c>
      <c r="B1207" s="15"/>
      <c r="C1207" s="15"/>
      <c r="D1207" s="15"/>
      <c r="E1207" s="15"/>
      <c r="F1207" s="15"/>
    </row>
    <row r="1208" spans="1:6" ht="18" customHeight="1">
      <c r="A1208" s="8" t="s">
        <v>119</v>
      </c>
      <c r="B1208" s="15" t="s">
        <v>1</v>
      </c>
      <c r="C1208" s="15"/>
      <c r="D1208" s="15"/>
      <c r="E1208" s="15"/>
      <c r="F1208" s="15"/>
    </row>
    <row r="1209" spans="1:6" ht="18" customHeight="1">
      <c r="A1209" s="8" t="s">
        <v>120</v>
      </c>
      <c r="B1209" s="15" t="s">
        <v>1</v>
      </c>
      <c r="C1209" s="15"/>
      <c r="D1209" s="15"/>
      <c r="E1209" s="15"/>
      <c r="F1209" s="15"/>
    </row>
    <row r="1210" spans="1:6" ht="18" customHeight="1">
      <c r="A1210" s="8" t="s">
        <v>121</v>
      </c>
      <c r="B1210" s="15" t="s">
        <v>1</v>
      </c>
      <c r="C1210" s="15"/>
      <c r="D1210" s="15"/>
      <c r="E1210" s="15"/>
      <c r="F1210" s="15"/>
    </row>
    <row r="1211" spans="1:6" ht="18" customHeight="1">
      <c r="A1211" s="8" t="s">
        <v>122</v>
      </c>
      <c r="B1211" s="15" t="s">
        <v>1</v>
      </c>
      <c r="C1211" s="15"/>
      <c r="D1211" s="15"/>
      <c r="E1211" s="15"/>
      <c r="F1211" s="15"/>
    </row>
    <row r="1212" spans="1:6" ht="18" customHeight="1">
      <c r="A1212" s="8" t="s">
        <v>123</v>
      </c>
      <c r="B1212" s="15" t="s">
        <v>1</v>
      </c>
      <c r="C1212" s="15"/>
      <c r="D1212" s="15"/>
      <c r="E1212" s="15"/>
      <c r="F1212" s="15"/>
    </row>
    <row r="1213" spans="1:6" ht="18" customHeight="1">
      <c r="A1213" s="8" t="s">
        <v>124</v>
      </c>
      <c r="B1213" s="15" t="s">
        <v>1</v>
      </c>
      <c r="C1213" s="15"/>
      <c r="D1213" s="15"/>
      <c r="E1213" s="15"/>
      <c r="F1213" s="15"/>
    </row>
    <row r="1214" spans="1:6" ht="18" customHeight="1">
      <c r="A1214" s="8" t="s">
        <v>125</v>
      </c>
      <c r="B1214" s="15" t="s">
        <v>1</v>
      </c>
      <c r="C1214" s="15"/>
      <c r="D1214" s="15"/>
      <c r="E1214" s="15"/>
      <c r="F1214" s="15"/>
    </row>
    <row r="1215" spans="1:6" ht="18" customHeight="1">
      <c r="A1215" s="8" t="s">
        <v>80</v>
      </c>
      <c r="B1215" s="15" t="s">
        <v>1</v>
      </c>
      <c r="C1215" s="15"/>
      <c r="D1215" s="15"/>
      <c r="E1215" s="15"/>
      <c r="F1215" s="15"/>
    </row>
    <row r="1216" spans="1:6" ht="18" customHeight="1">
      <c r="A1216" s="8" t="s">
        <v>81</v>
      </c>
      <c r="B1216" s="15" t="s">
        <v>1</v>
      </c>
      <c r="C1216" s="15"/>
      <c r="D1216" s="15"/>
      <c r="E1216" s="15"/>
      <c r="F1216" s="15"/>
    </row>
    <row r="1217" spans="1:6" ht="18" customHeight="1">
      <c r="A1217" s="8" t="s">
        <v>213</v>
      </c>
      <c r="B1217" s="15"/>
      <c r="C1217" s="15"/>
      <c r="D1217" s="15"/>
      <c r="E1217" s="15"/>
      <c r="F1217" s="15"/>
    </row>
    <row r="1218" spans="1:6" ht="24" customHeight="1">
      <c r="A1218" s="12" t="e">
        <f>A133</f>
        <v>#N/A</v>
      </c>
      <c r="B1218" s="15" t="e">
        <f>VLOOKUP(D98,[1]국문!$1:$1048576,16,0)</f>
        <v>#N/A</v>
      </c>
      <c r="C1218" s="15"/>
      <c r="D1218" s="15"/>
      <c r="E1218" s="15"/>
      <c r="F1218" s="15"/>
    </row>
    <row r="1219" spans="1:6" ht="24" customHeight="1">
      <c r="A1219" s="12" t="e">
        <f t="shared" ref="A1219:A1282" si="12">A134</f>
        <v>#N/A</v>
      </c>
      <c r="B1219" s="15" t="e">
        <f>VLOOKUP(D99,[1]국문!$1:$1048576,16,0)</f>
        <v>#N/A</v>
      </c>
      <c r="C1219" s="15"/>
      <c r="D1219" s="15"/>
      <c r="E1219" s="15"/>
      <c r="F1219" s="15"/>
    </row>
    <row r="1220" spans="1:6" ht="24" customHeight="1">
      <c r="A1220" s="12" t="e">
        <f t="shared" si="12"/>
        <v>#N/A</v>
      </c>
      <c r="B1220" s="15" t="e">
        <f>VLOOKUP(D100,[1]국문!$1:$1048576,16,0)</f>
        <v>#N/A</v>
      </c>
      <c r="C1220" s="15"/>
      <c r="D1220" s="15"/>
      <c r="E1220" s="15"/>
      <c r="F1220" s="15"/>
    </row>
    <row r="1221" spans="1:6" ht="24" customHeight="1">
      <c r="A1221" s="12" t="e">
        <f t="shared" si="12"/>
        <v>#N/A</v>
      </c>
      <c r="B1221" s="15" t="e">
        <f>VLOOKUP(D101,[1]국문!$1:$1048576,16,0)</f>
        <v>#N/A</v>
      </c>
      <c r="C1221" s="15"/>
      <c r="D1221" s="15"/>
      <c r="E1221" s="15"/>
      <c r="F1221" s="15"/>
    </row>
    <row r="1222" spans="1:6" ht="24" customHeight="1">
      <c r="A1222" s="12" t="e">
        <f t="shared" si="12"/>
        <v>#N/A</v>
      </c>
      <c r="B1222" s="15" t="e">
        <f>VLOOKUP(D102,[1]국문!$1:$1048576,16,0)</f>
        <v>#N/A</v>
      </c>
      <c r="C1222" s="15"/>
      <c r="D1222" s="15"/>
      <c r="E1222" s="15"/>
      <c r="F1222" s="15"/>
    </row>
    <row r="1223" spans="1:6" ht="24" customHeight="1">
      <c r="A1223" s="12" t="e">
        <f t="shared" si="12"/>
        <v>#N/A</v>
      </c>
      <c r="B1223" s="15" t="e">
        <f>VLOOKUP(D103,[1]국문!$1:$1048576,16,0)</f>
        <v>#N/A</v>
      </c>
      <c r="C1223" s="15"/>
      <c r="D1223" s="15"/>
      <c r="E1223" s="15"/>
      <c r="F1223" s="15"/>
    </row>
    <row r="1224" spans="1:6" ht="24" customHeight="1">
      <c r="A1224" s="12" t="e">
        <f t="shared" si="12"/>
        <v>#N/A</v>
      </c>
      <c r="B1224" s="15" t="e">
        <f>VLOOKUP(D104,[1]국문!$1:$1048576,16,0)</f>
        <v>#N/A</v>
      </c>
      <c r="C1224" s="15"/>
      <c r="D1224" s="15"/>
      <c r="E1224" s="15"/>
      <c r="F1224" s="15"/>
    </row>
    <row r="1225" spans="1:6" ht="27.75" customHeight="1">
      <c r="A1225" s="12" t="e">
        <f t="shared" si="12"/>
        <v>#N/A</v>
      </c>
      <c r="B1225" s="15" t="e">
        <f>VLOOKUP(D105,[1]국문!$1:$1048576,16,0)</f>
        <v>#N/A</v>
      </c>
      <c r="C1225" s="15"/>
      <c r="D1225" s="15"/>
      <c r="E1225" s="15"/>
      <c r="F1225" s="15"/>
    </row>
    <row r="1226" spans="1:6" ht="24" customHeight="1">
      <c r="A1226" s="12" t="e">
        <f t="shared" si="12"/>
        <v>#N/A</v>
      </c>
      <c r="B1226" s="15" t="e">
        <f>VLOOKUP(D106,[1]국문!$1:$1048576,16,0)</f>
        <v>#N/A</v>
      </c>
      <c r="C1226" s="15"/>
      <c r="D1226" s="15"/>
      <c r="E1226" s="15"/>
      <c r="F1226" s="15"/>
    </row>
    <row r="1227" spans="1:6" ht="24" customHeight="1">
      <c r="A1227" s="12" t="e">
        <f t="shared" si="12"/>
        <v>#N/A</v>
      </c>
      <c r="B1227" s="15" t="e">
        <f>VLOOKUP(D107,[1]국문!$1:$1048576,16,0)</f>
        <v>#N/A</v>
      </c>
      <c r="C1227" s="15"/>
      <c r="D1227" s="15"/>
      <c r="E1227" s="15"/>
      <c r="F1227" s="15"/>
    </row>
    <row r="1228" spans="1:6" ht="24" customHeight="1">
      <c r="A1228" s="12" t="e">
        <f t="shared" si="12"/>
        <v>#N/A</v>
      </c>
      <c r="B1228" s="15" t="e">
        <f>VLOOKUP(D108,[1]국문!$1:$1048576,16,0)</f>
        <v>#N/A</v>
      </c>
      <c r="C1228" s="15"/>
      <c r="D1228" s="15"/>
      <c r="E1228" s="15"/>
      <c r="F1228" s="15"/>
    </row>
    <row r="1229" spans="1:6" ht="24" customHeight="1">
      <c r="A1229" s="12" t="e">
        <f t="shared" si="12"/>
        <v>#N/A</v>
      </c>
      <c r="B1229" s="15" t="e">
        <f>VLOOKUP(D109,[1]국문!$1:$1048576,16,0)</f>
        <v>#N/A</v>
      </c>
      <c r="C1229" s="15"/>
      <c r="D1229" s="15"/>
      <c r="E1229" s="15"/>
      <c r="F1229" s="15"/>
    </row>
    <row r="1230" spans="1:6" ht="24" customHeight="1">
      <c r="A1230" s="12" t="e">
        <f t="shared" si="12"/>
        <v>#N/A</v>
      </c>
      <c r="B1230" s="15" t="e">
        <f>VLOOKUP(D110,[1]국문!$1:$1048576,16,0)</f>
        <v>#N/A</v>
      </c>
      <c r="C1230" s="15"/>
      <c r="D1230" s="15"/>
      <c r="E1230" s="15"/>
      <c r="F1230" s="15"/>
    </row>
    <row r="1231" spans="1:6" ht="24" customHeight="1">
      <c r="A1231" s="12" t="e">
        <f t="shared" si="12"/>
        <v>#N/A</v>
      </c>
      <c r="B1231" s="15" t="e">
        <f>VLOOKUP(D111,[1]국문!$1:$1048576,16,0)</f>
        <v>#N/A</v>
      </c>
      <c r="C1231" s="15"/>
      <c r="D1231" s="15"/>
      <c r="E1231" s="15"/>
      <c r="F1231" s="15"/>
    </row>
    <row r="1232" spans="1:6" ht="24" customHeight="1">
      <c r="A1232" s="12" t="e">
        <f t="shared" si="12"/>
        <v>#N/A</v>
      </c>
      <c r="B1232" s="15" t="e">
        <f>VLOOKUP(D112,[1]국문!$1:$1048576,16,0)</f>
        <v>#N/A</v>
      </c>
      <c r="C1232" s="15"/>
      <c r="D1232" s="15"/>
      <c r="E1232" s="15"/>
      <c r="F1232" s="15"/>
    </row>
    <row r="1233" spans="1:6" ht="24" customHeight="1">
      <c r="A1233" s="12" t="e">
        <f t="shared" si="12"/>
        <v>#N/A</v>
      </c>
      <c r="B1233" s="15" t="e">
        <f>VLOOKUP(D141,[1]국문!$1:$1048576,16,0)</f>
        <v>#N/A</v>
      </c>
      <c r="C1233" s="15"/>
      <c r="D1233" s="15"/>
      <c r="E1233" s="15"/>
      <c r="F1233" s="15"/>
    </row>
    <row r="1234" spans="1:6" ht="18" customHeight="1">
      <c r="A1234" s="12" t="e">
        <f t="shared" si="12"/>
        <v>#N/A</v>
      </c>
      <c r="B1234" s="15" t="e">
        <f>VLOOKUP(D142,[1]국문!$1:$1048576,16,0)</f>
        <v>#N/A</v>
      </c>
      <c r="C1234" s="15"/>
      <c r="D1234" s="15"/>
      <c r="E1234" s="15"/>
      <c r="F1234" s="15"/>
    </row>
    <row r="1235" spans="1:6" ht="18" customHeight="1">
      <c r="A1235" s="12" t="e">
        <f t="shared" si="12"/>
        <v>#N/A</v>
      </c>
      <c r="B1235" s="15" t="e">
        <f>VLOOKUP(D143,[1]국문!$1:$1048576,16,0)</f>
        <v>#N/A</v>
      </c>
      <c r="C1235" s="15"/>
      <c r="D1235" s="15"/>
      <c r="E1235" s="15"/>
      <c r="F1235" s="15"/>
    </row>
    <row r="1236" spans="1:6" ht="18" customHeight="1">
      <c r="A1236" s="12" t="e">
        <f t="shared" si="12"/>
        <v>#N/A</v>
      </c>
      <c r="B1236" s="15" t="e">
        <f>VLOOKUP(D144,[1]국문!$1:$1048576,16,0)</f>
        <v>#N/A</v>
      </c>
      <c r="C1236" s="15"/>
      <c r="D1236" s="15"/>
      <c r="E1236" s="15"/>
      <c r="F1236" s="15"/>
    </row>
    <row r="1237" spans="1:6" ht="18" customHeight="1">
      <c r="A1237" s="12" t="e">
        <f t="shared" si="12"/>
        <v>#N/A</v>
      </c>
      <c r="B1237" s="15" t="e">
        <f>VLOOKUP(D145,[1]국문!$1:$1048576,16,0)</f>
        <v>#N/A</v>
      </c>
      <c r="C1237" s="15"/>
      <c r="D1237" s="15"/>
      <c r="E1237" s="15"/>
      <c r="F1237" s="15"/>
    </row>
    <row r="1238" spans="1:6">
      <c r="A1238" s="12" t="e">
        <f t="shared" si="12"/>
        <v>#N/A</v>
      </c>
      <c r="B1238" s="15" t="e">
        <f>VLOOKUP(D146,[1]국문!$1:$1048576,16,0)</f>
        <v>#N/A</v>
      </c>
      <c r="C1238" s="15"/>
      <c r="D1238" s="15"/>
      <c r="E1238" s="15"/>
      <c r="F1238" s="15"/>
    </row>
    <row r="1239" spans="1:6" ht="24" customHeight="1">
      <c r="A1239" s="12" t="e">
        <f t="shared" si="12"/>
        <v>#N/A</v>
      </c>
      <c r="B1239" s="15" t="e">
        <f>VLOOKUP(D147,[1]국문!$1:$1048576,16,0)</f>
        <v>#N/A</v>
      </c>
      <c r="C1239" s="15"/>
      <c r="D1239" s="15"/>
      <c r="E1239" s="15"/>
      <c r="F1239" s="15"/>
    </row>
    <row r="1240" spans="1:6" ht="18" customHeight="1">
      <c r="A1240" s="12" t="e">
        <f t="shared" si="12"/>
        <v>#N/A</v>
      </c>
      <c r="B1240" s="15" t="e">
        <f>VLOOKUP(D148,[1]국문!$1:$1048576,16,0)</f>
        <v>#N/A</v>
      </c>
      <c r="C1240" s="15"/>
      <c r="D1240" s="15"/>
      <c r="E1240" s="15"/>
      <c r="F1240" s="15"/>
    </row>
    <row r="1241" spans="1:6" ht="15" customHeight="1">
      <c r="A1241" s="12" t="e">
        <f t="shared" si="12"/>
        <v>#N/A</v>
      </c>
      <c r="B1241" s="15" t="e">
        <f>VLOOKUP(D149,[1]국문!$1:$1048576,16,0)</f>
        <v>#N/A</v>
      </c>
      <c r="C1241" s="15"/>
      <c r="D1241" s="15"/>
      <c r="E1241" s="15"/>
      <c r="F1241" s="15"/>
    </row>
    <row r="1242" spans="1:6">
      <c r="A1242" s="12" t="e">
        <f t="shared" si="12"/>
        <v>#N/A</v>
      </c>
      <c r="B1242" s="15" t="e">
        <f>VLOOKUP(D150,[1]국문!$1:$1048576,16,0)</f>
        <v>#N/A</v>
      </c>
      <c r="C1242" s="15"/>
      <c r="D1242" s="15"/>
      <c r="E1242" s="15"/>
      <c r="F1242" s="15"/>
    </row>
    <row r="1243" spans="1:6">
      <c r="A1243" s="12" t="e">
        <f t="shared" si="12"/>
        <v>#N/A</v>
      </c>
      <c r="B1243" s="15" t="e">
        <f>VLOOKUP(D151,[1]국문!$1:$1048576,16,0)</f>
        <v>#N/A</v>
      </c>
      <c r="C1243" s="15"/>
      <c r="D1243" s="15"/>
      <c r="E1243" s="15"/>
      <c r="F1243" s="15"/>
    </row>
    <row r="1244" spans="1:6">
      <c r="A1244" s="12" t="e">
        <f t="shared" si="12"/>
        <v>#N/A</v>
      </c>
      <c r="B1244" s="15" t="e">
        <f>VLOOKUP(D152,[1]국문!$1:$1048576,16,0)</f>
        <v>#N/A</v>
      </c>
      <c r="C1244" s="15"/>
      <c r="D1244" s="15"/>
      <c r="E1244" s="15"/>
      <c r="F1244" s="15"/>
    </row>
    <row r="1245" spans="1:6">
      <c r="A1245" s="12" t="e">
        <f t="shared" si="12"/>
        <v>#N/A</v>
      </c>
      <c r="B1245" s="15" t="e">
        <f>VLOOKUP(D153,[1]국문!$1:$1048576,16,0)</f>
        <v>#N/A</v>
      </c>
      <c r="C1245" s="15"/>
      <c r="D1245" s="15"/>
      <c r="E1245" s="15"/>
      <c r="F1245" s="15"/>
    </row>
    <row r="1246" spans="1:6" ht="18" customHeight="1">
      <c r="A1246" s="12" t="e">
        <f t="shared" si="12"/>
        <v>#N/A</v>
      </c>
      <c r="B1246" s="15" t="e">
        <f>VLOOKUP(D154,[1]국문!$1:$1048576,16,0)</f>
        <v>#N/A</v>
      </c>
      <c r="C1246" s="15"/>
      <c r="D1246" s="15"/>
      <c r="E1246" s="15"/>
      <c r="F1246" s="15"/>
    </row>
    <row r="1247" spans="1:6" ht="18" customHeight="1">
      <c r="A1247" s="12" t="e">
        <f t="shared" si="12"/>
        <v>#N/A</v>
      </c>
      <c r="B1247" s="15" t="e">
        <f>VLOOKUP(D155,[1]국문!$1:$1048576,16,0)</f>
        <v>#N/A</v>
      </c>
      <c r="C1247" s="15"/>
      <c r="D1247" s="15"/>
      <c r="E1247" s="15"/>
      <c r="F1247" s="15"/>
    </row>
    <row r="1248" spans="1:6" ht="18" customHeight="1">
      <c r="A1248" s="12" t="e">
        <f t="shared" si="12"/>
        <v>#N/A</v>
      </c>
      <c r="B1248" s="15" t="e">
        <f>VLOOKUP(D156,[1]국문!$1:$1048576,16,0)</f>
        <v>#N/A</v>
      </c>
      <c r="C1248" s="15"/>
      <c r="D1248" s="15"/>
      <c r="E1248" s="15"/>
      <c r="F1248" s="15"/>
    </row>
    <row r="1249" spans="1:6" ht="18" customHeight="1">
      <c r="A1249" s="12" t="e">
        <f t="shared" si="12"/>
        <v>#N/A</v>
      </c>
      <c r="B1249" s="15" t="e">
        <f>VLOOKUP(D157,[1]국문!$1:$1048576,16,0)</f>
        <v>#N/A</v>
      </c>
      <c r="C1249" s="15"/>
      <c r="D1249" s="15"/>
      <c r="E1249" s="15"/>
      <c r="F1249" s="15"/>
    </row>
    <row r="1250" spans="1:6" ht="18" customHeight="1">
      <c r="A1250" s="12" t="e">
        <f t="shared" si="12"/>
        <v>#N/A</v>
      </c>
      <c r="B1250" s="15" t="e">
        <f>VLOOKUP(D158,[1]국문!$1:$1048576,16,0)</f>
        <v>#N/A</v>
      </c>
      <c r="C1250" s="15"/>
      <c r="D1250" s="15"/>
      <c r="E1250" s="15"/>
      <c r="F1250" s="15"/>
    </row>
    <row r="1251" spans="1:6" ht="18" customHeight="1">
      <c r="A1251" s="12" t="e">
        <f t="shared" si="12"/>
        <v>#N/A</v>
      </c>
      <c r="B1251" s="15" t="e">
        <f>VLOOKUP(D159,[1]국문!$1:$1048576,16,0)</f>
        <v>#N/A</v>
      </c>
      <c r="C1251" s="15"/>
      <c r="D1251" s="15"/>
      <c r="E1251" s="15"/>
      <c r="F1251" s="15"/>
    </row>
    <row r="1252" spans="1:6" ht="18" customHeight="1">
      <c r="A1252" s="12" t="e">
        <f t="shared" si="12"/>
        <v>#N/A</v>
      </c>
      <c r="B1252" s="15" t="e">
        <f>VLOOKUP(D160,[1]국문!$1:$1048576,16,0)</f>
        <v>#N/A</v>
      </c>
      <c r="C1252" s="15"/>
      <c r="D1252" s="15"/>
      <c r="E1252" s="15"/>
      <c r="F1252" s="15"/>
    </row>
    <row r="1253" spans="1:6" ht="18" customHeight="1">
      <c r="A1253" s="12" t="e">
        <f t="shared" si="12"/>
        <v>#N/A</v>
      </c>
      <c r="B1253" s="15" t="e">
        <f>VLOOKUP(D161,[1]국문!$1:$1048576,16,0)</f>
        <v>#N/A</v>
      </c>
      <c r="C1253" s="15"/>
      <c r="D1253" s="15"/>
      <c r="E1253" s="15"/>
      <c r="F1253" s="15"/>
    </row>
    <row r="1254" spans="1:6" ht="24" customHeight="1">
      <c r="A1254" s="12" t="e">
        <f t="shared" si="12"/>
        <v>#N/A</v>
      </c>
      <c r="B1254" s="15" t="e">
        <f>VLOOKUP(D134,[1]국문!$1:$1048576,16,0)</f>
        <v>#N/A</v>
      </c>
      <c r="C1254" s="15"/>
      <c r="D1254" s="15"/>
      <c r="E1254" s="15"/>
      <c r="F1254" s="15"/>
    </row>
    <row r="1255" spans="1:6" ht="24" customHeight="1">
      <c r="A1255" s="12" t="e">
        <f t="shared" si="12"/>
        <v>#N/A</v>
      </c>
      <c r="B1255" s="15" t="e">
        <f>VLOOKUP(D135,[1]국문!$1:$1048576,16,0)</f>
        <v>#N/A</v>
      </c>
      <c r="C1255" s="15"/>
      <c r="D1255" s="15"/>
      <c r="E1255" s="15"/>
      <c r="F1255" s="15"/>
    </row>
    <row r="1256" spans="1:6" ht="24" customHeight="1">
      <c r="A1256" s="12" t="e">
        <f t="shared" si="12"/>
        <v>#N/A</v>
      </c>
      <c r="B1256" s="15" t="e">
        <f>VLOOKUP(D136,[1]국문!$1:$1048576,16,0)</f>
        <v>#N/A</v>
      </c>
      <c r="C1256" s="15"/>
      <c r="D1256" s="15"/>
      <c r="E1256" s="15"/>
      <c r="F1256" s="15"/>
    </row>
    <row r="1257" spans="1:6" ht="24" customHeight="1">
      <c r="A1257" s="12" t="e">
        <f t="shared" si="12"/>
        <v>#N/A</v>
      </c>
      <c r="B1257" s="15" t="e">
        <f>VLOOKUP(D137,[1]국문!$1:$1048576,16,0)</f>
        <v>#N/A</v>
      </c>
      <c r="C1257" s="15"/>
      <c r="D1257" s="15"/>
      <c r="E1257" s="15"/>
      <c r="F1257" s="15"/>
    </row>
    <row r="1258" spans="1:6" ht="24" customHeight="1">
      <c r="A1258" s="12" t="e">
        <f t="shared" si="12"/>
        <v>#N/A</v>
      </c>
      <c r="B1258" s="15" t="e">
        <f>VLOOKUP(D138,[1]국문!$1:$1048576,16,0)</f>
        <v>#N/A</v>
      </c>
      <c r="C1258" s="15"/>
      <c r="D1258" s="15"/>
      <c r="E1258" s="15"/>
      <c r="F1258" s="15"/>
    </row>
    <row r="1259" spans="1:6" ht="24" customHeight="1">
      <c r="A1259" s="12" t="e">
        <f t="shared" si="12"/>
        <v>#N/A</v>
      </c>
      <c r="B1259" s="15" t="e">
        <f>VLOOKUP(D139,[1]국문!$1:$1048576,16,0)</f>
        <v>#N/A</v>
      </c>
      <c r="C1259" s="15"/>
      <c r="D1259" s="15"/>
      <c r="E1259" s="15"/>
      <c r="F1259" s="15"/>
    </row>
    <row r="1260" spans="1:6" ht="24" customHeight="1">
      <c r="A1260" s="12" t="e">
        <f t="shared" si="12"/>
        <v>#N/A</v>
      </c>
      <c r="B1260" s="15" t="e">
        <f>VLOOKUP(D140,[1]국문!$1:$1048576,16,0)</f>
        <v>#N/A</v>
      </c>
      <c r="C1260" s="15"/>
      <c r="D1260" s="15"/>
      <c r="E1260" s="15"/>
      <c r="F1260" s="15"/>
    </row>
    <row r="1261" spans="1:6" ht="27.75" customHeight="1">
      <c r="A1261" s="12" t="e">
        <f t="shared" si="12"/>
        <v>#N/A</v>
      </c>
      <c r="B1261" s="15" t="e">
        <f>VLOOKUP(D141,[1]국문!$1:$1048576,16,0)</f>
        <v>#N/A</v>
      </c>
      <c r="C1261" s="15"/>
      <c r="D1261" s="15"/>
      <c r="E1261" s="15"/>
      <c r="F1261" s="15"/>
    </row>
    <row r="1262" spans="1:6" ht="24" customHeight="1">
      <c r="A1262" s="12" t="e">
        <f t="shared" si="12"/>
        <v>#N/A</v>
      </c>
      <c r="B1262" s="15" t="e">
        <f>VLOOKUP(D142,[1]국문!$1:$1048576,16,0)</f>
        <v>#N/A</v>
      </c>
      <c r="C1262" s="15"/>
      <c r="D1262" s="15"/>
      <c r="E1262" s="15"/>
      <c r="F1262" s="15"/>
    </row>
    <row r="1263" spans="1:6" ht="24" customHeight="1">
      <c r="A1263" s="12" t="e">
        <f t="shared" si="12"/>
        <v>#N/A</v>
      </c>
      <c r="B1263" s="15" t="e">
        <f>VLOOKUP(D143,[1]국문!$1:$1048576,16,0)</f>
        <v>#N/A</v>
      </c>
      <c r="C1263" s="15"/>
      <c r="D1263" s="15"/>
      <c r="E1263" s="15"/>
      <c r="F1263" s="15"/>
    </row>
    <row r="1264" spans="1:6" ht="24" customHeight="1">
      <c r="A1264" s="12" t="e">
        <f t="shared" si="12"/>
        <v>#N/A</v>
      </c>
      <c r="B1264" s="15" t="e">
        <f>VLOOKUP(D144,[1]국문!$1:$1048576,16,0)</f>
        <v>#N/A</v>
      </c>
      <c r="C1264" s="15"/>
      <c r="D1264" s="15"/>
      <c r="E1264" s="15"/>
      <c r="F1264" s="15"/>
    </row>
    <row r="1265" spans="1:6" ht="24" customHeight="1">
      <c r="A1265" s="12" t="e">
        <f t="shared" si="12"/>
        <v>#N/A</v>
      </c>
      <c r="B1265" s="15" t="e">
        <f>VLOOKUP(D145,[1]국문!$1:$1048576,16,0)</f>
        <v>#N/A</v>
      </c>
      <c r="C1265" s="15"/>
      <c r="D1265" s="15"/>
      <c r="E1265" s="15"/>
      <c r="F1265" s="15"/>
    </row>
    <row r="1266" spans="1:6" ht="24" customHeight="1">
      <c r="A1266" s="12" t="e">
        <f t="shared" si="12"/>
        <v>#N/A</v>
      </c>
      <c r="B1266" s="15" t="e">
        <f>VLOOKUP(D146,[1]국문!$1:$1048576,16,0)</f>
        <v>#N/A</v>
      </c>
      <c r="C1266" s="15"/>
      <c r="D1266" s="15"/>
      <c r="E1266" s="15"/>
      <c r="F1266" s="15"/>
    </row>
    <row r="1267" spans="1:6" ht="24" customHeight="1">
      <c r="A1267" s="12" t="e">
        <f t="shared" si="12"/>
        <v>#N/A</v>
      </c>
      <c r="B1267" s="15" t="e">
        <f>VLOOKUP(D147,[1]국문!$1:$1048576,16,0)</f>
        <v>#N/A</v>
      </c>
      <c r="C1267" s="15"/>
      <c r="D1267" s="15"/>
      <c r="E1267" s="15"/>
      <c r="F1267" s="15"/>
    </row>
    <row r="1268" spans="1:6" ht="24" customHeight="1">
      <c r="A1268" s="12" t="e">
        <f t="shared" si="12"/>
        <v>#N/A</v>
      </c>
      <c r="B1268" s="15" t="e">
        <f>VLOOKUP(D148,[1]국문!$1:$1048576,16,0)</f>
        <v>#N/A</v>
      </c>
      <c r="C1268" s="15"/>
      <c r="D1268" s="15"/>
      <c r="E1268" s="15"/>
      <c r="F1268" s="15"/>
    </row>
    <row r="1269" spans="1:6" ht="24" customHeight="1">
      <c r="A1269" s="12" t="e">
        <f t="shared" si="12"/>
        <v>#N/A</v>
      </c>
      <c r="B1269" s="15" t="e">
        <f>VLOOKUP(D177,[1]국문!$1:$1048576,16,0)</f>
        <v>#N/A</v>
      </c>
      <c r="C1269" s="15"/>
      <c r="D1269" s="15"/>
      <c r="E1269" s="15"/>
      <c r="F1269" s="15"/>
    </row>
    <row r="1270" spans="1:6" ht="18" customHeight="1">
      <c r="A1270" s="12" t="e">
        <f t="shared" si="12"/>
        <v>#N/A</v>
      </c>
      <c r="B1270" s="15" t="e">
        <f>VLOOKUP(D178,[1]국문!$1:$1048576,16,0)</f>
        <v>#N/A</v>
      </c>
      <c r="C1270" s="15"/>
      <c r="D1270" s="15"/>
      <c r="E1270" s="15"/>
      <c r="F1270" s="15"/>
    </row>
    <row r="1271" spans="1:6" ht="18" customHeight="1">
      <c r="A1271" s="12" t="e">
        <f t="shared" si="12"/>
        <v>#N/A</v>
      </c>
      <c r="B1271" s="15" t="e">
        <f>VLOOKUP(D179,[1]국문!$1:$1048576,16,0)</f>
        <v>#N/A</v>
      </c>
      <c r="C1271" s="15"/>
      <c r="D1271" s="15"/>
      <c r="E1271" s="15"/>
      <c r="F1271" s="15"/>
    </row>
    <row r="1272" spans="1:6" ht="18" customHeight="1">
      <c r="A1272" s="12" t="e">
        <f t="shared" si="12"/>
        <v>#N/A</v>
      </c>
      <c r="B1272" s="15" t="e">
        <f>VLOOKUP(D180,[1]국문!$1:$1048576,16,0)</f>
        <v>#N/A</v>
      </c>
      <c r="C1272" s="15"/>
      <c r="D1272" s="15"/>
      <c r="E1272" s="15"/>
      <c r="F1272" s="15"/>
    </row>
    <row r="1273" spans="1:6" ht="18" customHeight="1">
      <c r="A1273" s="12" t="e">
        <f t="shared" si="12"/>
        <v>#N/A</v>
      </c>
      <c r="B1273" s="15" t="e">
        <f>VLOOKUP(D181,[1]국문!$1:$1048576,16,0)</f>
        <v>#N/A</v>
      </c>
      <c r="C1273" s="15"/>
      <c r="D1273" s="15"/>
      <c r="E1273" s="15"/>
      <c r="F1273" s="15"/>
    </row>
    <row r="1274" spans="1:6" ht="24" customHeight="1">
      <c r="A1274" s="12" t="e">
        <f t="shared" si="12"/>
        <v>#N/A</v>
      </c>
      <c r="B1274" s="15" t="e">
        <f>VLOOKUP(D154,[1]국문!$1:$1048576,16,0)</f>
        <v>#N/A</v>
      </c>
      <c r="C1274" s="15"/>
      <c r="D1274" s="15"/>
      <c r="E1274" s="15"/>
      <c r="F1274" s="15"/>
    </row>
    <row r="1275" spans="1:6" ht="24" customHeight="1">
      <c r="A1275" s="12" t="e">
        <f t="shared" si="12"/>
        <v>#N/A</v>
      </c>
      <c r="B1275" s="15" t="e">
        <f>VLOOKUP(D155,[1]국문!$1:$1048576,16,0)</f>
        <v>#N/A</v>
      </c>
      <c r="C1275" s="15"/>
      <c r="D1275" s="15"/>
      <c r="E1275" s="15"/>
      <c r="F1275" s="15"/>
    </row>
    <row r="1276" spans="1:6" ht="24" customHeight="1">
      <c r="A1276" s="12" t="e">
        <f t="shared" si="12"/>
        <v>#N/A</v>
      </c>
      <c r="B1276" s="15" t="e">
        <f>VLOOKUP(D156,[1]국문!$1:$1048576,16,0)</f>
        <v>#N/A</v>
      </c>
      <c r="C1276" s="15"/>
      <c r="D1276" s="15"/>
      <c r="E1276" s="15"/>
      <c r="F1276" s="15"/>
    </row>
    <row r="1277" spans="1:6" ht="24" customHeight="1">
      <c r="A1277" s="12" t="e">
        <f t="shared" si="12"/>
        <v>#N/A</v>
      </c>
      <c r="B1277" s="15" t="e">
        <f>VLOOKUP(D157,[1]국문!$1:$1048576,16,0)</f>
        <v>#N/A</v>
      </c>
      <c r="C1277" s="15"/>
      <c r="D1277" s="15"/>
      <c r="E1277" s="15"/>
      <c r="F1277" s="15"/>
    </row>
    <row r="1278" spans="1:6" ht="24" customHeight="1">
      <c r="A1278" s="12" t="e">
        <f t="shared" si="12"/>
        <v>#N/A</v>
      </c>
      <c r="B1278" s="15" t="e">
        <f>VLOOKUP(D158,[1]국문!$1:$1048576,16,0)</f>
        <v>#N/A</v>
      </c>
      <c r="C1278" s="15"/>
      <c r="D1278" s="15"/>
      <c r="E1278" s="15"/>
      <c r="F1278" s="15"/>
    </row>
    <row r="1279" spans="1:6" ht="24" customHeight="1">
      <c r="A1279" s="12" t="e">
        <f t="shared" si="12"/>
        <v>#N/A</v>
      </c>
      <c r="B1279" s="15" t="e">
        <f>VLOOKUP(D159,[1]국문!$1:$1048576,16,0)</f>
        <v>#N/A</v>
      </c>
      <c r="C1279" s="15"/>
      <c r="D1279" s="15"/>
      <c r="E1279" s="15"/>
      <c r="F1279" s="15"/>
    </row>
    <row r="1280" spans="1:6" ht="24" customHeight="1">
      <c r="A1280" s="12" t="e">
        <f t="shared" si="12"/>
        <v>#N/A</v>
      </c>
      <c r="B1280" s="15" t="e">
        <f>VLOOKUP(D160,[1]국문!$1:$1048576,16,0)</f>
        <v>#N/A</v>
      </c>
      <c r="C1280" s="15"/>
      <c r="D1280" s="15"/>
      <c r="E1280" s="15"/>
      <c r="F1280" s="15"/>
    </row>
    <row r="1281" spans="1:6" ht="27.75" customHeight="1">
      <c r="A1281" s="12" t="e">
        <f t="shared" si="12"/>
        <v>#N/A</v>
      </c>
      <c r="B1281" s="15" t="e">
        <f>VLOOKUP(D161,[1]국문!$1:$1048576,16,0)</f>
        <v>#N/A</v>
      </c>
      <c r="C1281" s="15"/>
      <c r="D1281" s="15"/>
      <c r="E1281" s="15"/>
      <c r="F1281" s="15"/>
    </row>
    <row r="1282" spans="1:6" ht="24" customHeight="1">
      <c r="A1282" s="12" t="e">
        <f t="shared" si="12"/>
        <v>#N/A</v>
      </c>
      <c r="B1282" s="15" t="e">
        <f>VLOOKUP(D162,[1]국문!$1:$1048576,16,0)</f>
        <v>#N/A</v>
      </c>
      <c r="C1282" s="15"/>
      <c r="D1282" s="15"/>
      <c r="E1282" s="15"/>
      <c r="F1282" s="15"/>
    </row>
    <row r="1283" spans="1:6" ht="24" customHeight="1">
      <c r="A1283" s="12" t="e">
        <f t="shared" ref="A1283:A1346" si="13">A198</f>
        <v>#N/A</v>
      </c>
      <c r="B1283" s="15" t="e">
        <f>VLOOKUP(D163,[1]국문!$1:$1048576,16,0)</f>
        <v>#N/A</v>
      </c>
      <c r="C1283" s="15"/>
      <c r="D1283" s="15"/>
      <c r="E1283" s="15"/>
      <c r="F1283" s="15"/>
    </row>
    <row r="1284" spans="1:6" ht="24" customHeight="1">
      <c r="A1284" s="12" t="e">
        <f t="shared" si="13"/>
        <v>#N/A</v>
      </c>
      <c r="B1284" s="15" t="e">
        <f>VLOOKUP(D164,[1]국문!$1:$1048576,16,0)</f>
        <v>#N/A</v>
      </c>
      <c r="C1284" s="15"/>
      <c r="D1284" s="15"/>
      <c r="E1284" s="15"/>
      <c r="F1284" s="15"/>
    </row>
    <row r="1285" spans="1:6" ht="24" customHeight="1">
      <c r="A1285" s="12" t="e">
        <f t="shared" si="13"/>
        <v>#N/A</v>
      </c>
      <c r="B1285" s="15" t="e">
        <f>VLOOKUP(D165,[1]국문!$1:$1048576,16,0)</f>
        <v>#N/A</v>
      </c>
      <c r="C1285" s="15"/>
      <c r="D1285" s="15"/>
      <c r="E1285" s="15"/>
      <c r="F1285" s="15"/>
    </row>
    <row r="1286" spans="1:6" ht="24" customHeight="1">
      <c r="A1286" s="12" t="e">
        <f t="shared" si="13"/>
        <v>#N/A</v>
      </c>
      <c r="B1286" s="15" t="e">
        <f>VLOOKUP(D166,[1]국문!$1:$1048576,16,0)</f>
        <v>#N/A</v>
      </c>
      <c r="C1286" s="15"/>
      <c r="D1286" s="15"/>
      <c r="E1286" s="15"/>
      <c r="F1286" s="15"/>
    </row>
    <row r="1287" spans="1:6" ht="24" customHeight="1">
      <c r="A1287" s="12" t="e">
        <f t="shared" si="13"/>
        <v>#N/A</v>
      </c>
      <c r="B1287" s="15" t="e">
        <f>VLOOKUP(D167,[1]국문!$1:$1048576,16,0)</f>
        <v>#N/A</v>
      </c>
      <c r="C1287" s="15"/>
      <c r="D1287" s="15"/>
      <c r="E1287" s="15"/>
      <c r="F1287" s="15"/>
    </row>
    <row r="1288" spans="1:6" ht="24" customHeight="1">
      <c r="A1288" s="12" t="e">
        <f t="shared" si="13"/>
        <v>#N/A</v>
      </c>
      <c r="B1288" s="15" t="e">
        <f>VLOOKUP(D168,[1]국문!$1:$1048576,16,0)</f>
        <v>#N/A</v>
      </c>
      <c r="C1288" s="15"/>
      <c r="D1288" s="15"/>
      <c r="E1288" s="15"/>
      <c r="F1288" s="15"/>
    </row>
    <row r="1289" spans="1:6" ht="24" customHeight="1">
      <c r="A1289" s="12" t="e">
        <f t="shared" si="13"/>
        <v>#N/A</v>
      </c>
      <c r="B1289" s="15" t="e">
        <f>VLOOKUP(D197,[1]국문!$1:$1048576,16,0)</f>
        <v>#N/A</v>
      </c>
      <c r="C1289" s="15"/>
      <c r="D1289" s="15"/>
      <c r="E1289" s="15"/>
      <c r="F1289" s="15"/>
    </row>
    <row r="1290" spans="1:6" ht="18" customHeight="1">
      <c r="A1290" s="12" t="e">
        <f t="shared" si="13"/>
        <v>#N/A</v>
      </c>
      <c r="B1290" s="15" t="e">
        <f>VLOOKUP(D198,[1]국문!$1:$1048576,16,0)</f>
        <v>#N/A</v>
      </c>
      <c r="C1290" s="15"/>
      <c r="D1290" s="15"/>
      <c r="E1290" s="15"/>
      <c r="F1290" s="15"/>
    </row>
    <row r="1291" spans="1:6" ht="18" customHeight="1">
      <c r="A1291" s="12" t="e">
        <f t="shared" si="13"/>
        <v>#N/A</v>
      </c>
      <c r="B1291" s="15" t="e">
        <f>VLOOKUP(D199,[1]국문!$1:$1048576,16,0)</f>
        <v>#N/A</v>
      </c>
      <c r="C1291" s="15"/>
      <c r="D1291" s="15"/>
      <c r="E1291" s="15"/>
      <c r="F1291" s="15"/>
    </row>
    <row r="1292" spans="1:6" ht="18" customHeight="1">
      <c r="A1292" s="12" t="e">
        <f t="shared" si="13"/>
        <v>#N/A</v>
      </c>
      <c r="B1292" s="15" t="e">
        <f>VLOOKUP(D200,[1]국문!$1:$1048576,16,0)</f>
        <v>#N/A</v>
      </c>
      <c r="C1292" s="15"/>
      <c r="D1292" s="15"/>
      <c r="E1292" s="15"/>
      <c r="F1292" s="15"/>
    </row>
    <row r="1293" spans="1:6" ht="18" customHeight="1">
      <c r="A1293" s="12" t="e">
        <f t="shared" si="13"/>
        <v>#N/A</v>
      </c>
      <c r="B1293" s="15" t="e">
        <f>VLOOKUP(D201,[1]국문!$1:$1048576,16,0)</f>
        <v>#N/A</v>
      </c>
      <c r="C1293" s="15"/>
      <c r="D1293" s="15"/>
      <c r="E1293" s="15"/>
      <c r="F1293" s="15"/>
    </row>
    <row r="1294" spans="1:6">
      <c r="A1294" s="12" t="e">
        <f t="shared" si="13"/>
        <v>#N/A</v>
      </c>
      <c r="B1294" s="15" t="e">
        <f>VLOOKUP(D202,[1]국문!$1:$1048576,16,0)</f>
        <v>#N/A</v>
      </c>
      <c r="C1294" s="15"/>
      <c r="D1294" s="15"/>
      <c r="E1294" s="15"/>
      <c r="F1294" s="15"/>
    </row>
    <row r="1295" spans="1:6" ht="24" customHeight="1">
      <c r="A1295" s="12" t="e">
        <f t="shared" si="13"/>
        <v>#N/A</v>
      </c>
      <c r="B1295" s="15" t="e">
        <f>VLOOKUP(D203,[1]국문!$1:$1048576,16,0)</f>
        <v>#N/A</v>
      </c>
      <c r="C1295" s="15"/>
      <c r="D1295" s="15"/>
      <c r="E1295" s="15"/>
      <c r="F1295" s="15"/>
    </row>
    <row r="1296" spans="1:6" ht="18" customHeight="1">
      <c r="A1296" s="12" t="e">
        <f t="shared" si="13"/>
        <v>#N/A</v>
      </c>
      <c r="B1296" s="15" t="e">
        <f>VLOOKUP(D204,[1]국문!$1:$1048576,16,0)</f>
        <v>#N/A</v>
      </c>
      <c r="C1296" s="15"/>
      <c r="D1296" s="15"/>
      <c r="E1296" s="15"/>
      <c r="F1296" s="15"/>
    </row>
    <row r="1297" spans="1:6" ht="15" customHeight="1">
      <c r="A1297" s="12" t="e">
        <f t="shared" si="13"/>
        <v>#N/A</v>
      </c>
      <c r="B1297" s="15" t="e">
        <f>VLOOKUP(D205,[1]국문!$1:$1048576,16,0)</f>
        <v>#N/A</v>
      </c>
      <c r="C1297" s="15"/>
      <c r="D1297" s="15"/>
      <c r="E1297" s="15"/>
      <c r="F1297" s="15"/>
    </row>
    <row r="1298" spans="1:6">
      <c r="A1298" s="12" t="e">
        <f t="shared" si="13"/>
        <v>#N/A</v>
      </c>
      <c r="B1298" s="15" t="e">
        <f>VLOOKUP(D206,[1]국문!$1:$1048576,16,0)</f>
        <v>#N/A</v>
      </c>
      <c r="C1298" s="15"/>
      <c r="D1298" s="15"/>
      <c r="E1298" s="15"/>
      <c r="F1298" s="15"/>
    </row>
    <row r="1299" spans="1:6">
      <c r="A1299" s="12" t="e">
        <f t="shared" si="13"/>
        <v>#N/A</v>
      </c>
      <c r="B1299" s="15" t="e">
        <f>VLOOKUP(D207,[1]국문!$1:$1048576,16,0)</f>
        <v>#N/A</v>
      </c>
      <c r="C1299" s="15"/>
      <c r="D1299" s="15"/>
      <c r="E1299" s="15"/>
      <c r="F1299" s="15"/>
    </row>
    <row r="1300" spans="1:6">
      <c r="A1300" s="12" t="e">
        <f t="shared" si="13"/>
        <v>#N/A</v>
      </c>
      <c r="B1300" s="15" t="e">
        <f>VLOOKUP(D208,[1]국문!$1:$1048576,16,0)</f>
        <v>#N/A</v>
      </c>
      <c r="C1300" s="15"/>
      <c r="D1300" s="15"/>
      <c r="E1300" s="15"/>
      <c r="F1300" s="15"/>
    </row>
    <row r="1301" spans="1:6">
      <c r="A1301" s="12" t="e">
        <f t="shared" si="13"/>
        <v>#N/A</v>
      </c>
      <c r="B1301" s="15" t="e">
        <f>VLOOKUP(D209,[1]국문!$1:$1048576,16,0)</f>
        <v>#N/A</v>
      </c>
      <c r="C1301" s="15"/>
      <c r="D1301" s="15"/>
      <c r="E1301" s="15"/>
      <c r="F1301" s="15"/>
    </row>
    <row r="1302" spans="1:6" ht="18" customHeight="1">
      <c r="A1302" s="12" t="e">
        <f t="shared" si="13"/>
        <v>#N/A</v>
      </c>
      <c r="B1302" s="15" t="e">
        <f>VLOOKUP(D210,[1]국문!$1:$1048576,16,0)</f>
        <v>#N/A</v>
      </c>
      <c r="C1302" s="15"/>
      <c r="D1302" s="15"/>
      <c r="E1302" s="15"/>
      <c r="F1302" s="15"/>
    </row>
    <row r="1303" spans="1:6" ht="18" customHeight="1">
      <c r="A1303" s="12" t="e">
        <f t="shared" si="13"/>
        <v>#N/A</v>
      </c>
      <c r="B1303" s="15" t="e">
        <f>VLOOKUP(D211,[1]국문!$1:$1048576,16,0)</f>
        <v>#N/A</v>
      </c>
      <c r="C1303" s="15"/>
      <c r="D1303" s="15"/>
      <c r="E1303" s="15"/>
      <c r="F1303" s="15"/>
    </row>
    <row r="1304" spans="1:6" ht="18" customHeight="1">
      <c r="A1304" s="12" t="e">
        <f t="shared" si="13"/>
        <v>#N/A</v>
      </c>
      <c r="B1304" s="15" t="e">
        <f>VLOOKUP(D212,[1]국문!$1:$1048576,16,0)</f>
        <v>#N/A</v>
      </c>
      <c r="C1304" s="15"/>
      <c r="D1304" s="15"/>
      <c r="E1304" s="15"/>
      <c r="F1304" s="15"/>
    </row>
    <row r="1305" spans="1:6" ht="18" customHeight="1">
      <c r="A1305" s="12" t="e">
        <f t="shared" si="13"/>
        <v>#N/A</v>
      </c>
      <c r="B1305" s="15" t="e">
        <f>VLOOKUP(D213,[1]국문!$1:$1048576,16,0)</f>
        <v>#N/A</v>
      </c>
      <c r="C1305" s="15"/>
      <c r="D1305" s="15"/>
      <c r="E1305" s="15"/>
      <c r="F1305" s="15"/>
    </row>
    <row r="1306" spans="1:6" ht="18" customHeight="1">
      <c r="A1306" s="12" t="e">
        <f t="shared" si="13"/>
        <v>#N/A</v>
      </c>
      <c r="B1306" s="15" t="e">
        <f>VLOOKUP(D214,[1]국문!$1:$1048576,16,0)</f>
        <v>#N/A</v>
      </c>
      <c r="C1306" s="15"/>
      <c r="D1306" s="15"/>
      <c r="E1306" s="15"/>
      <c r="F1306" s="15"/>
    </row>
    <row r="1307" spans="1:6" ht="18" customHeight="1">
      <c r="A1307" s="12" t="e">
        <f t="shared" si="13"/>
        <v>#N/A</v>
      </c>
      <c r="B1307" s="15" t="e">
        <f>VLOOKUP(D215,[1]국문!$1:$1048576,16,0)</f>
        <v>#N/A</v>
      </c>
      <c r="C1307" s="15"/>
      <c r="D1307" s="15"/>
      <c r="E1307" s="15"/>
      <c r="F1307" s="15"/>
    </row>
    <row r="1308" spans="1:6" ht="18" customHeight="1">
      <c r="A1308" s="12" t="e">
        <f t="shared" si="13"/>
        <v>#N/A</v>
      </c>
      <c r="B1308" s="15" t="e">
        <f>VLOOKUP(D216,[1]국문!$1:$1048576,16,0)</f>
        <v>#N/A</v>
      </c>
      <c r="C1308" s="15"/>
      <c r="D1308" s="15"/>
      <c r="E1308" s="15"/>
      <c r="F1308" s="15"/>
    </row>
    <row r="1309" spans="1:6" ht="18" customHeight="1">
      <c r="A1309" s="12" t="e">
        <f t="shared" si="13"/>
        <v>#N/A</v>
      </c>
      <c r="B1309" s="15" t="e">
        <f>VLOOKUP(D217,[1]국문!$1:$1048576,16,0)</f>
        <v>#N/A</v>
      </c>
      <c r="C1309" s="15"/>
      <c r="D1309" s="15"/>
      <c r="E1309" s="15"/>
      <c r="F1309" s="15"/>
    </row>
    <row r="1310" spans="1:6" ht="24" customHeight="1">
      <c r="A1310" s="12" t="e">
        <f t="shared" si="13"/>
        <v>#N/A</v>
      </c>
      <c r="B1310" s="15" t="e">
        <f>VLOOKUP(D190,[1]국문!$1:$1048576,16,0)</f>
        <v>#N/A</v>
      </c>
      <c r="C1310" s="15"/>
      <c r="D1310" s="15"/>
      <c r="E1310" s="15"/>
      <c r="F1310" s="15"/>
    </row>
    <row r="1311" spans="1:6" ht="24" customHeight="1">
      <c r="A1311" s="12" t="e">
        <f t="shared" si="13"/>
        <v>#N/A</v>
      </c>
      <c r="B1311" s="15" t="e">
        <f>VLOOKUP(D191,[1]국문!$1:$1048576,16,0)</f>
        <v>#N/A</v>
      </c>
      <c r="C1311" s="15"/>
      <c r="D1311" s="15"/>
      <c r="E1311" s="15"/>
      <c r="F1311" s="15"/>
    </row>
    <row r="1312" spans="1:6" ht="24" customHeight="1">
      <c r="A1312" s="12" t="e">
        <f t="shared" si="13"/>
        <v>#N/A</v>
      </c>
      <c r="B1312" s="15" t="e">
        <f>VLOOKUP(D192,[1]국문!$1:$1048576,16,0)</f>
        <v>#N/A</v>
      </c>
      <c r="C1312" s="15"/>
      <c r="D1312" s="15"/>
      <c r="E1312" s="15"/>
      <c r="F1312" s="15"/>
    </row>
    <row r="1313" spans="1:6" ht="24" customHeight="1">
      <c r="A1313" s="12" t="e">
        <f t="shared" si="13"/>
        <v>#N/A</v>
      </c>
      <c r="B1313" s="15" t="e">
        <f>VLOOKUP(D193,[1]국문!$1:$1048576,16,0)</f>
        <v>#N/A</v>
      </c>
      <c r="C1313" s="15"/>
      <c r="D1313" s="15"/>
      <c r="E1313" s="15"/>
      <c r="F1313" s="15"/>
    </row>
    <row r="1314" spans="1:6" ht="24" customHeight="1">
      <c r="A1314" s="12" t="e">
        <f t="shared" si="13"/>
        <v>#N/A</v>
      </c>
      <c r="B1314" s="15" t="e">
        <f>VLOOKUP(D194,[1]국문!$1:$1048576,16,0)</f>
        <v>#N/A</v>
      </c>
      <c r="C1314" s="15"/>
      <c r="D1314" s="15"/>
      <c r="E1314" s="15"/>
      <c r="F1314" s="15"/>
    </row>
    <row r="1315" spans="1:6" ht="24" customHeight="1">
      <c r="A1315" s="12" t="e">
        <f t="shared" si="13"/>
        <v>#N/A</v>
      </c>
      <c r="B1315" s="15" t="e">
        <f>VLOOKUP(D195,[1]국문!$1:$1048576,16,0)</f>
        <v>#N/A</v>
      </c>
      <c r="C1315" s="15"/>
      <c r="D1315" s="15"/>
      <c r="E1315" s="15"/>
      <c r="F1315" s="15"/>
    </row>
    <row r="1316" spans="1:6" ht="24" customHeight="1">
      <c r="A1316" s="12" t="e">
        <f t="shared" si="13"/>
        <v>#N/A</v>
      </c>
      <c r="B1316" s="15" t="e">
        <f>VLOOKUP(D196,[1]국문!$1:$1048576,16,0)</f>
        <v>#N/A</v>
      </c>
      <c r="C1316" s="15"/>
      <c r="D1316" s="15"/>
      <c r="E1316" s="15"/>
      <c r="F1316" s="15"/>
    </row>
    <row r="1317" spans="1:6" ht="27.75" customHeight="1">
      <c r="A1317" s="12" t="e">
        <f t="shared" si="13"/>
        <v>#N/A</v>
      </c>
      <c r="B1317" s="15" t="e">
        <f>VLOOKUP(D197,[1]국문!$1:$1048576,16,0)</f>
        <v>#N/A</v>
      </c>
      <c r="C1317" s="15"/>
      <c r="D1317" s="15"/>
      <c r="E1317" s="15"/>
      <c r="F1317" s="15"/>
    </row>
    <row r="1318" spans="1:6" ht="24" customHeight="1">
      <c r="A1318" s="12" t="e">
        <f t="shared" si="13"/>
        <v>#N/A</v>
      </c>
      <c r="B1318" s="15" t="e">
        <f>VLOOKUP(D198,[1]국문!$1:$1048576,16,0)</f>
        <v>#N/A</v>
      </c>
      <c r="C1318" s="15"/>
      <c r="D1318" s="15"/>
      <c r="E1318" s="15"/>
      <c r="F1318" s="15"/>
    </row>
    <row r="1319" spans="1:6" ht="24" customHeight="1">
      <c r="A1319" s="12" t="e">
        <f t="shared" si="13"/>
        <v>#N/A</v>
      </c>
      <c r="B1319" s="15" t="e">
        <f>VLOOKUP(D199,[1]국문!$1:$1048576,16,0)</f>
        <v>#N/A</v>
      </c>
      <c r="C1319" s="15"/>
      <c r="D1319" s="15"/>
      <c r="E1319" s="15"/>
      <c r="F1319" s="15"/>
    </row>
    <row r="1320" spans="1:6" ht="24" customHeight="1">
      <c r="A1320" s="12" t="e">
        <f t="shared" si="13"/>
        <v>#N/A</v>
      </c>
      <c r="B1320" s="15" t="e">
        <f>VLOOKUP(D200,[1]국문!$1:$1048576,16,0)</f>
        <v>#N/A</v>
      </c>
      <c r="C1320" s="15"/>
      <c r="D1320" s="15"/>
      <c r="E1320" s="15"/>
      <c r="F1320" s="15"/>
    </row>
    <row r="1321" spans="1:6" ht="24" customHeight="1">
      <c r="A1321" s="12" t="e">
        <f t="shared" si="13"/>
        <v>#N/A</v>
      </c>
      <c r="B1321" s="15" t="e">
        <f>VLOOKUP(D201,[1]국문!$1:$1048576,16,0)</f>
        <v>#N/A</v>
      </c>
      <c r="C1321" s="15"/>
      <c r="D1321" s="15"/>
      <c r="E1321" s="15"/>
      <c r="F1321" s="15"/>
    </row>
    <row r="1322" spans="1:6" ht="24" customHeight="1">
      <c r="A1322" s="12" t="e">
        <f t="shared" si="13"/>
        <v>#N/A</v>
      </c>
      <c r="B1322" s="15" t="e">
        <f>VLOOKUP(D202,[1]국문!$1:$1048576,16,0)</f>
        <v>#N/A</v>
      </c>
      <c r="C1322" s="15"/>
      <c r="D1322" s="15"/>
      <c r="E1322" s="15"/>
      <c r="F1322" s="15"/>
    </row>
    <row r="1323" spans="1:6" ht="24" customHeight="1">
      <c r="A1323" s="12" t="e">
        <f t="shared" si="13"/>
        <v>#N/A</v>
      </c>
      <c r="B1323" s="15" t="e">
        <f>VLOOKUP(D203,[1]국문!$1:$1048576,16,0)</f>
        <v>#N/A</v>
      </c>
      <c r="C1323" s="15"/>
      <c r="D1323" s="15"/>
      <c r="E1323" s="15"/>
      <c r="F1323" s="15"/>
    </row>
    <row r="1324" spans="1:6" ht="24" customHeight="1">
      <c r="A1324" s="12" t="e">
        <f t="shared" si="13"/>
        <v>#N/A</v>
      </c>
      <c r="B1324" s="15" t="e">
        <f>VLOOKUP(D204,[1]국문!$1:$1048576,16,0)</f>
        <v>#N/A</v>
      </c>
      <c r="C1324" s="15"/>
      <c r="D1324" s="15"/>
      <c r="E1324" s="15"/>
      <c r="F1324" s="15"/>
    </row>
    <row r="1325" spans="1:6" ht="24" customHeight="1">
      <c r="A1325" s="12" t="e">
        <f t="shared" si="13"/>
        <v>#N/A</v>
      </c>
      <c r="B1325" s="15" t="e">
        <f>VLOOKUP(D233,[1]국문!$1:$1048576,16,0)</f>
        <v>#N/A</v>
      </c>
      <c r="C1325" s="15"/>
      <c r="D1325" s="15"/>
      <c r="E1325" s="15"/>
      <c r="F1325" s="15"/>
    </row>
    <row r="1326" spans="1:6" ht="18" customHeight="1">
      <c r="A1326" s="12" t="e">
        <f t="shared" si="13"/>
        <v>#N/A</v>
      </c>
      <c r="B1326" s="15" t="e">
        <f>VLOOKUP(D234,[1]국문!$1:$1048576,16,0)</f>
        <v>#N/A</v>
      </c>
      <c r="C1326" s="15"/>
      <c r="D1326" s="15"/>
      <c r="E1326" s="15"/>
      <c r="F1326" s="15"/>
    </row>
    <row r="1327" spans="1:6" ht="18" customHeight="1">
      <c r="A1327" s="12" t="e">
        <f t="shared" si="13"/>
        <v>#N/A</v>
      </c>
      <c r="B1327" s="15" t="e">
        <f>VLOOKUP(D235,[1]국문!$1:$1048576,16,0)</f>
        <v>#N/A</v>
      </c>
      <c r="C1327" s="15"/>
      <c r="D1327" s="15"/>
      <c r="E1327" s="15"/>
      <c r="F1327" s="15"/>
    </row>
    <row r="1328" spans="1:6" ht="18" customHeight="1">
      <c r="A1328" s="12" t="e">
        <f t="shared" si="13"/>
        <v>#N/A</v>
      </c>
      <c r="B1328" s="15" t="e">
        <f>VLOOKUP(D236,[1]국문!$1:$1048576,16,0)</f>
        <v>#N/A</v>
      </c>
      <c r="C1328" s="15"/>
      <c r="D1328" s="15"/>
      <c r="E1328" s="15"/>
      <c r="F1328" s="15"/>
    </row>
    <row r="1329" spans="1:6" ht="18" customHeight="1">
      <c r="A1329" s="12" t="e">
        <f t="shared" si="13"/>
        <v>#N/A</v>
      </c>
      <c r="B1329" s="15" t="e">
        <f>VLOOKUP(D237,[1]국문!$1:$1048576,16,0)</f>
        <v>#N/A</v>
      </c>
      <c r="C1329" s="15"/>
      <c r="D1329" s="15"/>
      <c r="E1329" s="15"/>
      <c r="F1329" s="15"/>
    </row>
    <row r="1330" spans="1:6">
      <c r="A1330" s="12" t="e">
        <f t="shared" si="13"/>
        <v>#N/A</v>
      </c>
      <c r="B1330" s="15" t="e">
        <f>VLOOKUP(D238,[1]국문!$1:$1048576,16,0)</f>
        <v>#N/A</v>
      </c>
      <c r="C1330" s="15"/>
      <c r="D1330" s="15"/>
      <c r="E1330" s="15"/>
      <c r="F1330" s="15"/>
    </row>
    <row r="1331" spans="1:6" ht="24" customHeight="1">
      <c r="A1331" s="12" t="e">
        <f t="shared" si="13"/>
        <v>#N/A</v>
      </c>
      <c r="B1331" s="15" t="e">
        <f>VLOOKUP(D239,[1]국문!$1:$1048576,16,0)</f>
        <v>#N/A</v>
      </c>
      <c r="C1331" s="15"/>
      <c r="D1331" s="15"/>
      <c r="E1331" s="15"/>
      <c r="F1331" s="15"/>
    </row>
    <row r="1332" spans="1:6" ht="18" customHeight="1">
      <c r="A1332" s="12" t="e">
        <f t="shared" si="13"/>
        <v>#N/A</v>
      </c>
      <c r="B1332" s="15" t="e">
        <f>VLOOKUP(D240,[1]국문!$1:$1048576,16,0)</f>
        <v>#N/A</v>
      </c>
      <c r="C1332" s="15"/>
      <c r="D1332" s="15"/>
      <c r="E1332" s="15"/>
      <c r="F1332" s="15"/>
    </row>
    <row r="1333" spans="1:6" ht="15" customHeight="1">
      <c r="A1333" s="12" t="e">
        <f t="shared" si="13"/>
        <v>#N/A</v>
      </c>
      <c r="B1333" s="15" t="e">
        <f>VLOOKUP(D241,[1]국문!$1:$1048576,16,0)</f>
        <v>#N/A</v>
      </c>
      <c r="C1333" s="15"/>
      <c r="D1333" s="15"/>
      <c r="E1333" s="15"/>
      <c r="F1333" s="15"/>
    </row>
    <row r="1334" spans="1:6">
      <c r="A1334" s="12" t="e">
        <f t="shared" si="13"/>
        <v>#N/A</v>
      </c>
      <c r="B1334" s="15" t="e">
        <f>VLOOKUP(D242,[1]국문!$1:$1048576,16,0)</f>
        <v>#N/A</v>
      </c>
      <c r="C1334" s="15"/>
      <c r="D1334" s="15"/>
      <c r="E1334" s="15"/>
      <c r="F1334" s="15"/>
    </row>
    <row r="1335" spans="1:6">
      <c r="A1335" s="12" t="e">
        <f t="shared" si="13"/>
        <v>#N/A</v>
      </c>
      <c r="B1335" s="15" t="e">
        <f>VLOOKUP(D243,[1]국문!$1:$1048576,16,0)</f>
        <v>#N/A</v>
      </c>
      <c r="C1335" s="15"/>
      <c r="D1335" s="15"/>
      <c r="E1335" s="15"/>
      <c r="F1335" s="15"/>
    </row>
    <row r="1336" spans="1:6">
      <c r="A1336" s="12" t="e">
        <f t="shared" si="13"/>
        <v>#N/A</v>
      </c>
      <c r="B1336" s="15" t="e">
        <f>VLOOKUP(D244,[1]국문!$1:$1048576,16,0)</f>
        <v>#N/A</v>
      </c>
      <c r="C1336" s="15"/>
      <c r="D1336" s="15"/>
      <c r="E1336" s="15"/>
      <c r="F1336" s="15"/>
    </row>
    <row r="1337" spans="1:6">
      <c r="A1337" s="12" t="e">
        <f t="shared" si="13"/>
        <v>#N/A</v>
      </c>
      <c r="B1337" s="15" t="e">
        <f>VLOOKUP(D245,[1]국문!$1:$1048576,16,0)</f>
        <v>#N/A</v>
      </c>
      <c r="C1337" s="15"/>
      <c r="D1337" s="15"/>
      <c r="E1337" s="15"/>
      <c r="F1337" s="15"/>
    </row>
    <row r="1338" spans="1:6" ht="18" customHeight="1">
      <c r="A1338" s="12" t="e">
        <f t="shared" si="13"/>
        <v>#N/A</v>
      </c>
      <c r="B1338" s="15" t="e">
        <f>VLOOKUP(D246,[1]국문!$1:$1048576,16,0)</f>
        <v>#N/A</v>
      </c>
      <c r="C1338" s="15"/>
      <c r="D1338" s="15"/>
      <c r="E1338" s="15"/>
      <c r="F1338" s="15"/>
    </row>
    <row r="1339" spans="1:6" ht="18" customHeight="1">
      <c r="A1339" s="12" t="e">
        <f t="shared" si="13"/>
        <v>#N/A</v>
      </c>
      <c r="B1339" s="15" t="e">
        <f>VLOOKUP(D247,[1]국문!$1:$1048576,16,0)</f>
        <v>#N/A</v>
      </c>
      <c r="C1339" s="15"/>
      <c r="D1339" s="15"/>
      <c r="E1339" s="15"/>
      <c r="F1339" s="15"/>
    </row>
    <row r="1340" spans="1:6" ht="18" customHeight="1">
      <c r="A1340" s="12" t="e">
        <f t="shared" si="13"/>
        <v>#N/A</v>
      </c>
      <c r="B1340" s="15" t="e">
        <f>VLOOKUP(D248,[1]국문!$1:$1048576,16,0)</f>
        <v>#N/A</v>
      </c>
      <c r="C1340" s="15"/>
      <c r="D1340" s="15"/>
      <c r="E1340" s="15"/>
      <c r="F1340" s="15"/>
    </row>
    <row r="1341" spans="1:6" ht="18" customHeight="1">
      <c r="A1341" s="12" t="e">
        <f t="shared" si="13"/>
        <v>#N/A</v>
      </c>
      <c r="B1341" s="15" t="e">
        <f>VLOOKUP(D249,[1]국문!$1:$1048576,16,0)</f>
        <v>#N/A</v>
      </c>
      <c r="C1341" s="15"/>
      <c r="D1341" s="15"/>
      <c r="E1341" s="15"/>
      <c r="F1341" s="15"/>
    </row>
    <row r="1342" spans="1:6" ht="18" customHeight="1">
      <c r="A1342" s="12" t="e">
        <f t="shared" si="13"/>
        <v>#N/A</v>
      </c>
      <c r="B1342" s="15" t="e">
        <f>VLOOKUP(D250,[1]국문!$1:$1048576,16,0)</f>
        <v>#N/A</v>
      </c>
      <c r="C1342" s="15"/>
      <c r="D1342" s="15"/>
      <c r="E1342" s="15"/>
      <c r="F1342" s="15"/>
    </row>
    <row r="1343" spans="1:6" ht="18" customHeight="1">
      <c r="A1343" s="12" t="e">
        <f t="shared" si="13"/>
        <v>#N/A</v>
      </c>
      <c r="B1343" s="15" t="e">
        <f>VLOOKUP(D251,[1]국문!$1:$1048576,16,0)</f>
        <v>#N/A</v>
      </c>
      <c r="C1343" s="15"/>
      <c r="D1343" s="15"/>
      <c r="E1343" s="15"/>
      <c r="F1343" s="15"/>
    </row>
    <row r="1344" spans="1:6" ht="18" customHeight="1">
      <c r="A1344" s="12" t="e">
        <f t="shared" si="13"/>
        <v>#N/A</v>
      </c>
      <c r="B1344" s="15" t="e">
        <f>VLOOKUP(D252,[1]국문!$1:$1048576,16,0)</f>
        <v>#N/A</v>
      </c>
      <c r="C1344" s="15"/>
      <c r="D1344" s="15"/>
      <c r="E1344" s="15"/>
      <c r="F1344" s="15"/>
    </row>
    <row r="1345" spans="1:6" ht="18" customHeight="1">
      <c r="A1345" s="12" t="e">
        <f t="shared" si="13"/>
        <v>#N/A</v>
      </c>
      <c r="B1345" s="15" t="e">
        <f>VLOOKUP(D253,[1]국문!$1:$1048576,16,0)</f>
        <v>#N/A</v>
      </c>
      <c r="C1345" s="15"/>
      <c r="D1345" s="15"/>
      <c r="E1345" s="15"/>
      <c r="F1345" s="15"/>
    </row>
    <row r="1346" spans="1:6" ht="24" customHeight="1">
      <c r="A1346" s="12" t="e">
        <f t="shared" si="13"/>
        <v>#N/A</v>
      </c>
      <c r="B1346" s="15" t="e">
        <f>VLOOKUP(D226,[1]국문!$1:$1048576,16,0)</f>
        <v>#N/A</v>
      </c>
      <c r="C1346" s="15"/>
      <c r="D1346" s="15"/>
      <c r="E1346" s="15"/>
      <c r="F1346" s="15"/>
    </row>
    <row r="1347" spans="1:6" ht="24" customHeight="1">
      <c r="A1347" s="12" t="e">
        <f t="shared" ref="A1347:A1410" si="14">A262</f>
        <v>#N/A</v>
      </c>
      <c r="B1347" s="15" t="e">
        <f>VLOOKUP(D227,[1]국문!$1:$1048576,16,0)</f>
        <v>#N/A</v>
      </c>
      <c r="C1347" s="15"/>
      <c r="D1347" s="15"/>
      <c r="E1347" s="15"/>
      <c r="F1347" s="15"/>
    </row>
    <row r="1348" spans="1:6" ht="24" customHeight="1">
      <c r="A1348" s="12" t="e">
        <f t="shared" si="14"/>
        <v>#N/A</v>
      </c>
      <c r="B1348" s="15" t="e">
        <f>VLOOKUP(D228,[1]국문!$1:$1048576,16,0)</f>
        <v>#N/A</v>
      </c>
      <c r="C1348" s="15"/>
      <c r="D1348" s="15"/>
      <c r="E1348" s="15"/>
      <c r="F1348" s="15"/>
    </row>
    <row r="1349" spans="1:6" ht="24" customHeight="1">
      <c r="A1349" s="12" t="e">
        <f t="shared" si="14"/>
        <v>#N/A</v>
      </c>
      <c r="B1349" s="15" t="e">
        <f>VLOOKUP(D229,[1]국문!$1:$1048576,16,0)</f>
        <v>#N/A</v>
      </c>
      <c r="C1349" s="15"/>
      <c r="D1349" s="15"/>
      <c r="E1349" s="15"/>
      <c r="F1349" s="15"/>
    </row>
    <row r="1350" spans="1:6" ht="24" customHeight="1">
      <c r="A1350" s="12" t="e">
        <f t="shared" si="14"/>
        <v>#N/A</v>
      </c>
      <c r="B1350" s="15" t="e">
        <f>VLOOKUP(D230,[1]국문!$1:$1048576,16,0)</f>
        <v>#N/A</v>
      </c>
      <c r="C1350" s="15"/>
      <c r="D1350" s="15"/>
      <c r="E1350" s="15"/>
      <c r="F1350" s="15"/>
    </row>
    <row r="1351" spans="1:6" ht="24" customHeight="1">
      <c r="A1351" s="12" t="e">
        <f t="shared" si="14"/>
        <v>#N/A</v>
      </c>
      <c r="B1351" s="15" t="e">
        <f>VLOOKUP(D231,[1]국문!$1:$1048576,16,0)</f>
        <v>#N/A</v>
      </c>
      <c r="C1351" s="15"/>
      <c r="D1351" s="15"/>
      <c r="E1351" s="15"/>
      <c r="F1351" s="15"/>
    </row>
    <row r="1352" spans="1:6" ht="24" customHeight="1">
      <c r="A1352" s="12" t="e">
        <f t="shared" si="14"/>
        <v>#N/A</v>
      </c>
      <c r="B1352" s="15" t="e">
        <f>VLOOKUP(D232,[1]국문!$1:$1048576,16,0)</f>
        <v>#N/A</v>
      </c>
      <c r="C1352" s="15"/>
      <c r="D1352" s="15"/>
      <c r="E1352" s="15"/>
      <c r="F1352" s="15"/>
    </row>
    <row r="1353" spans="1:6" ht="27.75" customHeight="1">
      <c r="A1353" s="12" t="e">
        <f t="shared" si="14"/>
        <v>#N/A</v>
      </c>
      <c r="B1353" s="15" t="e">
        <f>VLOOKUP(D233,[1]국문!$1:$1048576,16,0)</f>
        <v>#N/A</v>
      </c>
      <c r="C1353" s="15"/>
      <c r="D1353" s="15"/>
      <c r="E1353" s="15"/>
      <c r="F1353" s="15"/>
    </row>
    <row r="1354" spans="1:6" ht="24" customHeight="1">
      <c r="A1354" s="12" t="e">
        <f t="shared" si="14"/>
        <v>#N/A</v>
      </c>
      <c r="B1354" s="15" t="e">
        <f>VLOOKUP(D234,[1]국문!$1:$1048576,16,0)</f>
        <v>#N/A</v>
      </c>
      <c r="C1354" s="15"/>
      <c r="D1354" s="15"/>
      <c r="E1354" s="15"/>
      <c r="F1354" s="15"/>
    </row>
    <row r="1355" spans="1:6" ht="24" customHeight="1">
      <c r="A1355" s="12" t="e">
        <f t="shared" si="14"/>
        <v>#N/A</v>
      </c>
      <c r="B1355" s="15" t="e">
        <f>VLOOKUP(D235,[1]국문!$1:$1048576,16,0)</f>
        <v>#N/A</v>
      </c>
      <c r="C1355" s="15"/>
      <c r="D1355" s="15"/>
      <c r="E1355" s="15"/>
      <c r="F1355" s="15"/>
    </row>
    <row r="1356" spans="1:6" ht="24" customHeight="1">
      <c r="A1356" s="12" t="e">
        <f t="shared" si="14"/>
        <v>#N/A</v>
      </c>
      <c r="B1356" s="15" t="e">
        <f>VLOOKUP(D236,[1]국문!$1:$1048576,16,0)</f>
        <v>#N/A</v>
      </c>
      <c r="C1356" s="15"/>
      <c r="D1356" s="15"/>
      <c r="E1356" s="15"/>
      <c r="F1356" s="15"/>
    </row>
    <row r="1357" spans="1:6" ht="24" customHeight="1">
      <c r="A1357" s="12" t="e">
        <f t="shared" si="14"/>
        <v>#N/A</v>
      </c>
      <c r="B1357" s="15" t="e">
        <f>VLOOKUP(D237,[1]국문!$1:$1048576,16,0)</f>
        <v>#N/A</v>
      </c>
      <c r="C1357" s="15"/>
      <c r="D1357" s="15"/>
      <c r="E1357" s="15"/>
      <c r="F1357" s="15"/>
    </row>
    <row r="1358" spans="1:6" ht="24" customHeight="1">
      <c r="A1358" s="12" t="e">
        <f t="shared" si="14"/>
        <v>#N/A</v>
      </c>
      <c r="B1358" s="15" t="e">
        <f>VLOOKUP(D238,[1]국문!$1:$1048576,16,0)</f>
        <v>#N/A</v>
      </c>
      <c r="C1358" s="15"/>
      <c r="D1358" s="15"/>
      <c r="E1358" s="15"/>
      <c r="F1358" s="15"/>
    </row>
    <row r="1359" spans="1:6" ht="24" customHeight="1">
      <c r="A1359" s="12" t="e">
        <f t="shared" si="14"/>
        <v>#N/A</v>
      </c>
      <c r="B1359" s="15" t="e">
        <f>VLOOKUP(D239,[1]국문!$1:$1048576,16,0)</f>
        <v>#N/A</v>
      </c>
      <c r="C1359" s="15"/>
      <c r="D1359" s="15"/>
      <c r="E1359" s="15"/>
      <c r="F1359" s="15"/>
    </row>
    <row r="1360" spans="1:6" ht="24" customHeight="1">
      <c r="A1360" s="12" t="e">
        <f t="shared" si="14"/>
        <v>#N/A</v>
      </c>
      <c r="B1360" s="15" t="e">
        <f>VLOOKUP(D240,[1]국문!$1:$1048576,16,0)</f>
        <v>#N/A</v>
      </c>
      <c r="C1360" s="15"/>
      <c r="D1360" s="15"/>
      <c r="E1360" s="15"/>
      <c r="F1360" s="15"/>
    </row>
    <row r="1361" spans="1:6" ht="24" customHeight="1">
      <c r="A1361" s="12" t="e">
        <f t="shared" si="14"/>
        <v>#N/A</v>
      </c>
      <c r="B1361" s="15" t="e">
        <f>VLOOKUP(D269,[1]국문!$1:$1048576,16,0)</f>
        <v>#N/A</v>
      </c>
      <c r="C1361" s="15"/>
      <c r="D1361" s="15"/>
      <c r="E1361" s="15"/>
      <c r="F1361" s="15"/>
    </row>
    <row r="1362" spans="1:6" ht="18" customHeight="1">
      <c r="A1362" s="12" t="e">
        <f t="shared" si="14"/>
        <v>#N/A</v>
      </c>
      <c r="B1362" s="15" t="e">
        <f>VLOOKUP(D270,[1]국문!$1:$1048576,16,0)</f>
        <v>#N/A</v>
      </c>
      <c r="C1362" s="15"/>
      <c r="D1362" s="15"/>
      <c r="E1362" s="15"/>
      <c r="F1362" s="15"/>
    </row>
    <row r="1363" spans="1:6" ht="18" customHeight="1">
      <c r="A1363" s="12" t="e">
        <f t="shared" si="14"/>
        <v>#N/A</v>
      </c>
      <c r="B1363" s="15" t="e">
        <f>VLOOKUP(D271,[1]국문!$1:$1048576,16,0)</f>
        <v>#N/A</v>
      </c>
      <c r="C1363" s="15"/>
      <c r="D1363" s="15"/>
      <c r="E1363" s="15"/>
      <c r="F1363" s="15"/>
    </row>
    <row r="1364" spans="1:6" ht="18" customHeight="1">
      <c r="A1364" s="12" t="e">
        <f t="shared" si="14"/>
        <v>#N/A</v>
      </c>
      <c r="B1364" s="15" t="e">
        <f>VLOOKUP(D272,[1]국문!$1:$1048576,16,0)</f>
        <v>#N/A</v>
      </c>
      <c r="C1364" s="15"/>
      <c r="D1364" s="15"/>
      <c r="E1364" s="15"/>
      <c r="F1364" s="15"/>
    </row>
    <row r="1365" spans="1:6" ht="18" customHeight="1">
      <c r="A1365" s="12" t="e">
        <f t="shared" si="14"/>
        <v>#N/A</v>
      </c>
      <c r="B1365" s="15" t="e">
        <f>VLOOKUP(D273,[1]국문!$1:$1048576,16,0)</f>
        <v>#N/A</v>
      </c>
      <c r="C1365" s="15"/>
      <c r="D1365" s="15"/>
      <c r="E1365" s="15"/>
      <c r="F1365" s="15"/>
    </row>
    <row r="1366" spans="1:6">
      <c r="A1366" s="12" t="e">
        <f t="shared" si="14"/>
        <v>#N/A</v>
      </c>
      <c r="B1366" s="15" t="e">
        <f>VLOOKUP(D274,[1]국문!$1:$1048576,16,0)</f>
        <v>#N/A</v>
      </c>
      <c r="C1366" s="15"/>
      <c r="D1366" s="15"/>
      <c r="E1366" s="15"/>
      <c r="F1366" s="15"/>
    </row>
    <row r="1367" spans="1:6" ht="24" customHeight="1">
      <c r="A1367" s="12" t="e">
        <f t="shared" si="14"/>
        <v>#N/A</v>
      </c>
      <c r="B1367" s="15" t="e">
        <f>VLOOKUP(D275,[1]국문!$1:$1048576,16,0)</f>
        <v>#N/A</v>
      </c>
      <c r="C1367" s="15"/>
      <c r="D1367" s="15"/>
      <c r="E1367" s="15"/>
      <c r="F1367" s="15"/>
    </row>
    <row r="1368" spans="1:6" ht="18" customHeight="1">
      <c r="A1368" s="12" t="e">
        <f t="shared" si="14"/>
        <v>#N/A</v>
      </c>
      <c r="B1368" s="15" t="e">
        <f>VLOOKUP(D276,[1]국문!$1:$1048576,16,0)</f>
        <v>#N/A</v>
      </c>
      <c r="C1368" s="15"/>
      <c r="D1368" s="15"/>
      <c r="E1368" s="15"/>
      <c r="F1368" s="15"/>
    </row>
    <row r="1369" spans="1:6" ht="15" customHeight="1">
      <c r="A1369" s="12" t="e">
        <f t="shared" si="14"/>
        <v>#N/A</v>
      </c>
      <c r="B1369" s="15" t="e">
        <f>VLOOKUP(D277,[1]국문!$1:$1048576,16,0)</f>
        <v>#N/A</v>
      </c>
      <c r="C1369" s="15"/>
      <c r="D1369" s="15"/>
      <c r="E1369" s="15"/>
      <c r="F1369" s="15"/>
    </row>
    <row r="1370" spans="1:6">
      <c r="A1370" s="12" t="e">
        <f t="shared" si="14"/>
        <v>#N/A</v>
      </c>
      <c r="B1370" s="15" t="e">
        <f>VLOOKUP(D278,[1]국문!$1:$1048576,16,0)</f>
        <v>#N/A</v>
      </c>
      <c r="C1370" s="15"/>
      <c r="D1370" s="15"/>
      <c r="E1370" s="15"/>
      <c r="F1370" s="15"/>
    </row>
    <row r="1371" spans="1:6">
      <c r="A1371" s="12" t="e">
        <f t="shared" si="14"/>
        <v>#N/A</v>
      </c>
      <c r="B1371" s="15" t="e">
        <f>VLOOKUP(D279,[1]국문!$1:$1048576,16,0)</f>
        <v>#N/A</v>
      </c>
      <c r="C1371" s="15"/>
      <c r="D1371" s="15"/>
      <c r="E1371" s="15"/>
      <c r="F1371" s="15"/>
    </row>
    <row r="1372" spans="1:6">
      <c r="A1372" s="12" t="e">
        <f t="shared" si="14"/>
        <v>#N/A</v>
      </c>
      <c r="B1372" s="15" t="e">
        <f>VLOOKUP(D280,[1]국문!$1:$1048576,16,0)</f>
        <v>#N/A</v>
      </c>
      <c r="C1372" s="15"/>
      <c r="D1372" s="15"/>
      <c r="E1372" s="15"/>
      <c r="F1372" s="15"/>
    </row>
    <row r="1373" spans="1:6">
      <c r="A1373" s="12" t="e">
        <f t="shared" si="14"/>
        <v>#N/A</v>
      </c>
      <c r="B1373" s="15" t="e">
        <f>VLOOKUP(D281,[1]국문!$1:$1048576,16,0)</f>
        <v>#N/A</v>
      </c>
      <c r="C1373" s="15"/>
      <c r="D1373" s="15"/>
      <c r="E1373" s="15"/>
      <c r="F1373" s="15"/>
    </row>
    <row r="1374" spans="1:6" ht="18" customHeight="1">
      <c r="A1374" s="12" t="e">
        <f t="shared" si="14"/>
        <v>#N/A</v>
      </c>
      <c r="B1374" s="15" t="e">
        <f>VLOOKUP(D282,[1]국문!$1:$1048576,16,0)</f>
        <v>#N/A</v>
      </c>
      <c r="C1374" s="15"/>
      <c r="D1374" s="15"/>
      <c r="E1374" s="15"/>
      <c r="F1374" s="15"/>
    </row>
    <row r="1375" spans="1:6" ht="18" customHeight="1">
      <c r="A1375" s="12" t="e">
        <f t="shared" si="14"/>
        <v>#N/A</v>
      </c>
      <c r="B1375" s="15" t="e">
        <f>VLOOKUP(D283,[1]국문!$1:$1048576,16,0)</f>
        <v>#N/A</v>
      </c>
      <c r="C1375" s="15"/>
      <c r="D1375" s="15"/>
      <c r="E1375" s="15"/>
      <c r="F1375" s="15"/>
    </row>
    <row r="1376" spans="1:6" ht="18" customHeight="1">
      <c r="A1376" s="12" t="e">
        <f t="shared" si="14"/>
        <v>#N/A</v>
      </c>
      <c r="B1376" s="15" t="e">
        <f>VLOOKUP(D284,[1]국문!$1:$1048576,16,0)</f>
        <v>#N/A</v>
      </c>
      <c r="C1376" s="15"/>
      <c r="D1376" s="15"/>
      <c r="E1376" s="15"/>
      <c r="F1376" s="15"/>
    </row>
    <row r="1377" spans="1:6" ht="18" customHeight="1">
      <c r="A1377" s="12" t="e">
        <f t="shared" si="14"/>
        <v>#N/A</v>
      </c>
      <c r="B1377" s="15" t="e">
        <f>VLOOKUP(D285,[1]국문!$1:$1048576,16,0)</f>
        <v>#N/A</v>
      </c>
      <c r="C1377" s="15"/>
      <c r="D1377" s="15"/>
      <c r="E1377" s="15"/>
      <c r="F1377" s="15"/>
    </row>
    <row r="1378" spans="1:6" ht="18" customHeight="1">
      <c r="A1378" s="12" t="e">
        <f t="shared" si="14"/>
        <v>#N/A</v>
      </c>
      <c r="B1378" s="15" t="e">
        <f>VLOOKUP(D286,[1]국문!$1:$1048576,16,0)</f>
        <v>#N/A</v>
      </c>
      <c r="C1378" s="15"/>
      <c r="D1378" s="15"/>
      <c r="E1378" s="15"/>
      <c r="F1378" s="15"/>
    </row>
    <row r="1379" spans="1:6" ht="18" customHeight="1">
      <c r="A1379" s="12" t="e">
        <f t="shared" si="14"/>
        <v>#N/A</v>
      </c>
      <c r="B1379" s="15" t="e">
        <f>VLOOKUP(D287,[1]국문!$1:$1048576,16,0)</f>
        <v>#N/A</v>
      </c>
      <c r="C1379" s="15"/>
      <c r="D1379" s="15"/>
      <c r="E1379" s="15"/>
      <c r="F1379" s="15"/>
    </row>
    <row r="1380" spans="1:6" ht="18" customHeight="1">
      <c r="A1380" s="12" t="e">
        <f t="shared" si="14"/>
        <v>#N/A</v>
      </c>
      <c r="B1380" s="15" t="e">
        <f>VLOOKUP(D288,[1]국문!$1:$1048576,16,0)</f>
        <v>#N/A</v>
      </c>
      <c r="C1380" s="15"/>
      <c r="D1380" s="15"/>
      <c r="E1380" s="15"/>
      <c r="F1380" s="15"/>
    </row>
    <row r="1381" spans="1:6" ht="18" customHeight="1">
      <c r="A1381" s="12" t="e">
        <f t="shared" si="14"/>
        <v>#N/A</v>
      </c>
      <c r="B1381" s="15" t="e">
        <f>VLOOKUP(D289,[1]국문!$1:$1048576,16,0)</f>
        <v>#N/A</v>
      </c>
      <c r="C1381" s="15"/>
      <c r="D1381" s="15"/>
      <c r="E1381" s="15"/>
      <c r="F1381" s="15"/>
    </row>
    <row r="1382" spans="1:6" ht="24" customHeight="1">
      <c r="A1382" s="12" t="e">
        <f t="shared" si="14"/>
        <v>#N/A</v>
      </c>
      <c r="B1382" s="15" t="e">
        <f>VLOOKUP(D262,[1]국문!$1:$1048576,16,0)</f>
        <v>#N/A</v>
      </c>
      <c r="C1382" s="15"/>
      <c r="D1382" s="15"/>
      <c r="E1382" s="15"/>
      <c r="F1382" s="15"/>
    </row>
    <row r="1383" spans="1:6" ht="24" customHeight="1">
      <c r="A1383" s="12" t="e">
        <f t="shared" si="14"/>
        <v>#N/A</v>
      </c>
      <c r="B1383" s="15" t="e">
        <f>VLOOKUP(D263,[1]국문!$1:$1048576,16,0)</f>
        <v>#N/A</v>
      </c>
      <c r="C1383" s="15"/>
      <c r="D1383" s="15"/>
      <c r="E1383" s="15"/>
      <c r="F1383" s="15"/>
    </row>
    <row r="1384" spans="1:6" ht="24" customHeight="1">
      <c r="A1384" s="12" t="e">
        <f t="shared" si="14"/>
        <v>#N/A</v>
      </c>
      <c r="B1384" s="15" t="e">
        <f>VLOOKUP(D264,[1]국문!$1:$1048576,16,0)</f>
        <v>#N/A</v>
      </c>
      <c r="C1384" s="15"/>
      <c r="D1384" s="15"/>
      <c r="E1384" s="15"/>
      <c r="F1384" s="15"/>
    </row>
    <row r="1385" spans="1:6" ht="24" customHeight="1">
      <c r="A1385" s="12" t="e">
        <f t="shared" si="14"/>
        <v>#N/A</v>
      </c>
      <c r="B1385" s="15" t="e">
        <f>VLOOKUP(D265,[1]국문!$1:$1048576,16,0)</f>
        <v>#N/A</v>
      </c>
      <c r="C1385" s="15"/>
      <c r="D1385" s="15"/>
      <c r="E1385" s="15"/>
      <c r="F1385" s="15"/>
    </row>
    <row r="1386" spans="1:6" ht="24" customHeight="1">
      <c r="A1386" s="12" t="e">
        <f t="shared" si="14"/>
        <v>#N/A</v>
      </c>
      <c r="B1386" s="15" t="e">
        <f>VLOOKUP(D266,[1]국문!$1:$1048576,16,0)</f>
        <v>#N/A</v>
      </c>
      <c r="C1386" s="15"/>
      <c r="D1386" s="15"/>
      <c r="E1386" s="15"/>
      <c r="F1386" s="15"/>
    </row>
    <row r="1387" spans="1:6" ht="24" customHeight="1">
      <c r="A1387" s="12" t="e">
        <f t="shared" si="14"/>
        <v>#N/A</v>
      </c>
      <c r="B1387" s="15" t="e">
        <f>VLOOKUP(D267,[1]국문!$1:$1048576,16,0)</f>
        <v>#N/A</v>
      </c>
      <c r="C1387" s="15"/>
      <c r="D1387" s="15"/>
      <c r="E1387" s="15"/>
      <c r="F1387" s="15"/>
    </row>
    <row r="1388" spans="1:6" ht="24" customHeight="1">
      <c r="A1388" s="12" t="e">
        <f t="shared" si="14"/>
        <v>#N/A</v>
      </c>
      <c r="B1388" s="15" t="e">
        <f>VLOOKUP(D268,[1]국문!$1:$1048576,16,0)</f>
        <v>#N/A</v>
      </c>
      <c r="C1388" s="15"/>
      <c r="D1388" s="15"/>
      <c r="E1388" s="15"/>
      <c r="F1388" s="15"/>
    </row>
    <row r="1389" spans="1:6" ht="27.75" customHeight="1">
      <c r="A1389" s="12" t="e">
        <f t="shared" si="14"/>
        <v>#N/A</v>
      </c>
      <c r="B1389" s="15" t="e">
        <f>VLOOKUP(D269,[1]국문!$1:$1048576,16,0)</f>
        <v>#N/A</v>
      </c>
      <c r="C1389" s="15"/>
      <c r="D1389" s="15"/>
      <c r="E1389" s="15"/>
      <c r="F1389" s="15"/>
    </row>
    <row r="1390" spans="1:6" ht="24" customHeight="1">
      <c r="A1390" s="12" t="e">
        <f t="shared" si="14"/>
        <v>#N/A</v>
      </c>
      <c r="B1390" s="15" t="e">
        <f>VLOOKUP(D270,[1]국문!$1:$1048576,16,0)</f>
        <v>#N/A</v>
      </c>
      <c r="C1390" s="15"/>
      <c r="D1390" s="15"/>
      <c r="E1390" s="15"/>
      <c r="F1390" s="15"/>
    </row>
    <row r="1391" spans="1:6" ht="24" customHeight="1">
      <c r="A1391" s="12" t="e">
        <f t="shared" si="14"/>
        <v>#N/A</v>
      </c>
      <c r="B1391" s="15" t="e">
        <f>VLOOKUP(D271,[1]국문!$1:$1048576,16,0)</f>
        <v>#N/A</v>
      </c>
      <c r="C1391" s="15"/>
      <c r="D1391" s="15"/>
      <c r="E1391" s="15"/>
      <c r="F1391" s="15"/>
    </row>
    <row r="1392" spans="1:6" ht="24" customHeight="1">
      <c r="A1392" s="12" t="e">
        <f t="shared" si="14"/>
        <v>#N/A</v>
      </c>
      <c r="B1392" s="15" t="e">
        <f>VLOOKUP(D272,[1]국문!$1:$1048576,16,0)</f>
        <v>#N/A</v>
      </c>
      <c r="C1392" s="15"/>
      <c r="D1392" s="15"/>
      <c r="E1392" s="15"/>
      <c r="F1392" s="15"/>
    </row>
    <row r="1393" spans="1:6" ht="24" customHeight="1">
      <c r="A1393" s="12" t="e">
        <f t="shared" si="14"/>
        <v>#N/A</v>
      </c>
      <c r="B1393" s="15" t="e">
        <f>VLOOKUP(D273,[1]국문!$1:$1048576,16,0)</f>
        <v>#N/A</v>
      </c>
      <c r="C1393" s="15"/>
      <c r="D1393" s="15"/>
      <c r="E1393" s="15"/>
      <c r="F1393" s="15"/>
    </row>
    <row r="1394" spans="1:6" ht="24" customHeight="1">
      <c r="A1394" s="12" t="e">
        <f t="shared" si="14"/>
        <v>#N/A</v>
      </c>
      <c r="B1394" s="15" t="e">
        <f>VLOOKUP(D274,[1]국문!$1:$1048576,16,0)</f>
        <v>#N/A</v>
      </c>
      <c r="C1394" s="15"/>
      <c r="D1394" s="15"/>
      <c r="E1394" s="15"/>
      <c r="F1394" s="15"/>
    </row>
    <row r="1395" spans="1:6" ht="24" customHeight="1">
      <c r="A1395" s="12" t="e">
        <f t="shared" si="14"/>
        <v>#N/A</v>
      </c>
      <c r="B1395" s="15" t="e">
        <f>VLOOKUP(D275,[1]국문!$1:$1048576,16,0)</f>
        <v>#N/A</v>
      </c>
      <c r="C1395" s="15"/>
      <c r="D1395" s="15"/>
      <c r="E1395" s="15"/>
      <c r="F1395" s="15"/>
    </row>
    <row r="1396" spans="1:6" ht="24" customHeight="1">
      <c r="A1396" s="12" t="e">
        <f t="shared" si="14"/>
        <v>#N/A</v>
      </c>
      <c r="B1396" s="15" t="e">
        <f>VLOOKUP(D276,[1]국문!$1:$1048576,16,0)</f>
        <v>#N/A</v>
      </c>
      <c r="C1396" s="15"/>
      <c r="D1396" s="15"/>
      <c r="E1396" s="15"/>
      <c r="F1396" s="15"/>
    </row>
    <row r="1397" spans="1:6" ht="24" customHeight="1">
      <c r="A1397" s="12" t="e">
        <f t="shared" si="14"/>
        <v>#N/A</v>
      </c>
      <c r="B1397" s="15" t="e">
        <f>VLOOKUP(D305,[1]국문!$1:$1048576,16,0)</f>
        <v>#N/A</v>
      </c>
      <c r="C1397" s="15"/>
      <c r="D1397" s="15"/>
      <c r="E1397" s="15"/>
      <c r="F1397" s="15"/>
    </row>
    <row r="1398" spans="1:6" ht="18" customHeight="1">
      <c r="A1398" s="12" t="e">
        <f t="shared" si="14"/>
        <v>#N/A</v>
      </c>
      <c r="B1398" s="15" t="e">
        <f>VLOOKUP(D306,[1]국문!$1:$1048576,16,0)</f>
        <v>#N/A</v>
      </c>
      <c r="C1398" s="15"/>
      <c r="D1398" s="15"/>
      <c r="E1398" s="15"/>
      <c r="F1398" s="15"/>
    </row>
    <row r="1399" spans="1:6" ht="18" customHeight="1">
      <c r="A1399" s="12" t="e">
        <f t="shared" si="14"/>
        <v>#N/A</v>
      </c>
      <c r="B1399" s="15" t="e">
        <f>VLOOKUP(D307,[1]국문!$1:$1048576,16,0)</f>
        <v>#N/A</v>
      </c>
      <c r="C1399" s="15"/>
      <c r="D1399" s="15"/>
      <c r="E1399" s="15"/>
      <c r="F1399" s="15"/>
    </row>
    <row r="1400" spans="1:6" ht="18" customHeight="1">
      <c r="A1400" s="12" t="e">
        <f t="shared" si="14"/>
        <v>#N/A</v>
      </c>
      <c r="B1400" s="15" t="e">
        <f>VLOOKUP(D308,[1]국문!$1:$1048576,16,0)</f>
        <v>#N/A</v>
      </c>
      <c r="C1400" s="15"/>
      <c r="D1400" s="15"/>
      <c r="E1400" s="15"/>
      <c r="F1400" s="15"/>
    </row>
    <row r="1401" spans="1:6" ht="18" customHeight="1">
      <c r="A1401" s="12" t="e">
        <f t="shared" si="14"/>
        <v>#N/A</v>
      </c>
      <c r="B1401" s="15" t="e">
        <f>VLOOKUP(D309,[1]국문!$1:$1048576,16,0)</f>
        <v>#N/A</v>
      </c>
      <c r="C1401" s="15"/>
      <c r="D1401" s="15"/>
      <c r="E1401" s="15"/>
      <c r="F1401" s="15"/>
    </row>
    <row r="1402" spans="1:6">
      <c r="A1402" s="12" t="e">
        <f t="shared" si="14"/>
        <v>#N/A</v>
      </c>
      <c r="B1402" s="15" t="e">
        <f>VLOOKUP(D310,[1]국문!$1:$1048576,16,0)</f>
        <v>#N/A</v>
      </c>
      <c r="C1402" s="15"/>
      <c r="D1402" s="15"/>
      <c r="E1402" s="15"/>
      <c r="F1402" s="15"/>
    </row>
    <row r="1403" spans="1:6" ht="24" customHeight="1">
      <c r="A1403" s="12" t="e">
        <f t="shared" si="14"/>
        <v>#N/A</v>
      </c>
      <c r="B1403" s="15" t="e">
        <f>VLOOKUP(D311,[1]국문!$1:$1048576,16,0)</f>
        <v>#N/A</v>
      </c>
      <c r="C1403" s="15"/>
      <c r="D1403" s="15"/>
      <c r="E1403" s="15"/>
      <c r="F1403" s="15"/>
    </row>
    <row r="1404" spans="1:6" ht="18" customHeight="1">
      <c r="A1404" s="12" t="e">
        <f t="shared" si="14"/>
        <v>#N/A</v>
      </c>
      <c r="B1404" s="15" t="e">
        <f>VLOOKUP(D312,[1]국문!$1:$1048576,16,0)</f>
        <v>#N/A</v>
      </c>
      <c r="C1404" s="15"/>
      <c r="D1404" s="15"/>
      <c r="E1404" s="15"/>
      <c r="F1404" s="15"/>
    </row>
    <row r="1405" spans="1:6" ht="15" customHeight="1">
      <c r="A1405" s="12" t="e">
        <f t="shared" si="14"/>
        <v>#N/A</v>
      </c>
      <c r="B1405" s="15" t="e">
        <f>VLOOKUP(D313,[1]국문!$1:$1048576,16,0)</f>
        <v>#N/A</v>
      </c>
      <c r="C1405" s="15"/>
      <c r="D1405" s="15"/>
      <c r="E1405" s="15"/>
      <c r="F1405" s="15"/>
    </row>
    <row r="1406" spans="1:6">
      <c r="A1406" s="12" t="e">
        <f t="shared" si="14"/>
        <v>#N/A</v>
      </c>
      <c r="B1406" s="15" t="e">
        <f>VLOOKUP(D314,[1]국문!$1:$1048576,16,0)</f>
        <v>#N/A</v>
      </c>
      <c r="C1406" s="15"/>
      <c r="D1406" s="15"/>
      <c r="E1406" s="15"/>
      <c r="F1406" s="15"/>
    </row>
    <row r="1407" spans="1:6">
      <c r="A1407" s="12" t="e">
        <f t="shared" si="14"/>
        <v>#N/A</v>
      </c>
      <c r="B1407" s="15" t="e">
        <f>VLOOKUP(D315,[1]국문!$1:$1048576,16,0)</f>
        <v>#N/A</v>
      </c>
      <c r="C1407" s="15"/>
      <c r="D1407" s="15"/>
      <c r="E1407" s="15"/>
      <c r="F1407" s="15"/>
    </row>
    <row r="1408" spans="1:6">
      <c r="A1408" s="12" t="e">
        <f t="shared" si="14"/>
        <v>#N/A</v>
      </c>
      <c r="B1408" s="15" t="e">
        <f>VLOOKUP(D316,[1]국문!$1:$1048576,16,0)</f>
        <v>#N/A</v>
      </c>
      <c r="C1408" s="15"/>
      <c r="D1408" s="15"/>
      <c r="E1408" s="15"/>
      <c r="F1408" s="15"/>
    </row>
    <row r="1409" spans="1:6">
      <c r="A1409" s="12" t="e">
        <f t="shared" si="14"/>
        <v>#N/A</v>
      </c>
      <c r="B1409" s="15" t="e">
        <f>VLOOKUP(D317,[1]국문!$1:$1048576,16,0)</f>
        <v>#N/A</v>
      </c>
      <c r="C1409" s="15"/>
      <c r="D1409" s="15"/>
      <c r="E1409" s="15"/>
      <c r="F1409" s="15"/>
    </row>
    <row r="1410" spans="1:6" ht="18" customHeight="1">
      <c r="A1410" s="12" t="e">
        <f t="shared" si="14"/>
        <v>#N/A</v>
      </c>
      <c r="B1410" s="15" t="e">
        <f>VLOOKUP(D318,[1]국문!$1:$1048576,16,0)</f>
        <v>#N/A</v>
      </c>
      <c r="C1410" s="15"/>
      <c r="D1410" s="15"/>
      <c r="E1410" s="15"/>
      <c r="F1410" s="15"/>
    </row>
    <row r="1411" spans="1:6" ht="18" customHeight="1">
      <c r="A1411" s="12" t="e">
        <f t="shared" ref="A1411:A1417" si="15">A326</f>
        <v>#N/A</v>
      </c>
      <c r="B1411" s="15" t="e">
        <f>VLOOKUP(D319,[1]국문!$1:$1048576,16,0)</f>
        <v>#N/A</v>
      </c>
      <c r="C1411" s="15"/>
      <c r="D1411" s="15"/>
      <c r="E1411" s="15"/>
      <c r="F1411" s="15"/>
    </row>
    <row r="1412" spans="1:6" ht="18" customHeight="1">
      <c r="A1412" s="12" t="e">
        <f t="shared" si="15"/>
        <v>#N/A</v>
      </c>
      <c r="B1412" s="15" t="e">
        <f>VLOOKUP(D320,[1]국문!$1:$1048576,16,0)</f>
        <v>#N/A</v>
      </c>
      <c r="C1412" s="15"/>
      <c r="D1412" s="15"/>
      <c r="E1412" s="15"/>
      <c r="F1412" s="15"/>
    </row>
    <row r="1413" spans="1:6" ht="18" customHeight="1">
      <c r="A1413" s="12" t="e">
        <f t="shared" si="15"/>
        <v>#N/A</v>
      </c>
      <c r="B1413" s="15" t="e">
        <f>VLOOKUP(D321,[1]국문!$1:$1048576,16,0)</f>
        <v>#N/A</v>
      </c>
      <c r="C1413" s="15"/>
      <c r="D1413" s="15"/>
      <c r="E1413" s="15"/>
      <c r="F1413" s="15"/>
    </row>
    <row r="1414" spans="1:6" ht="18" customHeight="1">
      <c r="A1414" s="12" t="e">
        <f t="shared" si="15"/>
        <v>#N/A</v>
      </c>
      <c r="B1414" s="15" t="e">
        <f>VLOOKUP(D322,[1]국문!$1:$1048576,16,0)</f>
        <v>#N/A</v>
      </c>
      <c r="C1414" s="15"/>
      <c r="D1414" s="15"/>
      <c r="E1414" s="15"/>
      <c r="F1414" s="15"/>
    </row>
    <row r="1415" spans="1:6" ht="18" customHeight="1">
      <c r="A1415" s="12" t="e">
        <f t="shared" si="15"/>
        <v>#N/A</v>
      </c>
      <c r="B1415" s="15" t="e">
        <f>VLOOKUP(D323,[1]국문!$1:$1048576,16,0)</f>
        <v>#N/A</v>
      </c>
      <c r="C1415" s="15"/>
      <c r="D1415" s="15"/>
      <c r="E1415" s="15"/>
      <c r="F1415" s="15"/>
    </row>
    <row r="1416" spans="1:6" ht="18" customHeight="1">
      <c r="A1416" s="12" t="e">
        <f t="shared" si="15"/>
        <v>#N/A</v>
      </c>
      <c r="B1416" s="15" t="e">
        <f>VLOOKUP(D324,[1]국문!$1:$1048576,16,0)</f>
        <v>#N/A</v>
      </c>
      <c r="C1416" s="15"/>
      <c r="D1416" s="15"/>
      <c r="E1416" s="15"/>
      <c r="F1416" s="15"/>
    </row>
    <row r="1417" spans="1:6" ht="18" customHeight="1">
      <c r="A1417" s="12" t="e">
        <f t="shared" si="15"/>
        <v>#N/A</v>
      </c>
      <c r="B1417" s="15" t="e">
        <f>VLOOKUP(D325,[1]국문!$1:$1048576,16,0)</f>
        <v>#N/A</v>
      </c>
      <c r="C1417" s="15"/>
      <c r="D1417" s="15"/>
      <c r="E1417" s="15"/>
      <c r="F1417" s="15"/>
    </row>
    <row r="1418" spans="1:6" ht="18" customHeight="1">
      <c r="A1418" s="8" t="s">
        <v>214</v>
      </c>
      <c r="B1418" s="15"/>
      <c r="C1418" s="15"/>
      <c r="D1418" s="15"/>
      <c r="E1418" s="15"/>
      <c r="F1418" s="15"/>
    </row>
    <row r="1419" spans="1:6" ht="24.95" customHeight="1">
      <c r="A1419" s="12" t="e">
        <f>A133</f>
        <v>#N/A</v>
      </c>
      <c r="B1419" s="15" t="e">
        <f>VLOOKUP(D96,[1]국문!$1:$1048576,17,0)</f>
        <v>#N/A</v>
      </c>
      <c r="C1419" s="15"/>
      <c r="D1419" s="15"/>
      <c r="E1419" s="15"/>
      <c r="F1419" s="15"/>
    </row>
    <row r="1420" spans="1:6" ht="24.75" customHeight="1">
      <c r="A1420" s="12" t="e">
        <f t="shared" ref="A1420:A1483" si="16">A134</f>
        <v>#N/A</v>
      </c>
      <c r="B1420" s="15" t="e">
        <f>VLOOKUP(D97,[1]국문!$1:$1048576,17,0)</f>
        <v>#N/A</v>
      </c>
      <c r="C1420" s="15"/>
      <c r="D1420" s="15"/>
      <c r="E1420" s="15"/>
      <c r="F1420" s="15"/>
    </row>
    <row r="1421" spans="1:6" ht="24.95" customHeight="1">
      <c r="A1421" s="12" t="e">
        <f t="shared" si="16"/>
        <v>#N/A</v>
      </c>
      <c r="B1421" s="15" t="e">
        <f>VLOOKUP(D98,[1]국문!$1:$1048576,17,0)</f>
        <v>#N/A</v>
      </c>
      <c r="C1421" s="15"/>
      <c r="D1421" s="15"/>
      <c r="E1421" s="15"/>
      <c r="F1421" s="15"/>
    </row>
    <row r="1422" spans="1:6" ht="46.5" customHeight="1">
      <c r="A1422" s="12" t="e">
        <f t="shared" si="16"/>
        <v>#N/A</v>
      </c>
      <c r="B1422" s="15" t="e">
        <f>VLOOKUP(D99,[1]국문!$1:$1048576,17,0)</f>
        <v>#N/A</v>
      </c>
      <c r="C1422" s="15"/>
      <c r="D1422" s="15"/>
      <c r="E1422" s="15"/>
      <c r="F1422" s="15"/>
    </row>
    <row r="1423" spans="1:6" ht="36" customHeight="1">
      <c r="A1423" s="12" t="e">
        <f t="shared" si="16"/>
        <v>#N/A</v>
      </c>
      <c r="B1423" s="15" t="e">
        <f>VLOOKUP(D100,[1]국문!$1:$1048576,17,0)</f>
        <v>#N/A</v>
      </c>
      <c r="C1423" s="15"/>
      <c r="D1423" s="15"/>
      <c r="E1423" s="15"/>
      <c r="F1423" s="15"/>
    </row>
    <row r="1424" spans="1:6" ht="24.95" customHeight="1">
      <c r="A1424" s="12" t="e">
        <f t="shared" si="16"/>
        <v>#N/A</v>
      </c>
      <c r="B1424" s="15" t="e">
        <f>VLOOKUP(D101,[1]국문!$1:$1048576,17,0)</f>
        <v>#N/A</v>
      </c>
      <c r="C1424" s="15"/>
      <c r="D1424" s="15"/>
      <c r="E1424" s="15"/>
      <c r="F1424" s="15"/>
    </row>
    <row r="1425" spans="1:6" ht="24.75" customHeight="1">
      <c r="A1425" s="12" t="e">
        <f t="shared" si="16"/>
        <v>#N/A</v>
      </c>
      <c r="B1425" s="15" t="e">
        <f>VLOOKUP(D102,[1]국문!$1:$1048576,17,0)</f>
        <v>#N/A</v>
      </c>
      <c r="C1425" s="15"/>
      <c r="D1425" s="15"/>
      <c r="E1425" s="15"/>
      <c r="F1425" s="15"/>
    </row>
    <row r="1426" spans="1:6" ht="22.5" customHeight="1">
      <c r="A1426" s="12" t="e">
        <f t="shared" si="16"/>
        <v>#N/A</v>
      </c>
      <c r="B1426" s="15" t="e">
        <f>VLOOKUP(D103,[1]국문!$1:$1048576,17,0)</f>
        <v>#N/A</v>
      </c>
      <c r="C1426" s="15"/>
      <c r="D1426" s="15"/>
      <c r="E1426" s="15"/>
      <c r="F1426" s="15"/>
    </row>
    <row r="1427" spans="1:6" ht="24.95" customHeight="1">
      <c r="A1427" s="12" t="e">
        <f t="shared" si="16"/>
        <v>#N/A</v>
      </c>
      <c r="B1427" s="15" t="e">
        <f>VLOOKUP(D104,[1]국문!$1:$1048576,17,0)</f>
        <v>#N/A</v>
      </c>
      <c r="C1427" s="15"/>
      <c r="D1427" s="15"/>
      <c r="E1427" s="15"/>
      <c r="F1427" s="15"/>
    </row>
    <row r="1428" spans="1:6" ht="48" customHeight="1">
      <c r="A1428" s="12" t="e">
        <f t="shared" si="16"/>
        <v>#N/A</v>
      </c>
      <c r="B1428" s="15" t="e">
        <f>VLOOKUP(D105,[1]국문!$1:$1048576,17,0)</f>
        <v>#N/A</v>
      </c>
      <c r="C1428" s="15"/>
      <c r="D1428" s="15"/>
      <c r="E1428" s="15"/>
      <c r="F1428" s="15"/>
    </row>
    <row r="1429" spans="1:6" ht="66.75" customHeight="1">
      <c r="A1429" s="12" t="e">
        <f t="shared" si="16"/>
        <v>#N/A</v>
      </c>
      <c r="B1429" s="15" t="e">
        <f>VLOOKUP(D106,[1]국문!$1:$1048576,17,0)</f>
        <v>#N/A</v>
      </c>
      <c r="C1429" s="15"/>
      <c r="D1429" s="15"/>
      <c r="E1429" s="15"/>
      <c r="F1429" s="15"/>
    </row>
    <row r="1430" spans="1:6" ht="25.5" customHeight="1">
      <c r="A1430" s="12" t="e">
        <f t="shared" si="16"/>
        <v>#N/A</v>
      </c>
      <c r="B1430" s="15" t="e">
        <f>VLOOKUP(D107,[1]국문!$1:$1048576,17,0)</f>
        <v>#N/A</v>
      </c>
      <c r="C1430" s="15"/>
      <c r="D1430" s="15"/>
      <c r="E1430" s="15"/>
      <c r="F1430" s="15"/>
    </row>
    <row r="1431" spans="1:6" ht="24" customHeight="1">
      <c r="A1431" s="12" t="e">
        <f t="shared" si="16"/>
        <v>#N/A</v>
      </c>
      <c r="B1431" s="15" t="e">
        <f>VLOOKUP(D108,[1]국문!$1:$1048576,17,0)</f>
        <v>#N/A</v>
      </c>
      <c r="C1431" s="15"/>
      <c r="D1431" s="15"/>
      <c r="E1431" s="15"/>
      <c r="F1431" s="15"/>
    </row>
    <row r="1432" spans="1:6" ht="31.5" customHeight="1">
      <c r="A1432" s="12" t="e">
        <f t="shared" si="16"/>
        <v>#N/A</v>
      </c>
      <c r="B1432" s="15" t="e">
        <f>VLOOKUP(D109,[1]국문!$1:$1048576,17,0)</f>
        <v>#N/A</v>
      </c>
      <c r="C1432" s="15"/>
      <c r="D1432" s="15"/>
      <c r="E1432" s="15"/>
      <c r="F1432" s="15"/>
    </row>
    <row r="1433" spans="1:6" ht="24" customHeight="1">
      <c r="A1433" s="12" t="e">
        <f t="shared" si="16"/>
        <v>#N/A</v>
      </c>
      <c r="B1433" s="15" t="e">
        <f>VLOOKUP(D110,[1]국문!$1:$1048576,17,0)</f>
        <v>#N/A</v>
      </c>
      <c r="C1433" s="15"/>
      <c r="D1433" s="15"/>
      <c r="E1433" s="15"/>
      <c r="F1433" s="15"/>
    </row>
    <row r="1434" spans="1:6" ht="24" customHeight="1">
      <c r="A1434" s="12" t="e">
        <f t="shared" si="16"/>
        <v>#N/A</v>
      </c>
      <c r="B1434" s="15" t="e">
        <f>VLOOKUP(D139,[1]국문!$1:$1048576,17,0)</f>
        <v>#N/A</v>
      </c>
      <c r="C1434" s="15"/>
      <c r="D1434" s="15"/>
      <c r="E1434" s="15"/>
      <c r="F1434" s="15"/>
    </row>
    <row r="1435" spans="1:6" ht="68.25" customHeight="1">
      <c r="A1435" s="12" t="e">
        <f t="shared" si="16"/>
        <v>#N/A</v>
      </c>
      <c r="B1435" s="15" t="e">
        <f>VLOOKUP(D140,[1]국문!$1:$1048576,17,0)</f>
        <v>#N/A</v>
      </c>
      <c r="C1435" s="15"/>
      <c r="D1435" s="15"/>
      <c r="E1435" s="15"/>
      <c r="F1435" s="15"/>
    </row>
    <row r="1436" spans="1:6" ht="18" customHeight="1">
      <c r="A1436" s="12" t="e">
        <f t="shared" si="16"/>
        <v>#N/A</v>
      </c>
      <c r="B1436" s="15" t="e">
        <f>VLOOKUP(D141,[1]국문!$1:$1048576,17,0)</f>
        <v>#N/A</v>
      </c>
      <c r="C1436" s="15"/>
      <c r="D1436" s="15"/>
      <c r="E1436" s="15"/>
      <c r="F1436" s="15"/>
    </row>
    <row r="1437" spans="1:6" ht="18" customHeight="1">
      <c r="A1437" s="12" t="e">
        <f t="shared" si="16"/>
        <v>#N/A</v>
      </c>
      <c r="B1437" s="15" t="e">
        <f>VLOOKUP(D142,[1]국문!$1:$1048576,17,0)</f>
        <v>#N/A</v>
      </c>
      <c r="C1437" s="15"/>
      <c r="D1437" s="15"/>
      <c r="E1437" s="15"/>
      <c r="F1437" s="15"/>
    </row>
    <row r="1438" spans="1:6" ht="18" customHeight="1">
      <c r="A1438" s="12" t="e">
        <f t="shared" si="16"/>
        <v>#N/A</v>
      </c>
      <c r="B1438" s="15" t="e">
        <f>VLOOKUP(D143,[1]국문!$1:$1048576,17,0)</f>
        <v>#N/A</v>
      </c>
      <c r="C1438" s="15"/>
      <c r="D1438" s="15"/>
      <c r="E1438" s="15"/>
      <c r="F1438" s="15"/>
    </row>
    <row r="1439" spans="1:6">
      <c r="A1439" s="12" t="e">
        <f t="shared" si="16"/>
        <v>#N/A</v>
      </c>
      <c r="B1439" s="15" t="e">
        <f>VLOOKUP(D144,[1]국문!$1:$1048576,17,0)</f>
        <v>#N/A</v>
      </c>
      <c r="C1439" s="15"/>
      <c r="D1439" s="15"/>
      <c r="E1439" s="15"/>
      <c r="F1439" s="15"/>
    </row>
    <row r="1440" spans="1:6" ht="18" customHeight="1">
      <c r="A1440" s="12" t="e">
        <f t="shared" si="16"/>
        <v>#N/A</v>
      </c>
      <c r="B1440" s="15" t="e">
        <f>VLOOKUP(D145,[1]국문!$1:$1048576,17,0)</f>
        <v>#N/A</v>
      </c>
      <c r="C1440" s="15"/>
      <c r="D1440" s="15"/>
      <c r="E1440" s="15"/>
      <c r="F1440" s="15"/>
    </row>
    <row r="1441" spans="1:6" ht="18" customHeight="1">
      <c r="A1441" s="12" t="e">
        <f t="shared" si="16"/>
        <v>#N/A</v>
      </c>
      <c r="B1441" s="15" t="e">
        <f>VLOOKUP(D146,[1]국문!$1:$1048576,17,0)</f>
        <v>#N/A</v>
      </c>
      <c r="C1441" s="15"/>
      <c r="D1441" s="15"/>
      <c r="E1441" s="15"/>
      <c r="F1441" s="15"/>
    </row>
    <row r="1442" spans="1:6" ht="18" customHeight="1">
      <c r="A1442" s="12" t="e">
        <f t="shared" si="16"/>
        <v>#N/A</v>
      </c>
      <c r="B1442" s="15" t="e">
        <f>VLOOKUP(D147,[1]국문!$1:$1048576,17,0)</f>
        <v>#N/A</v>
      </c>
      <c r="C1442" s="15"/>
      <c r="D1442" s="15"/>
      <c r="E1442" s="15"/>
      <c r="F1442" s="15"/>
    </row>
    <row r="1443" spans="1:6" ht="18" customHeight="1">
      <c r="A1443" s="12" t="e">
        <f t="shared" si="16"/>
        <v>#N/A</v>
      </c>
      <c r="B1443" s="15" t="e">
        <f>VLOOKUP(D148,[1]국문!$1:$1048576,17,0)</f>
        <v>#N/A</v>
      </c>
      <c r="C1443" s="15"/>
      <c r="D1443" s="15"/>
      <c r="E1443" s="15"/>
      <c r="F1443" s="15"/>
    </row>
    <row r="1444" spans="1:6">
      <c r="A1444" s="12" t="e">
        <f t="shared" si="16"/>
        <v>#N/A</v>
      </c>
      <c r="B1444" s="15" t="e">
        <f>VLOOKUP(D149,[1]국문!$1:$1048576,17,0)</f>
        <v>#N/A</v>
      </c>
      <c r="C1444" s="15"/>
      <c r="D1444" s="15"/>
      <c r="E1444" s="15"/>
      <c r="F1444" s="15"/>
    </row>
    <row r="1445" spans="1:6">
      <c r="A1445" s="12" t="e">
        <f t="shared" si="16"/>
        <v>#N/A</v>
      </c>
      <c r="B1445" s="15" t="e">
        <f>VLOOKUP(D150,[1]국문!$1:$1048576,17,0)</f>
        <v>#N/A</v>
      </c>
      <c r="C1445" s="15"/>
      <c r="D1445" s="15"/>
      <c r="E1445" s="15"/>
      <c r="F1445" s="15"/>
    </row>
    <row r="1446" spans="1:6">
      <c r="A1446" s="12" t="e">
        <f t="shared" si="16"/>
        <v>#N/A</v>
      </c>
      <c r="B1446" s="15" t="e">
        <f>VLOOKUP(D151,[1]국문!$1:$1048576,17,0)</f>
        <v>#N/A</v>
      </c>
      <c r="C1446" s="15"/>
      <c r="D1446" s="15"/>
      <c r="E1446" s="15"/>
      <c r="F1446" s="15"/>
    </row>
    <row r="1447" spans="1:6" ht="18" customHeight="1">
      <c r="A1447" s="12" t="e">
        <f t="shared" si="16"/>
        <v>#N/A</v>
      </c>
      <c r="B1447" s="15" t="e">
        <f>VLOOKUP(D152,[1]국문!$1:$1048576,17,0)</f>
        <v>#N/A</v>
      </c>
      <c r="C1447" s="15"/>
      <c r="D1447" s="15"/>
      <c r="E1447" s="15"/>
      <c r="F1447" s="15"/>
    </row>
    <row r="1448" spans="1:6" ht="18" customHeight="1">
      <c r="A1448" s="12" t="e">
        <f t="shared" si="16"/>
        <v>#N/A</v>
      </c>
      <c r="B1448" s="15" t="e">
        <f>VLOOKUP(D153,[1]국문!$1:$1048576,17,0)</f>
        <v>#N/A</v>
      </c>
      <c r="C1448" s="15"/>
      <c r="D1448" s="15"/>
      <c r="E1448" s="15"/>
      <c r="F1448" s="15"/>
    </row>
    <row r="1449" spans="1:6" ht="18" customHeight="1">
      <c r="A1449" s="12" t="e">
        <f t="shared" si="16"/>
        <v>#N/A</v>
      </c>
      <c r="B1449" s="15" t="e">
        <f>VLOOKUP(D154,[1]국문!$1:$1048576,17,0)</f>
        <v>#N/A</v>
      </c>
      <c r="C1449" s="15"/>
      <c r="D1449" s="15"/>
      <c r="E1449" s="15"/>
      <c r="F1449" s="15"/>
    </row>
    <row r="1450" spans="1:6" ht="18" customHeight="1">
      <c r="A1450" s="12" t="e">
        <f t="shared" si="16"/>
        <v>#N/A</v>
      </c>
      <c r="B1450" s="15" t="e">
        <f>VLOOKUP(D155,[1]국문!$1:$1048576,17,0)</f>
        <v>#N/A</v>
      </c>
      <c r="C1450" s="15"/>
      <c r="D1450" s="15"/>
      <c r="E1450" s="15"/>
      <c r="F1450" s="15"/>
    </row>
    <row r="1451" spans="1:6" ht="18" customHeight="1">
      <c r="A1451" s="12" t="e">
        <f t="shared" si="16"/>
        <v>#N/A</v>
      </c>
      <c r="B1451" s="15" t="e">
        <f>VLOOKUP(D156,[1]국문!$1:$1048576,17,0)</f>
        <v>#N/A</v>
      </c>
      <c r="C1451" s="15"/>
      <c r="D1451" s="15"/>
      <c r="E1451" s="15"/>
      <c r="F1451" s="15"/>
    </row>
    <row r="1452" spans="1:6" ht="18" customHeight="1">
      <c r="A1452" s="12" t="e">
        <f t="shared" si="16"/>
        <v>#N/A</v>
      </c>
      <c r="B1452" s="15" t="e">
        <f>VLOOKUP(D157,[1]국문!$1:$1048576,17,0)</f>
        <v>#N/A</v>
      </c>
      <c r="C1452" s="15"/>
      <c r="D1452" s="15"/>
      <c r="E1452" s="15"/>
      <c r="F1452" s="15"/>
    </row>
    <row r="1453" spans="1:6" ht="24.95" customHeight="1">
      <c r="A1453" s="12" t="e">
        <f t="shared" si="16"/>
        <v>#N/A</v>
      </c>
      <c r="B1453" s="15" t="e">
        <f>VLOOKUP(D130,[1]국문!$1:$1048576,17,0)</f>
        <v>#N/A</v>
      </c>
      <c r="C1453" s="15"/>
      <c r="D1453" s="15"/>
      <c r="E1453" s="15"/>
      <c r="F1453" s="15"/>
    </row>
    <row r="1454" spans="1:6" ht="24.75" customHeight="1">
      <c r="A1454" s="12" t="e">
        <f t="shared" si="16"/>
        <v>#N/A</v>
      </c>
      <c r="B1454" s="15" t="e">
        <f>VLOOKUP(D131,[1]국문!$1:$1048576,17,0)</f>
        <v>#N/A</v>
      </c>
      <c r="C1454" s="15"/>
      <c r="D1454" s="15"/>
      <c r="E1454" s="15"/>
      <c r="F1454" s="15"/>
    </row>
    <row r="1455" spans="1:6" ht="24.95" customHeight="1">
      <c r="A1455" s="12" t="e">
        <f t="shared" si="16"/>
        <v>#N/A</v>
      </c>
      <c r="B1455" s="15" t="e">
        <f>VLOOKUP(D132,[1]국문!$1:$1048576,17,0)</f>
        <v>#N/A</v>
      </c>
      <c r="C1455" s="15"/>
      <c r="D1455" s="15"/>
      <c r="E1455" s="15"/>
      <c r="F1455" s="15"/>
    </row>
    <row r="1456" spans="1:6" ht="46.5" customHeight="1">
      <c r="A1456" s="12" t="e">
        <f t="shared" si="16"/>
        <v>#N/A</v>
      </c>
      <c r="B1456" s="15" t="e">
        <f>VLOOKUP(D133,[1]국문!$1:$1048576,17,0)</f>
        <v>#N/A</v>
      </c>
      <c r="C1456" s="15"/>
      <c r="D1456" s="15"/>
      <c r="E1456" s="15"/>
      <c r="F1456" s="15"/>
    </row>
    <row r="1457" spans="1:6" ht="36" customHeight="1">
      <c r="A1457" s="12" t="e">
        <f t="shared" si="16"/>
        <v>#N/A</v>
      </c>
      <c r="B1457" s="15" t="e">
        <f>VLOOKUP(D134,[1]국문!$1:$1048576,17,0)</f>
        <v>#N/A</v>
      </c>
      <c r="C1457" s="15"/>
      <c r="D1457" s="15"/>
      <c r="E1457" s="15"/>
      <c r="F1457" s="15"/>
    </row>
    <row r="1458" spans="1:6" ht="24.95" customHeight="1">
      <c r="A1458" s="12" t="e">
        <f t="shared" si="16"/>
        <v>#N/A</v>
      </c>
      <c r="B1458" s="15" t="e">
        <f>VLOOKUP(D135,[1]국문!$1:$1048576,17,0)</f>
        <v>#N/A</v>
      </c>
      <c r="C1458" s="15"/>
      <c r="D1458" s="15"/>
      <c r="E1458" s="15"/>
      <c r="F1458" s="15"/>
    </row>
    <row r="1459" spans="1:6" ht="24.75" customHeight="1">
      <c r="A1459" s="12" t="e">
        <f t="shared" si="16"/>
        <v>#N/A</v>
      </c>
      <c r="B1459" s="15" t="e">
        <f>VLOOKUP(D136,[1]국문!$1:$1048576,17,0)</f>
        <v>#N/A</v>
      </c>
      <c r="C1459" s="15"/>
      <c r="D1459" s="15"/>
      <c r="E1459" s="15"/>
      <c r="F1459" s="15"/>
    </row>
    <row r="1460" spans="1:6" ht="22.5" customHeight="1">
      <c r="A1460" s="12" t="e">
        <f t="shared" si="16"/>
        <v>#N/A</v>
      </c>
      <c r="B1460" s="15" t="e">
        <f>VLOOKUP(D137,[1]국문!$1:$1048576,17,0)</f>
        <v>#N/A</v>
      </c>
      <c r="C1460" s="15"/>
      <c r="D1460" s="15"/>
      <c r="E1460" s="15"/>
      <c r="F1460" s="15"/>
    </row>
    <row r="1461" spans="1:6" ht="24.95" customHeight="1">
      <c r="A1461" s="12" t="e">
        <f t="shared" si="16"/>
        <v>#N/A</v>
      </c>
      <c r="B1461" s="15" t="e">
        <f>VLOOKUP(D138,[1]국문!$1:$1048576,17,0)</f>
        <v>#N/A</v>
      </c>
      <c r="C1461" s="15"/>
      <c r="D1461" s="15"/>
      <c r="E1461" s="15"/>
      <c r="F1461" s="15"/>
    </row>
    <row r="1462" spans="1:6" ht="48" customHeight="1">
      <c r="A1462" s="12" t="e">
        <f t="shared" si="16"/>
        <v>#N/A</v>
      </c>
      <c r="B1462" s="15" t="e">
        <f>VLOOKUP(D139,[1]국문!$1:$1048576,17,0)</f>
        <v>#N/A</v>
      </c>
      <c r="C1462" s="15"/>
      <c r="D1462" s="15"/>
      <c r="E1462" s="15"/>
      <c r="F1462" s="15"/>
    </row>
    <row r="1463" spans="1:6" ht="66.75" customHeight="1">
      <c r="A1463" s="12" t="e">
        <f t="shared" si="16"/>
        <v>#N/A</v>
      </c>
      <c r="B1463" s="15" t="e">
        <f>VLOOKUP(D140,[1]국문!$1:$1048576,17,0)</f>
        <v>#N/A</v>
      </c>
      <c r="C1463" s="15"/>
      <c r="D1463" s="15"/>
      <c r="E1463" s="15"/>
      <c r="F1463" s="15"/>
    </row>
    <row r="1464" spans="1:6" ht="25.5" customHeight="1">
      <c r="A1464" s="12" t="e">
        <f t="shared" si="16"/>
        <v>#N/A</v>
      </c>
      <c r="B1464" s="15" t="e">
        <f>VLOOKUP(D141,[1]국문!$1:$1048576,17,0)</f>
        <v>#N/A</v>
      </c>
      <c r="C1464" s="15"/>
      <c r="D1464" s="15"/>
      <c r="E1464" s="15"/>
      <c r="F1464" s="15"/>
    </row>
    <row r="1465" spans="1:6" ht="24" customHeight="1">
      <c r="A1465" s="12" t="e">
        <f t="shared" si="16"/>
        <v>#N/A</v>
      </c>
      <c r="B1465" s="15" t="e">
        <f>VLOOKUP(D142,[1]국문!$1:$1048576,17,0)</f>
        <v>#N/A</v>
      </c>
      <c r="C1465" s="15"/>
      <c r="D1465" s="15"/>
      <c r="E1465" s="15"/>
      <c r="F1465" s="15"/>
    </row>
    <row r="1466" spans="1:6" ht="31.5" customHeight="1">
      <c r="A1466" s="12" t="e">
        <f t="shared" si="16"/>
        <v>#N/A</v>
      </c>
      <c r="B1466" s="15" t="e">
        <f>VLOOKUP(D143,[1]국문!$1:$1048576,17,0)</f>
        <v>#N/A</v>
      </c>
      <c r="C1466" s="15"/>
      <c r="D1466" s="15"/>
      <c r="E1466" s="15"/>
      <c r="F1466" s="15"/>
    </row>
    <row r="1467" spans="1:6" ht="24" customHeight="1">
      <c r="A1467" s="12" t="e">
        <f t="shared" si="16"/>
        <v>#N/A</v>
      </c>
      <c r="B1467" s="15" t="e">
        <f>VLOOKUP(D144,[1]국문!$1:$1048576,17,0)</f>
        <v>#N/A</v>
      </c>
      <c r="C1467" s="15"/>
      <c r="D1467" s="15"/>
      <c r="E1467" s="15"/>
      <c r="F1467" s="15"/>
    </row>
    <row r="1468" spans="1:6" ht="24" customHeight="1">
      <c r="A1468" s="12" t="e">
        <f t="shared" si="16"/>
        <v>#N/A</v>
      </c>
      <c r="B1468" s="15" t="e">
        <f>VLOOKUP(D173,[1]국문!$1:$1048576,17,0)</f>
        <v>#N/A</v>
      </c>
      <c r="C1468" s="15"/>
      <c r="D1468" s="15"/>
      <c r="E1468" s="15"/>
      <c r="F1468" s="15"/>
    </row>
    <row r="1469" spans="1:6" ht="68.25" customHeight="1">
      <c r="A1469" s="12" t="e">
        <f t="shared" si="16"/>
        <v>#N/A</v>
      </c>
      <c r="B1469" s="15" t="e">
        <f>VLOOKUP(D174,[1]국문!$1:$1048576,17,0)</f>
        <v>#N/A</v>
      </c>
      <c r="C1469" s="15"/>
      <c r="D1469" s="15"/>
      <c r="E1469" s="15"/>
      <c r="F1469" s="15"/>
    </row>
    <row r="1470" spans="1:6" ht="18" customHeight="1">
      <c r="A1470" s="12" t="e">
        <f t="shared" si="16"/>
        <v>#N/A</v>
      </c>
      <c r="B1470" s="15" t="e">
        <f>VLOOKUP(D175,[1]국문!$1:$1048576,17,0)</f>
        <v>#N/A</v>
      </c>
      <c r="C1470" s="15"/>
      <c r="D1470" s="15"/>
      <c r="E1470" s="15"/>
      <c r="F1470" s="15"/>
    </row>
    <row r="1471" spans="1:6" ht="18" customHeight="1">
      <c r="A1471" s="12" t="e">
        <f t="shared" si="16"/>
        <v>#N/A</v>
      </c>
      <c r="B1471" s="15" t="e">
        <f>VLOOKUP(D176,[1]국문!$1:$1048576,17,0)</f>
        <v>#N/A</v>
      </c>
      <c r="C1471" s="15"/>
      <c r="D1471" s="15"/>
      <c r="E1471" s="15"/>
      <c r="F1471" s="15"/>
    </row>
    <row r="1472" spans="1:6" ht="18" customHeight="1">
      <c r="A1472" s="12" t="e">
        <f t="shared" si="16"/>
        <v>#N/A</v>
      </c>
      <c r="B1472" s="15" t="e">
        <f>VLOOKUP(D177,[1]국문!$1:$1048576,17,0)</f>
        <v>#N/A</v>
      </c>
      <c r="C1472" s="15"/>
      <c r="D1472" s="15"/>
      <c r="E1472" s="15"/>
      <c r="F1472" s="15"/>
    </row>
    <row r="1473" spans="1:6">
      <c r="A1473" s="12" t="e">
        <f t="shared" si="16"/>
        <v>#N/A</v>
      </c>
      <c r="B1473" s="15" t="e">
        <f>VLOOKUP(D178,[1]국문!$1:$1048576,17,0)</f>
        <v>#N/A</v>
      </c>
      <c r="C1473" s="15"/>
      <c r="D1473" s="15"/>
      <c r="E1473" s="15"/>
      <c r="F1473" s="15"/>
    </row>
    <row r="1474" spans="1:6" ht="18" customHeight="1">
      <c r="A1474" s="12" t="e">
        <f t="shared" si="16"/>
        <v>#N/A</v>
      </c>
      <c r="B1474" s="15" t="e">
        <f>VLOOKUP(D179,[1]국문!$1:$1048576,17,0)</f>
        <v>#N/A</v>
      </c>
      <c r="C1474" s="15"/>
      <c r="D1474" s="15"/>
      <c r="E1474" s="15"/>
      <c r="F1474" s="15"/>
    </row>
    <row r="1475" spans="1:6" ht="18" customHeight="1">
      <c r="A1475" s="12" t="e">
        <f t="shared" si="16"/>
        <v>#N/A</v>
      </c>
      <c r="B1475" s="15" t="e">
        <f>VLOOKUP(D180,[1]국문!$1:$1048576,17,0)</f>
        <v>#N/A</v>
      </c>
      <c r="C1475" s="15"/>
      <c r="D1475" s="15"/>
      <c r="E1475" s="15"/>
      <c r="F1475" s="15"/>
    </row>
    <row r="1476" spans="1:6" ht="18" customHeight="1">
      <c r="A1476" s="12" t="e">
        <f t="shared" si="16"/>
        <v>#N/A</v>
      </c>
      <c r="B1476" s="15" t="e">
        <f>VLOOKUP(D181,[1]국문!$1:$1048576,17,0)</f>
        <v>#N/A</v>
      </c>
      <c r="C1476" s="15"/>
      <c r="D1476" s="15"/>
      <c r="E1476" s="15"/>
      <c r="F1476" s="15"/>
    </row>
    <row r="1477" spans="1:6" ht="18" customHeight="1">
      <c r="A1477" s="12" t="e">
        <f t="shared" si="16"/>
        <v>#N/A</v>
      </c>
      <c r="B1477" s="15" t="e">
        <f>VLOOKUP(D182,[1]국문!$1:$1048576,17,0)</f>
        <v>#N/A</v>
      </c>
      <c r="C1477" s="15"/>
      <c r="D1477" s="15"/>
      <c r="E1477" s="15"/>
      <c r="F1477" s="15"/>
    </row>
    <row r="1478" spans="1:6">
      <c r="A1478" s="12" t="e">
        <f t="shared" si="16"/>
        <v>#N/A</v>
      </c>
      <c r="B1478" s="15" t="e">
        <f>VLOOKUP(D183,[1]국문!$1:$1048576,17,0)</f>
        <v>#N/A</v>
      </c>
      <c r="C1478" s="15"/>
      <c r="D1478" s="15"/>
      <c r="E1478" s="15"/>
      <c r="F1478" s="15"/>
    </row>
    <row r="1479" spans="1:6">
      <c r="A1479" s="12" t="e">
        <f t="shared" si="16"/>
        <v>#N/A</v>
      </c>
      <c r="B1479" s="15" t="e">
        <f>VLOOKUP(D184,[1]국문!$1:$1048576,17,0)</f>
        <v>#N/A</v>
      </c>
      <c r="C1479" s="15"/>
      <c r="D1479" s="15"/>
      <c r="E1479" s="15"/>
      <c r="F1479" s="15"/>
    </row>
    <row r="1480" spans="1:6">
      <c r="A1480" s="12" t="e">
        <f t="shared" si="16"/>
        <v>#N/A</v>
      </c>
      <c r="B1480" s="15" t="e">
        <f>VLOOKUP(D185,[1]국문!$1:$1048576,17,0)</f>
        <v>#N/A</v>
      </c>
      <c r="C1480" s="15"/>
      <c r="D1480" s="15"/>
      <c r="E1480" s="15"/>
      <c r="F1480" s="15"/>
    </row>
    <row r="1481" spans="1:6" ht="18" customHeight="1">
      <c r="A1481" s="12" t="e">
        <f t="shared" si="16"/>
        <v>#N/A</v>
      </c>
      <c r="B1481" s="15" t="e">
        <f>VLOOKUP(D186,[1]국문!$1:$1048576,17,0)</f>
        <v>#N/A</v>
      </c>
      <c r="C1481" s="15"/>
      <c r="D1481" s="15"/>
      <c r="E1481" s="15"/>
      <c r="F1481" s="15"/>
    </row>
    <row r="1482" spans="1:6" ht="18" customHeight="1">
      <c r="A1482" s="12" t="e">
        <f t="shared" si="16"/>
        <v>#N/A</v>
      </c>
      <c r="B1482" s="15" t="e">
        <f>VLOOKUP(D187,[1]국문!$1:$1048576,17,0)</f>
        <v>#N/A</v>
      </c>
      <c r="C1482" s="15"/>
      <c r="D1482" s="15"/>
      <c r="E1482" s="15"/>
      <c r="F1482" s="15"/>
    </row>
    <row r="1483" spans="1:6" ht="24.95" customHeight="1">
      <c r="A1483" s="12" t="e">
        <f t="shared" si="16"/>
        <v>#N/A</v>
      </c>
      <c r="B1483" s="15" t="e">
        <f>VLOOKUP(D160,[1]국문!$1:$1048576,17,0)</f>
        <v>#N/A</v>
      </c>
      <c r="C1483" s="15"/>
      <c r="D1483" s="15"/>
      <c r="E1483" s="15"/>
      <c r="F1483" s="15"/>
    </row>
    <row r="1484" spans="1:6" ht="24.75" customHeight="1">
      <c r="A1484" s="12" t="e">
        <f t="shared" ref="A1484:A1547" si="17">A198</f>
        <v>#N/A</v>
      </c>
      <c r="B1484" s="15" t="e">
        <f>VLOOKUP(D161,[1]국문!$1:$1048576,17,0)</f>
        <v>#N/A</v>
      </c>
      <c r="C1484" s="15"/>
      <c r="D1484" s="15"/>
      <c r="E1484" s="15"/>
      <c r="F1484" s="15"/>
    </row>
    <row r="1485" spans="1:6" ht="24.95" customHeight="1">
      <c r="A1485" s="12" t="e">
        <f t="shared" si="17"/>
        <v>#N/A</v>
      </c>
      <c r="B1485" s="15" t="e">
        <f>VLOOKUP(D162,[1]국문!$1:$1048576,17,0)</f>
        <v>#N/A</v>
      </c>
      <c r="C1485" s="15"/>
      <c r="D1485" s="15"/>
      <c r="E1485" s="15"/>
      <c r="F1485" s="15"/>
    </row>
    <row r="1486" spans="1:6" ht="46.5" customHeight="1">
      <c r="A1486" s="12" t="e">
        <f t="shared" si="17"/>
        <v>#N/A</v>
      </c>
      <c r="B1486" s="15" t="e">
        <f>VLOOKUP(D163,[1]국문!$1:$1048576,17,0)</f>
        <v>#N/A</v>
      </c>
      <c r="C1486" s="15"/>
      <c r="D1486" s="15"/>
      <c r="E1486" s="15"/>
      <c r="F1486" s="15"/>
    </row>
    <row r="1487" spans="1:6" ht="36" customHeight="1">
      <c r="A1487" s="12" t="e">
        <f t="shared" si="17"/>
        <v>#N/A</v>
      </c>
      <c r="B1487" s="15" t="e">
        <f>VLOOKUP(D164,[1]국문!$1:$1048576,17,0)</f>
        <v>#N/A</v>
      </c>
      <c r="C1487" s="15"/>
      <c r="D1487" s="15"/>
      <c r="E1487" s="15"/>
      <c r="F1487" s="15"/>
    </row>
    <row r="1488" spans="1:6" ht="24.95" customHeight="1">
      <c r="A1488" s="12" t="e">
        <f t="shared" si="17"/>
        <v>#N/A</v>
      </c>
      <c r="B1488" s="15" t="e">
        <f>VLOOKUP(D165,[1]국문!$1:$1048576,17,0)</f>
        <v>#N/A</v>
      </c>
      <c r="C1488" s="15"/>
      <c r="D1488" s="15"/>
      <c r="E1488" s="15"/>
      <c r="F1488" s="15"/>
    </row>
    <row r="1489" spans="1:6" ht="24.75" customHeight="1">
      <c r="A1489" s="12" t="e">
        <f t="shared" si="17"/>
        <v>#N/A</v>
      </c>
      <c r="B1489" s="15" t="e">
        <f>VLOOKUP(D166,[1]국문!$1:$1048576,17,0)</f>
        <v>#N/A</v>
      </c>
      <c r="C1489" s="15"/>
      <c r="D1489" s="15"/>
      <c r="E1489" s="15"/>
      <c r="F1489" s="15"/>
    </row>
    <row r="1490" spans="1:6" ht="22.5" customHeight="1">
      <c r="A1490" s="12" t="e">
        <f t="shared" si="17"/>
        <v>#N/A</v>
      </c>
      <c r="B1490" s="15" t="e">
        <f>VLOOKUP(D167,[1]국문!$1:$1048576,17,0)</f>
        <v>#N/A</v>
      </c>
      <c r="C1490" s="15"/>
      <c r="D1490" s="15"/>
      <c r="E1490" s="15"/>
      <c r="F1490" s="15"/>
    </row>
    <row r="1491" spans="1:6" ht="24.95" customHeight="1">
      <c r="A1491" s="12" t="e">
        <f t="shared" si="17"/>
        <v>#N/A</v>
      </c>
      <c r="B1491" s="15" t="e">
        <f>VLOOKUP(D168,[1]국문!$1:$1048576,17,0)</f>
        <v>#N/A</v>
      </c>
      <c r="C1491" s="15"/>
      <c r="D1491" s="15"/>
      <c r="E1491" s="15"/>
      <c r="F1491" s="15"/>
    </row>
    <row r="1492" spans="1:6" ht="48" customHeight="1">
      <c r="A1492" s="12" t="e">
        <f t="shared" si="17"/>
        <v>#N/A</v>
      </c>
      <c r="B1492" s="15" t="e">
        <f>VLOOKUP(D169,[1]국문!$1:$1048576,17,0)</f>
        <v>#N/A</v>
      </c>
      <c r="C1492" s="15"/>
      <c r="D1492" s="15"/>
      <c r="E1492" s="15"/>
      <c r="F1492" s="15"/>
    </row>
    <row r="1493" spans="1:6" ht="66.75" customHeight="1">
      <c r="A1493" s="12" t="e">
        <f t="shared" si="17"/>
        <v>#N/A</v>
      </c>
      <c r="B1493" s="15" t="e">
        <f>VLOOKUP(D170,[1]국문!$1:$1048576,17,0)</f>
        <v>#N/A</v>
      </c>
      <c r="C1493" s="15"/>
      <c r="D1493" s="15"/>
      <c r="E1493" s="15"/>
      <c r="F1493" s="15"/>
    </row>
    <row r="1494" spans="1:6" ht="25.5" customHeight="1">
      <c r="A1494" s="12" t="e">
        <f t="shared" si="17"/>
        <v>#N/A</v>
      </c>
      <c r="B1494" s="15" t="e">
        <f>VLOOKUP(D171,[1]국문!$1:$1048576,17,0)</f>
        <v>#N/A</v>
      </c>
      <c r="C1494" s="15"/>
      <c r="D1494" s="15"/>
      <c r="E1494" s="15"/>
      <c r="F1494" s="15"/>
    </row>
    <row r="1495" spans="1:6" ht="24" customHeight="1">
      <c r="A1495" s="12" t="e">
        <f t="shared" si="17"/>
        <v>#N/A</v>
      </c>
      <c r="B1495" s="15" t="e">
        <f>VLOOKUP(D172,[1]국문!$1:$1048576,17,0)</f>
        <v>#N/A</v>
      </c>
      <c r="C1495" s="15"/>
      <c r="D1495" s="15"/>
      <c r="E1495" s="15"/>
      <c r="F1495" s="15"/>
    </row>
    <row r="1496" spans="1:6" ht="31.5" customHeight="1">
      <c r="A1496" s="12" t="e">
        <f t="shared" si="17"/>
        <v>#N/A</v>
      </c>
      <c r="B1496" s="15" t="e">
        <f>VLOOKUP(D173,[1]국문!$1:$1048576,17,0)</f>
        <v>#N/A</v>
      </c>
      <c r="C1496" s="15"/>
      <c r="D1496" s="15"/>
      <c r="E1496" s="15"/>
      <c r="F1496" s="15"/>
    </row>
    <row r="1497" spans="1:6" ht="24" customHeight="1">
      <c r="A1497" s="12" t="e">
        <f t="shared" si="17"/>
        <v>#N/A</v>
      </c>
      <c r="B1497" s="15" t="e">
        <f>VLOOKUP(D174,[1]국문!$1:$1048576,17,0)</f>
        <v>#N/A</v>
      </c>
      <c r="C1497" s="15"/>
      <c r="D1497" s="15"/>
      <c r="E1497" s="15"/>
      <c r="F1497" s="15"/>
    </row>
    <row r="1498" spans="1:6" ht="24" customHeight="1">
      <c r="A1498" s="12" t="e">
        <f t="shared" si="17"/>
        <v>#N/A</v>
      </c>
      <c r="B1498" s="15" t="e">
        <f>VLOOKUP(D203,[1]국문!$1:$1048576,17,0)</f>
        <v>#N/A</v>
      </c>
      <c r="C1498" s="15"/>
      <c r="D1498" s="15"/>
      <c r="E1498" s="15"/>
      <c r="F1498" s="15"/>
    </row>
    <row r="1499" spans="1:6" ht="68.25" customHeight="1">
      <c r="A1499" s="12" t="e">
        <f t="shared" si="17"/>
        <v>#N/A</v>
      </c>
      <c r="B1499" s="15" t="e">
        <f>VLOOKUP(D204,[1]국문!$1:$1048576,17,0)</f>
        <v>#N/A</v>
      </c>
      <c r="C1499" s="15"/>
      <c r="D1499" s="15"/>
      <c r="E1499" s="15"/>
      <c r="F1499" s="15"/>
    </row>
    <row r="1500" spans="1:6" ht="18" customHeight="1">
      <c r="A1500" s="12" t="e">
        <f t="shared" si="17"/>
        <v>#N/A</v>
      </c>
      <c r="B1500" s="15" t="e">
        <f>VLOOKUP(D205,[1]국문!$1:$1048576,17,0)</f>
        <v>#N/A</v>
      </c>
      <c r="C1500" s="15"/>
      <c r="D1500" s="15"/>
      <c r="E1500" s="15"/>
      <c r="F1500" s="15"/>
    </row>
    <row r="1501" spans="1:6" ht="18" customHeight="1">
      <c r="A1501" s="12" t="e">
        <f t="shared" si="17"/>
        <v>#N/A</v>
      </c>
      <c r="B1501" s="15" t="e">
        <f>VLOOKUP(D206,[1]국문!$1:$1048576,17,0)</f>
        <v>#N/A</v>
      </c>
      <c r="C1501" s="15"/>
      <c r="D1501" s="15"/>
      <c r="E1501" s="15"/>
      <c r="F1501" s="15"/>
    </row>
    <row r="1502" spans="1:6" ht="18" customHeight="1">
      <c r="A1502" s="12" t="e">
        <f t="shared" si="17"/>
        <v>#N/A</v>
      </c>
      <c r="B1502" s="15" t="e">
        <f>VLOOKUP(D207,[1]국문!$1:$1048576,17,0)</f>
        <v>#N/A</v>
      </c>
      <c r="C1502" s="15"/>
      <c r="D1502" s="15"/>
      <c r="E1502" s="15"/>
      <c r="F1502" s="15"/>
    </row>
    <row r="1503" spans="1:6">
      <c r="A1503" s="12" t="e">
        <f t="shared" si="17"/>
        <v>#N/A</v>
      </c>
      <c r="B1503" s="15" t="e">
        <f>VLOOKUP(D208,[1]국문!$1:$1048576,17,0)</f>
        <v>#N/A</v>
      </c>
      <c r="C1503" s="15"/>
      <c r="D1503" s="15"/>
      <c r="E1503" s="15"/>
      <c r="F1503" s="15"/>
    </row>
    <row r="1504" spans="1:6" ht="18" customHeight="1">
      <c r="A1504" s="12" t="e">
        <f t="shared" si="17"/>
        <v>#N/A</v>
      </c>
      <c r="B1504" s="15" t="e">
        <f>VLOOKUP(D209,[1]국문!$1:$1048576,17,0)</f>
        <v>#N/A</v>
      </c>
      <c r="C1504" s="15"/>
      <c r="D1504" s="15"/>
      <c r="E1504" s="15"/>
      <c r="F1504" s="15"/>
    </row>
    <row r="1505" spans="1:6" ht="18" customHeight="1">
      <c r="A1505" s="12" t="e">
        <f t="shared" si="17"/>
        <v>#N/A</v>
      </c>
      <c r="B1505" s="15" t="e">
        <f>VLOOKUP(D210,[1]국문!$1:$1048576,17,0)</f>
        <v>#N/A</v>
      </c>
      <c r="C1505" s="15"/>
      <c r="D1505" s="15"/>
      <c r="E1505" s="15"/>
      <c r="F1505" s="15"/>
    </row>
    <row r="1506" spans="1:6" ht="18" customHeight="1">
      <c r="A1506" s="12" t="e">
        <f t="shared" si="17"/>
        <v>#N/A</v>
      </c>
      <c r="B1506" s="15" t="e">
        <f>VLOOKUP(D211,[1]국문!$1:$1048576,17,0)</f>
        <v>#N/A</v>
      </c>
      <c r="C1506" s="15"/>
      <c r="D1506" s="15"/>
      <c r="E1506" s="15"/>
      <c r="F1506" s="15"/>
    </row>
    <row r="1507" spans="1:6" ht="18" customHeight="1">
      <c r="A1507" s="12" t="e">
        <f t="shared" si="17"/>
        <v>#N/A</v>
      </c>
      <c r="B1507" s="15" t="e">
        <f>VLOOKUP(D212,[1]국문!$1:$1048576,17,0)</f>
        <v>#N/A</v>
      </c>
      <c r="C1507" s="15"/>
      <c r="D1507" s="15"/>
      <c r="E1507" s="15"/>
      <c r="F1507" s="15"/>
    </row>
    <row r="1508" spans="1:6">
      <c r="A1508" s="12" t="e">
        <f t="shared" si="17"/>
        <v>#N/A</v>
      </c>
      <c r="B1508" s="15" t="e">
        <f>VLOOKUP(D213,[1]국문!$1:$1048576,17,0)</f>
        <v>#N/A</v>
      </c>
      <c r="C1508" s="15"/>
      <c r="D1508" s="15"/>
      <c r="E1508" s="15"/>
      <c r="F1508" s="15"/>
    </row>
    <row r="1509" spans="1:6">
      <c r="A1509" s="12" t="e">
        <f t="shared" si="17"/>
        <v>#N/A</v>
      </c>
      <c r="B1509" s="15" t="e">
        <f>VLOOKUP(D214,[1]국문!$1:$1048576,17,0)</f>
        <v>#N/A</v>
      </c>
      <c r="C1509" s="15"/>
      <c r="D1509" s="15"/>
      <c r="E1509" s="15"/>
      <c r="F1509" s="15"/>
    </row>
    <row r="1510" spans="1:6">
      <c r="A1510" s="12" t="e">
        <f t="shared" si="17"/>
        <v>#N/A</v>
      </c>
      <c r="B1510" s="15" t="e">
        <f>VLOOKUP(D215,[1]국문!$1:$1048576,17,0)</f>
        <v>#N/A</v>
      </c>
      <c r="C1510" s="15"/>
      <c r="D1510" s="15"/>
      <c r="E1510" s="15"/>
      <c r="F1510" s="15"/>
    </row>
    <row r="1511" spans="1:6" ht="18" customHeight="1">
      <c r="A1511" s="12" t="e">
        <f t="shared" si="17"/>
        <v>#N/A</v>
      </c>
      <c r="B1511" s="15" t="e">
        <f>VLOOKUP(D216,[1]국문!$1:$1048576,17,0)</f>
        <v>#N/A</v>
      </c>
      <c r="C1511" s="15"/>
      <c r="D1511" s="15"/>
      <c r="E1511" s="15"/>
      <c r="F1511" s="15"/>
    </row>
    <row r="1512" spans="1:6" ht="18" customHeight="1">
      <c r="A1512" s="12" t="e">
        <f t="shared" si="17"/>
        <v>#N/A</v>
      </c>
      <c r="B1512" s="15" t="e">
        <f>VLOOKUP(D217,[1]국문!$1:$1048576,17,0)</f>
        <v>#N/A</v>
      </c>
      <c r="C1512" s="15"/>
      <c r="D1512" s="15"/>
      <c r="E1512" s="15"/>
      <c r="F1512" s="15"/>
    </row>
    <row r="1513" spans="1:6" ht="18" customHeight="1">
      <c r="A1513" s="12" t="e">
        <f t="shared" si="17"/>
        <v>#N/A</v>
      </c>
      <c r="B1513" s="15" t="e">
        <f>VLOOKUP(D218,[1]국문!$1:$1048576,17,0)</f>
        <v>#N/A</v>
      </c>
      <c r="C1513" s="15"/>
      <c r="D1513" s="15"/>
      <c r="E1513" s="15"/>
      <c r="F1513" s="15"/>
    </row>
    <row r="1514" spans="1:6" ht="18" customHeight="1">
      <c r="A1514" s="12" t="e">
        <f t="shared" si="17"/>
        <v>#N/A</v>
      </c>
      <c r="B1514" s="15" t="e">
        <f>VLOOKUP(D219,[1]국문!$1:$1048576,17,0)</f>
        <v>#N/A</v>
      </c>
      <c r="C1514" s="15"/>
      <c r="D1514" s="15"/>
      <c r="E1514" s="15"/>
      <c r="F1514" s="15"/>
    </row>
    <row r="1515" spans="1:6" ht="18" customHeight="1">
      <c r="A1515" s="12" t="e">
        <f t="shared" si="17"/>
        <v>#N/A</v>
      </c>
      <c r="B1515" s="15" t="e">
        <f>VLOOKUP(D220,[1]국문!$1:$1048576,17,0)</f>
        <v>#N/A</v>
      </c>
      <c r="C1515" s="15"/>
      <c r="D1515" s="15"/>
      <c r="E1515" s="15"/>
      <c r="F1515" s="15"/>
    </row>
    <row r="1516" spans="1:6" ht="18" customHeight="1">
      <c r="A1516" s="12" t="e">
        <f t="shared" si="17"/>
        <v>#N/A</v>
      </c>
      <c r="B1516" s="15" t="e">
        <f>VLOOKUP(D221,[1]국문!$1:$1048576,17,0)</f>
        <v>#N/A</v>
      </c>
      <c r="C1516" s="15"/>
      <c r="D1516" s="15"/>
      <c r="E1516" s="15"/>
      <c r="F1516" s="15"/>
    </row>
    <row r="1517" spans="1:6" ht="24.95" customHeight="1">
      <c r="A1517" s="12" t="e">
        <f t="shared" si="17"/>
        <v>#N/A</v>
      </c>
      <c r="B1517" s="15" t="e">
        <f>VLOOKUP(D194,[1]국문!$1:$1048576,17,0)</f>
        <v>#N/A</v>
      </c>
      <c r="C1517" s="15"/>
      <c r="D1517" s="15"/>
      <c r="E1517" s="15"/>
      <c r="F1517" s="15"/>
    </row>
    <row r="1518" spans="1:6" ht="24.75" customHeight="1">
      <c r="A1518" s="12" t="e">
        <f t="shared" si="17"/>
        <v>#N/A</v>
      </c>
      <c r="B1518" s="15" t="e">
        <f>VLOOKUP(D195,[1]국문!$1:$1048576,17,0)</f>
        <v>#N/A</v>
      </c>
      <c r="C1518" s="15"/>
      <c r="D1518" s="15"/>
      <c r="E1518" s="15"/>
      <c r="F1518" s="15"/>
    </row>
    <row r="1519" spans="1:6" ht="24.95" customHeight="1">
      <c r="A1519" s="12" t="e">
        <f t="shared" si="17"/>
        <v>#N/A</v>
      </c>
      <c r="B1519" s="15" t="e">
        <f>VLOOKUP(D196,[1]국문!$1:$1048576,17,0)</f>
        <v>#N/A</v>
      </c>
      <c r="C1519" s="15"/>
      <c r="D1519" s="15"/>
      <c r="E1519" s="15"/>
      <c r="F1519" s="15"/>
    </row>
    <row r="1520" spans="1:6" ht="46.5" customHeight="1">
      <c r="A1520" s="12" t="e">
        <f t="shared" si="17"/>
        <v>#N/A</v>
      </c>
      <c r="B1520" s="15" t="e">
        <f>VLOOKUP(D197,[1]국문!$1:$1048576,17,0)</f>
        <v>#N/A</v>
      </c>
      <c r="C1520" s="15"/>
      <c r="D1520" s="15"/>
      <c r="E1520" s="15"/>
      <c r="F1520" s="15"/>
    </row>
    <row r="1521" spans="1:6" ht="36" customHeight="1">
      <c r="A1521" s="12" t="e">
        <f t="shared" si="17"/>
        <v>#N/A</v>
      </c>
      <c r="B1521" s="15" t="e">
        <f>VLOOKUP(D198,[1]국문!$1:$1048576,17,0)</f>
        <v>#N/A</v>
      </c>
      <c r="C1521" s="15"/>
      <c r="D1521" s="15"/>
      <c r="E1521" s="15"/>
      <c r="F1521" s="15"/>
    </row>
    <row r="1522" spans="1:6" ht="24.95" customHeight="1">
      <c r="A1522" s="12" t="e">
        <f t="shared" si="17"/>
        <v>#N/A</v>
      </c>
      <c r="B1522" s="15" t="e">
        <f>VLOOKUP(D199,[1]국문!$1:$1048576,17,0)</f>
        <v>#N/A</v>
      </c>
      <c r="C1522" s="15"/>
      <c r="D1522" s="15"/>
      <c r="E1522" s="15"/>
      <c r="F1522" s="15"/>
    </row>
    <row r="1523" spans="1:6" ht="24.75" customHeight="1">
      <c r="A1523" s="12" t="e">
        <f t="shared" si="17"/>
        <v>#N/A</v>
      </c>
      <c r="B1523" s="15" t="e">
        <f>VLOOKUP(D200,[1]국문!$1:$1048576,17,0)</f>
        <v>#N/A</v>
      </c>
      <c r="C1523" s="15"/>
      <c r="D1523" s="15"/>
      <c r="E1523" s="15"/>
      <c r="F1523" s="15"/>
    </row>
    <row r="1524" spans="1:6" ht="22.5" customHeight="1">
      <c r="A1524" s="12" t="e">
        <f t="shared" si="17"/>
        <v>#N/A</v>
      </c>
      <c r="B1524" s="15" t="e">
        <f>VLOOKUP(D201,[1]국문!$1:$1048576,17,0)</f>
        <v>#N/A</v>
      </c>
      <c r="C1524" s="15"/>
      <c r="D1524" s="15"/>
      <c r="E1524" s="15"/>
      <c r="F1524" s="15"/>
    </row>
    <row r="1525" spans="1:6" ht="24.95" customHeight="1">
      <c r="A1525" s="12" t="e">
        <f t="shared" si="17"/>
        <v>#N/A</v>
      </c>
      <c r="B1525" s="15" t="e">
        <f>VLOOKUP(D202,[1]국문!$1:$1048576,17,0)</f>
        <v>#N/A</v>
      </c>
      <c r="C1525" s="15"/>
      <c r="D1525" s="15"/>
      <c r="E1525" s="15"/>
      <c r="F1525" s="15"/>
    </row>
    <row r="1526" spans="1:6" ht="48" customHeight="1">
      <c r="A1526" s="12" t="e">
        <f t="shared" si="17"/>
        <v>#N/A</v>
      </c>
      <c r="B1526" s="15" t="e">
        <f>VLOOKUP(D203,[1]국문!$1:$1048576,17,0)</f>
        <v>#N/A</v>
      </c>
      <c r="C1526" s="15"/>
      <c r="D1526" s="15"/>
      <c r="E1526" s="15"/>
      <c r="F1526" s="15"/>
    </row>
    <row r="1527" spans="1:6" ht="66.75" customHeight="1">
      <c r="A1527" s="12" t="e">
        <f t="shared" si="17"/>
        <v>#N/A</v>
      </c>
      <c r="B1527" s="15" t="e">
        <f>VLOOKUP(D204,[1]국문!$1:$1048576,17,0)</f>
        <v>#N/A</v>
      </c>
      <c r="C1527" s="15"/>
      <c r="D1527" s="15"/>
      <c r="E1527" s="15"/>
      <c r="F1527" s="15"/>
    </row>
    <row r="1528" spans="1:6" ht="25.5" customHeight="1">
      <c r="A1528" s="12" t="e">
        <f t="shared" si="17"/>
        <v>#N/A</v>
      </c>
      <c r="B1528" s="15" t="e">
        <f>VLOOKUP(D205,[1]국문!$1:$1048576,17,0)</f>
        <v>#N/A</v>
      </c>
      <c r="C1528" s="15"/>
      <c r="D1528" s="15"/>
      <c r="E1528" s="15"/>
      <c r="F1528" s="15"/>
    </row>
    <row r="1529" spans="1:6" ht="24" customHeight="1">
      <c r="A1529" s="12" t="e">
        <f t="shared" si="17"/>
        <v>#N/A</v>
      </c>
      <c r="B1529" s="15" t="e">
        <f>VLOOKUP(D206,[1]국문!$1:$1048576,17,0)</f>
        <v>#N/A</v>
      </c>
      <c r="C1529" s="15"/>
      <c r="D1529" s="15"/>
      <c r="E1529" s="15"/>
      <c r="F1529" s="15"/>
    </row>
    <row r="1530" spans="1:6" ht="31.5" customHeight="1">
      <c r="A1530" s="12" t="e">
        <f t="shared" si="17"/>
        <v>#N/A</v>
      </c>
      <c r="B1530" s="15" t="e">
        <f>VLOOKUP(D207,[1]국문!$1:$1048576,17,0)</f>
        <v>#N/A</v>
      </c>
      <c r="C1530" s="15"/>
      <c r="D1530" s="15"/>
      <c r="E1530" s="15"/>
      <c r="F1530" s="15"/>
    </row>
    <row r="1531" spans="1:6" ht="24" customHeight="1">
      <c r="A1531" s="12" t="e">
        <f t="shared" si="17"/>
        <v>#N/A</v>
      </c>
      <c r="B1531" s="15" t="e">
        <f>VLOOKUP(D208,[1]국문!$1:$1048576,17,0)</f>
        <v>#N/A</v>
      </c>
      <c r="C1531" s="15"/>
      <c r="D1531" s="15"/>
      <c r="E1531" s="15"/>
      <c r="F1531" s="15"/>
    </row>
    <row r="1532" spans="1:6" ht="24" customHeight="1">
      <c r="A1532" s="12" t="e">
        <f t="shared" si="17"/>
        <v>#N/A</v>
      </c>
      <c r="B1532" s="15" t="e">
        <f>VLOOKUP(D237,[1]국문!$1:$1048576,17,0)</f>
        <v>#N/A</v>
      </c>
      <c r="C1532" s="15"/>
      <c r="D1532" s="15"/>
      <c r="E1532" s="15"/>
      <c r="F1532" s="15"/>
    </row>
    <row r="1533" spans="1:6" ht="68.25" customHeight="1">
      <c r="A1533" s="12" t="e">
        <f t="shared" si="17"/>
        <v>#N/A</v>
      </c>
      <c r="B1533" s="15" t="e">
        <f>VLOOKUP(D238,[1]국문!$1:$1048576,17,0)</f>
        <v>#N/A</v>
      </c>
      <c r="C1533" s="15"/>
      <c r="D1533" s="15"/>
      <c r="E1533" s="15"/>
      <c r="F1533" s="15"/>
    </row>
    <row r="1534" spans="1:6" ht="18" customHeight="1">
      <c r="A1534" s="12" t="e">
        <f t="shared" si="17"/>
        <v>#N/A</v>
      </c>
      <c r="B1534" s="15" t="e">
        <f>VLOOKUP(D239,[1]국문!$1:$1048576,17,0)</f>
        <v>#N/A</v>
      </c>
      <c r="C1534" s="15"/>
      <c r="D1534" s="15"/>
      <c r="E1534" s="15"/>
      <c r="F1534" s="15"/>
    </row>
    <row r="1535" spans="1:6" ht="18" customHeight="1">
      <c r="A1535" s="12" t="e">
        <f t="shared" si="17"/>
        <v>#N/A</v>
      </c>
      <c r="B1535" s="15" t="e">
        <f>VLOOKUP(D240,[1]국문!$1:$1048576,17,0)</f>
        <v>#N/A</v>
      </c>
      <c r="C1535" s="15"/>
      <c r="D1535" s="15"/>
      <c r="E1535" s="15"/>
      <c r="F1535" s="15"/>
    </row>
    <row r="1536" spans="1:6" ht="18" customHeight="1">
      <c r="A1536" s="12" t="e">
        <f t="shared" si="17"/>
        <v>#N/A</v>
      </c>
      <c r="B1536" s="15" t="e">
        <f>VLOOKUP(D241,[1]국문!$1:$1048576,17,0)</f>
        <v>#N/A</v>
      </c>
      <c r="C1536" s="15"/>
      <c r="D1536" s="15"/>
      <c r="E1536" s="15"/>
      <c r="F1536" s="15"/>
    </row>
    <row r="1537" spans="1:6">
      <c r="A1537" s="12" t="e">
        <f t="shared" si="17"/>
        <v>#N/A</v>
      </c>
      <c r="B1537" s="15" t="e">
        <f>VLOOKUP(D242,[1]국문!$1:$1048576,17,0)</f>
        <v>#N/A</v>
      </c>
      <c r="C1537" s="15"/>
      <c r="D1537" s="15"/>
      <c r="E1537" s="15"/>
      <c r="F1537" s="15"/>
    </row>
    <row r="1538" spans="1:6" ht="18" customHeight="1">
      <c r="A1538" s="12" t="e">
        <f t="shared" si="17"/>
        <v>#N/A</v>
      </c>
      <c r="B1538" s="15" t="e">
        <f>VLOOKUP(D243,[1]국문!$1:$1048576,17,0)</f>
        <v>#N/A</v>
      </c>
      <c r="C1538" s="15"/>
      <c r="D1538" s="15"/>
      <c r="E1538" s="15"/>
      <c r="F1538" s="15"/>
    </row>
    <row r="1539" spans="1:6" ht="18" customHeight="1">
      <c r="A1539" s="12" t="e">
        <f t="shared" si="17"/>
        <v>#N/A</v>
      </c>
      <c r="B1539" s="15" t="e">
        <f>VLOOKUP(D244,[1]국문!$1:$1048576,17,0)</f>
        <v>#N/A</v>
      </c>
      <c r="C1539" s="15"/>
      <c r="D1539" s="15"/>
      <c r="E1539" s="15"/>
      <c r="F1539" s="15"/>
    </row>
    <row r="1540" spans="1:6" ht="18" customHeight="1">
      <c r="A1540" s="12" t="e">
        <f t="shared" si="17"/>
        <v>#N/A</v>
      </c>
      <c r="B1540" s="15" t="e">
        <f>VLOOKUP(D245,[1]국문!$1:$1048576,17,0)</f>
        <v>#N/A</v>
      </c>
      <c r="C1540" s="15"/>
      <c r="D1540" s="15"/>
      <c r="E1540" s="15"/>
      <c r="F1540" s="15"/>
    </row>
    <row r="1541" spans="1:6" ht="18" customHeight="1">
      <c r="A1541" s="12" t="e">
        <f t="shared" si="17"/>
        <v>#N/A</v>
      </c>
      <c r="B1541" s="15" t="e">
        <f>VLOOKUP(D246,[1]국문!$1:$1048576,17,0)</f>
        <v>#N/A</v>
      </c>
      <c r="C1541" s="15"/>
      <c r="D1541" s="15"/>
      <c r="E1541" s="15"/>
      <c r="F1541" s="15"/>
    </row>
    <row r="1542" spans="1:6">
      <c r="A1542" s="12" t="e">
        <f t="shared" si="17"/>
        <v>#N/A</v>
      </c>
      <c r="B1542" s="15" t="e">
        <f>VLOOKUP(D247,[1]국문!$1:$1048576,17,0)</f>
        <v>#N/A</v>
      </c>
      <c r="C1542" s="15"/>
      <c r="D1542" s="15"/>
      <c r="E1542" s="15"/>
      <c r="F1542" s="15"/>
    </row>
    <row r="1543" spans="1:6">
      <c r="A1543" s="12" t="e">
        <f t="shared" si="17"/>
        <v>#N/A</v>
      </c>
      <c r="B1543" s="15" t="e">
        <f>VLOOKUP(D248,[1]국문!$1:$1048576,17,0)</f>
        <v>#N/A</v>
      </c>
      <c r="C1543" s="15"/>
      <c r="D1543" s="15"/>
      <c r="E1543" s="15"/>
      <c r="F1543" s="15"/>
    </row>
    <row r="1544" spans="1:6">
      <c r="A1544" s="12" t="e">
        <f t="shared" si="17"/>
        <v>#N/A</v>
      </c>
      <c r="B1544" s="15" t="e">
        <f>VLOOKUP(D249,[1]국문!$1:$1048576,17,0)</f>
        <v>#N/A</v>
      </c>
      <c r="C1544" s="15"/>
      <c r="D1544" s="15"/>
      <c r="E1544" s="15"/>
      <c r="F1544" s="15"/>
    </row>
    <row r="1545" spans="1:6" ht="18" customHeight="1">
      <c r="A1545" s="12" t="e">
        <f t="shared" si="17"/>
        <v>#N/A</v>
      </c>
      <c r="B1545" s="15" t="e">
        <f>VLOOKUP(D250,[1]국문!$1:$1048576,17,0)</f>
        <v>#N/A</v>
      </c>
      <c r="C1545" s="15"/>
      <c r="D1545" s="15"/>
      <c r="E1545" s="15"/>
      <c r="F1545" s="15"/>
    </row>
    <row r="1546" spans="1:6" ht="18" customHeight="1">
      <c r="A1546" s="12" t="e">
        <f t="shared" si="17"/>
        <v>#N/A</v>
      </c>
      <c r="B1546" s="15" t="e">
        <f>VLOOKUP(D251,[1]국문!$1:$1048576,17,0)</f>
        <v>#N/A</v>
      </c>
      <c r="C1546" s="15"/>
      <c r="D1546" s="15"/>
      <c r="E1546" s="15"/>
      <c r="F1546" s="15"/>
    </row>
    <row r="1547" spans="1:6" ht="18" customHeight="1">
      <c r="A1547" s="12" t="e">
        <f t="shared" si="17"/>
        <v>#N/A</v>
      </c>
      <c r="B1547" s="15" t="e">
        <f>VLOOKUP(D252,[1]국문!$1:$1048576,17,0)</f>
        <v>#N/A</v>
      </c>
      <c r="C1547" s="15"/>
      <c r="D1547" s="15"/>
      <c r="E1547" s="15"/>
      <c r="F1547" s="15"/>
    </row>
    <row r="1548" spans="1:6" ht="18" customHeight="1">
      <c r="A1548" s="12" t="e">
        <f t="shared" ref="A1548:A1611" si="18">A262</f>
        <v>#N/A</v>
      </c>
      <c r="B1548" s="15" t="e">
        <f>VLOOKUP(D253,[1]국문!$1:$1048576,17,0)</f>
        <v>#N/A</v>
      </c>
      <c r="C1548" s="15"/>
      <c r="D1548" s="15"/>
      <c r="E1548" s="15"/>
      <c r="F1548" s="15"/>
    </row>
    <row r="1549" spans="1:6" ht="18" customHeight="1">
      <c r="A1549" s="12" t="e">
        <f t="shared" si="18"/>
        <v>#N/A</v>
      </c>
      <c r="B1549" s="15" t="e">
        <f>VLOOKUP(D254,[1]국문!$1:$1048576,17,0)</f>
        <v>#N/A</v>
      </c>
      <c r="C1549" s="15"/>
      <c r="D1549" s="15"/>
      <c r="E1549" s="15"/>
      <c r="F1549" s="15"/>
    </row>
    <row r="1550" spans="1:6" ht="18" customHeight="1">
      <c r="A1550" s="12" t="e">
        <f t="shared" si="18"/>
        <v>#N/A</v>
      </c>
      <c r="B1550" s="15" t="e">
        <f>VLOOKUP(D255,[1]국문!$1:$1048576,17,0)</f>
        <v>#N/A</v>
      </c>
      <c r="C1550" s="15"/>
      <c r="D1550" s="15"/>
      <c r="E1550" s="15"/>
      <c r="F1550" s="15"/>
    </row>
    <row r="1551" spans="1:6" ht="24.95" customHeight="1">
      <c r="A1551" s="12" t="e">
        <f t="shared" si="18"/>
        <v>#N/A</v>
      </c>
      <c r="B1551" s="15" t="e">
        <f>VLOOKUP(D228,[1]국문!$1:$1048576,17,0)</f>
        <v>#N/A</v>
      </c>
      <c r="C1551" s="15"/>
      <c r="D1551" s="15"/>
      <c r="E1551" s="15"/>
      <c r="F1551" s="15"/>
    </row>
    <row r="1552" spans="1:6" ht="24.75" customHeight="1">
      <c r="A1552" s="12" t="e">
        <f t="shared" si="18"/>
        <v>#N/A</v>
      </c>
      <c r="B1552" s="15" t="e">
        <f>VLOOKUP(D229,[1]국문!$1:$1048576,17,0)</f>
        <v>#N/A</v>
      </c>
      <c r="C1552" s="15"/>
      <c r="D1552" s="15"/>
      <c r="E1552" s="15"/>
      <c r="F1552" s="15"/>
    </row>
    <row r="1553" spans="1:6" ht="24.95" customHeight="1">
      <c r="A1553" s="12" t="e">
        <f t="shared" si="18"/>
        <v>#N/A</v>
      </c>
      <c r="B1553" s="15" t="e">
        <f>VLOOKUP(D230,[1]국문!$1:$1048576,17,0)</f>
        <v>#N/A</v>
      </c>
      <c r="C1553" s="15"/>
      <c r="D1553" s="15"/>
      <c r="E1553" s="15"/>
      <c r="F1553" s="15"/>
    </row>
    <row r="1554" spans="1:6" ht="46.5" customHeight="1">
      <c r="A1554" s="12" t="e">
        <f t="shared" si="18"/>
        <v>#N/A</v>
      </c>
      <c r="B1554" s="15" t="e">
        <f>VLOOKUP(D231,[1]국문!$1:$1048576,17,0)</f>
        <v>#N/A</v>
      </c>
      <c r="C1554" s="15"/>
      <c r="D1554" s="15"/>
      <c r="E1554" s="15"/>
      <c r="F1554" s="15"/>
    </row>
    <row r="1555" spans="1:6" ht="36" customHeight="1">
      <c r="A1555" s="12" t="e">
        <f t="shared" si="18"/>
        <v>#N/A</v>
      </c>
      <c r="B1555" s="15" t="e">
        <f>VLOOKUP(D232,[1]국문!$1:$1048576,17,0)</f>
        <v>#N/A</v>
      </c>
      <c r="C1555" s="15"/>
      <c r="D1555" s="15"/>
      <c r="E1555" s="15"/>
      <c r="F1555" s="15"/>
    </row>
    <row r="1556" spans="1:6" ht="24.95" customHeight="1">
      <c r="A1556" s="12" t="e">
        <f t="shared" si="18"/>
        <v>#N/A</v>
      </c>
      <c r="B1556" s="15" t="e">
        <f>VLOOKUP(D233,[1]국문!$1:$1048576,17,0)</f>
        <v>#N/A</v>
      </c>
      <c r="C1556" s="15"/>
      <c r="D1556" s="15"/>
      <c r="E1556" s="15"/>
      <c r="F1556" s="15"/>
    </row>
    <row r="1557" spans="1:6" ht="24.75" customHeight="1">
      <c r="A1557" s="12" t="e">
        <f t="shared" si="18"/>
        <v>#N/A</v>
      </c>
      <c r="B1557" s="15" t="e">
        <f>VLOOKUP(D234,[1]국문!$1:$1048576,17,0)</f>
        <v>#N/A</v>
      </c>
      <c r="C1557" s="15"/>
      <c r="D1557" s="15"/>
      <c r="E1557" s="15"/>
      <c r="F1557" s="15"/>
    </row>
    <row r="1558" spans="1:6" ht="22.5" customHeight="1">
      <c r="A1558" s="12" t="e">
        <f t="shared" si="18"/>
        <v>#N/A</v>
      </c>
      <c r="B1558" s="15" t="e">
        <f>VLOOKUP(D235,[1]국문!$1:$1048576,17,0)</f>
        <v>#N/A</v>
      </c>
      <c r="C1558" s="15"/>
      <c r="D1558" s="15"/>
      <c r="E1558" s="15"/>
      <c r="F1558" s="15"/>
    </row>
    <row r="1559" spans="1:6" ht="24.95" customHeight="1">
      <c r="A1559" s="12" t="e">
        <f t="shared" si="18"/>
        <v>#N/A</v>
      </c>
      <c r="B1559" s="15" t="e">
        <f>VLOOKUP(D236,[1]국문!$1:$1048576,17,0)</f>
        <v>#N/A</v>
      </c>
      <c r="C1559" s="15"/>
      <c r="D1559" s="15"/>
      <c r="E1559" s="15"/>
      <c r="F1559" s="15"/>
    </row>
    <row r="1560" spans="1:6" ht="48" customHeight="1">
      <c r="A1560" s="12" t="e">
        <f t="shared" si="18"/>
        <v>#N/A</v>
      </c>
      <c r="B1560" s="15" t="e">
        <f>VLOOKUP(D237,[1]국문!$1:$1048576,17,0)</f>
        <v>#N/A</v>
      </c>
      <c r="C1560" s="15"/>
      <c r="D1560" s="15"/>
      <c r="E1560" s="15"/>
      <c r="F1560" s="15"/>
    </row>
    <row r="1561" spans="1:6" ht="66.75" customHeight="1">
      <c r="A1561" s="12" t="e">
        <f t="shared" si="18"/>
        <v>#N/A</v>
      </c>
      <c r="B1561" s="15" t="e">
        <f>VLOOKUP(D238,[1]국문!$1:$1048576,17,0)</f>
        <v>#N/A</v>
      </c>
      <c r="C1561" s="15"/>
      <c r="D1561" s="15"/>
      <c r="E1561" s="15"/>
      <c r="F1561" s="15"/>
    </row>
    <row r="1562" spans="1:6" ht="25.5" customHeight="1">
      <c r="A1562" s="12" t="e">
        <f t="shared" si="18"/>
        <v>#N/A</v>
      </c>
      <c r="B1562" s="15" t="e">
        <f>VLOOKUP(D239,[1]국문!$1:$1048576,17,0)</f>
        <v>#N/A</v>
      </c>
      <c r="C1562" s="15"/>
      <c r="D1562" s="15"/>
      <c r="E1562" s="15"/>
      <c r="F1562" s="15"/>
    </row>
    <row r="1563" spans="1:6" ht="24" customHeight="1">
      <c r="A1563" s="12" t="e">
        <f t="shared" si="18"/>
        <v>#N/A</v>
      </c>
      <c r="B1563" s="15" t="e">
        <f>VLOOKUP(D240,[1]국문!$1:$1048576,17,0)</f>
        <v>#N/A</v>
      </c>
      <c r="C1563" s="15"/>
      <c r="D1563" s="15"/>
      <c r="E1563" s="15"/>
      <c r="F1563" s="15"/>
    </row>
    <row r="1564" spans="1:6" ht="31.5" customHeight="1">
      <c r="A1564" s="12" t="e">
        <f t="shared" si="18"/>
        <v>#N/A</v>
      </c>
      <c r="B1564" s="15" t="e">
        <f>VLOOKUP(D241,[1]국문!$1:$1048576,17,0)</f>
        <v>#N/A</v>
      </c>
      <c r="C1564" s="15"/>
      <c r="D1564" s="15"/>
      <c r="E1564" s="15"/>
      <c r="F1564" s="15"/>
    </row>
    <row r="1565" spans="1:6" ht="24" customHeight="1">
      <c r="A1565" s="12" t="e">
        <f t="shared" si="18"/>
        <v>#N/A</v>
      </c>
      <c r="B1565" s="15" t="e">
        <f>VLOOKUP(D242,[1]국문!$1:$1048576,17,0)</f>
        <v>#N/A</v>
      </c>
      <c r="C1565" s="15"/>
      <c r="D1565" s="15"/>
      <c r="E1565" s="15"/>
      <c r="F1565" s="15"/>
    </row>
    <row r="1566" spans="1:6" ht="24" customHeight="1">
      <c r="A1566" s="12" t="e">
        <f t="shared" si="18"/>
        <v>#N/A</v>
      </c>
      <c r="B1566" s="15" t="e">
        <f>VLOOKUP(D271,[1]국문!$1:$1048576,17,0)</f>
        <v>#N/A</v>
      </c>
      <c r="C1566" s="15"/>
      <c r="D1566" s="15"/>
      <c r="E1566" s="15"/>
      <c r="F1566" s="15"/>
    </row>
    <row r="1567" spans="1:6" ht="68.25" customHeight="1">
      <c r="A1567" s="12" t="e">
        <f t="shared" si="18"/>
        <v>#N/A</v>
      </c>
      <c r="B1567" s="15" t="e">
        <f>VLOOKUP(D272,[1]국문!$1:$1048576,17,0)</f>
        <v>#N/A</v>
      </c>
      <c r="C1567" s="15"/>
      <c r="D1567" s="15"/>
      <c r="E1567" s="15"/>
      <c r="F1567" s="15"/>
    </row>
    <row r="1568" spans="1:6" ht="18" customHeight="1">
      <c r="A1568" s="12" t="e">
        <f t="shared" si="18"/>
        <v>#N/A</v>
      </c>
      <c r="B1568" s="15" t="e">
        <f>VLOOKUP(D273,[1]국문!$1:$1048576,17,0)</f>
        <v>#N/A</v>
      </c>
      <c r="C1568" s="15"/>
      <c r="D1568" s="15"/>
      <c r="E1568" s="15"/>
      <c r="F1568" s="15"/>
    </row>
    <row r="1569" spans="1:6" ht="18" customHeight="1">
      <c r="A1569" s="12" t="e">
        <f t="shared" si="18"/>
        <v>#N/A</v>
      </c>
      <c r="B1569" s="15" t="e">
        <f>VLOOKUP(D274,[1]국문!$1:$1048576,17,0)</f>
        <v>#N/A</v>
      </c>
      <c r="C1569" s="15"/>
      <c r="D1569" s="15"/>
      <c r="E1569" s="15"/>
      <c r="F1569" s="15"/>
    </row>
    <row r="1570" spans="1:6" ht="18" customHeight="1">
      <c r="A1570" s="12" t="e">
        <f t="shared" si="18"/>
        <v>#N/A</v>
      </c>
      <c r="B1570" s="15" t="e">
        <f>VLOOKUP(D275,[1]국문!$1:$1048576,17,0)</f>
        <v>#N/A</v>
      </c>
      <c r="C1570" s="15"/>
      <c r="D1570" s="15"/>
      <c r="E1570" s="15"/>
      <c r="F1570" s="15"/>
    </row>
    <row r="1571" spans="1:6">
      <c r="A1571" s="12" t="e">
        <f t="shared" si="18"/>
        <v>#N/A</v>
      </c>
      <c r="B1571" s="15" t="e">
        <f>VLOOKUP(D276,[1]국문!$1:$1048576,17,0)</f>
        <v>#N/A</v>
      </c>
      <c r="C1571" s="15"/>
      <c r="D1571" s="15"/>
      <c r="E1571" s="15"/>
      <c r="F1571" s="15"/>
    </row>
    <row r="1572" spans="1:6" ht="18" customHeight="1">
      <c r="A1572" s="12" t="e">
        <f t="shared" si="18"/>
        <v>#N/A</v>
      </c>
      <c r="B1572" s="15" t="e">
        <f>VLOOKUP(D277,[1]국문!$1:$1048576,17,0)</f>
        <v>#N/A</v>
      </c>
      <c r="C1572" s="15"/>
      <c r="D1572" s="15"/>
      <c r="E1572" s="15"/>
      <c r="F1572" s="15"/>
    </row>
    <row r="1573" spans="1:6" ht="18" customHeight="1">
      <c r="A1573" s="12" t="e">
        <f t="shared" si="18"/>
        <v>#N/A</v>
      </c>
      <c r="B1573" s="15" t="e">
        <f>VLOOKUP(D278,[1]국문!$1:$1048576,17,0)</f>
        <v>#N/A</v>
      </c>
      <c r="C1573" s="15"/>
      <c r="D1573" s="15"/>
      <c r="E1573" s="15"/>
      <c r="F1573" s="15"/>
    </row>
    <row r="1574" spans="1:6" ht="18" customHeight="1">
      <c r="A1574" s="12" t="e">
        <f t="shared" si="18"/>
        <v>#N/A</v>
      </c>
      <c r="B1574" s="15" t="e">
        <f>VLOOKUP(D279,[1]국문!$1:$1048576,17,0)</f>
        <v>#N/A</v>
      </c>
      <c r="C1574" s="15"/>
      <c r="D1574" s="15"/>
      <c r="E1574" s="15"/>
      <c r="F1574" s="15"/>
    </row>
    <row r="1575" spans="1:6" ht="18" customHeight="1">
      <c r="A1575" s="12" t="e">
        <f t="shared" si="18"/>
        <v>#N/A</v>
      </c>
      <c r="B1575" s="15" t="e">
        <f>VLOOKUP(D280,[1]국문!$1:$1048576,17,0)</f>
        <v>#N/A</v>
      </c>
      <c r="C1575" s="15"/>
      <c r="D1575" s="15"/>
      <c r="E1575" s="15"/>
      <c r="F1575" s="15"/>
    </row>
    <row r="1576" spans="1:6">
      <c r="A1576" s="12" t="e">
        <f t="shared" si="18"/>
        <v>#N/A</v>
      </c>
      <c r="B1576" s="15" t="e">
        <f>VLOOKUP(D281,[1]국문!$1:$1048576,17,0)</f>
        <v>#N/A</v>
      </c>
      <c r="C1576" s="15"/>
      <c r="D1576" s="15"/>
      <c r="E1576" s="15"/>
      <c r="F1576" s="15"/>
    </row>
    <row r="1577" spans="1:6">
      <c r="A1577" s="12" t="e">
        <f t="shared" si="18"/>
        <v>#N/A</v>
      </c>
      <c r="B1577" s="15" t="e">
        <f>VLOOKUP(D282,[1]국문!$1:$1048576,17,0)</f>
        <v>#N/A</v>
      </c>
      <c r="C1577" s="15"/>
      <c r="D1577" s="15"/>
      <c r="E1577" s="15"/>
      <c r="F1577" s="15"/>
    </row>
    <row r="1578" spans="1:6">
      <c r="A1578" s="12" t="e">
        <f t="shared" si="18"/>
        <v>#N/A</v>
      </c>
      <c r="B1578" s="15" t="e">
        <f>VLOOKUP(D283,[1]국문!$1:$1048576,17,0)</f>
        <v>#N/A</v>
      </c>
      <c r="C1578" s="15"/>
      <c r="D1578" s="15"/>
      <c r="E1578" s="15"/>
      <c r="F1578" s="15"/>
    </row>
    <row r="1579" spans="1:6" ht="18" customHeight="1">
      <c r="A1579" s="12" t="e">
        <f t="shared" si="18"/>
        <v>#N/A</v>
      </c>
      <c r="B1579" s="15" t="e">
        <f>VLOOKUP(D284,[1]국문!$1:$1048576,17,0)</f>
        <v>#N/A</v>
      </c>
      <c r="C1579" s="15"/>
      <c r="D1579" s="15"/>
      <c r="E1579" s="15"/>
      <c r="F1579" s="15"/>
    </row>
    <row r="1580" spans="1:6" ht="18" customHeight="1">
      <c r="A1580" s="12" t="e">
        <f t="shared" si="18"/>
        <v>#N/A</v>
      </c>
      <c r="B1580" s="15" t="e">
        <f>VLOOKUP(D285,[1]국문!$1:$1048576,17,0)</f>
        <v>#N/A</v>
      </c>
      <c r="C1580" s="15"/>
      <c r="D1580" s="15"/>
      <c r="E1580" s="15"/>
      <c r="F1580" s="15"/>
    </row>
    <row r="1581" spans="1:6" ht="18" customHeight="1">
      <c r="A1581" s="12" t="e">
        <f t="shared" si="18"/>
        <v>#N/A</v>
      </c>
      <c r="B1581" s="15" t="e">
        <f>VLOOKUP(D286,[1]국문!$1:$1048576,17,0)</f>
        <v>#N/A</v>
      </c>
      <c r="C1581" s="15"/>
      <c r="D1581" s="15"/>
      <c r="E1581" s="15"/>
      <c r="F1581" s="15"/>
    </row>
    <row r="1582" spans="1:6" ht="18" customHeight="1">
      <c r="A1582" s="12" t="e">
        <f t="shared" si="18"/>
        <v>#N/A</v>
      </c>
      <c r="B1582" s="15" t="e">
        <f>VLOOKUP(D287,[1]국문!$1:$1048576,17,0)</f>
        <v>#N/A</v>
      </c>
      <c r="C1582" s="15"/>
      <c r="D1582" s="15"/>
      <c r="E1582" s="15"/>
      <c r="F1582" s="15"/>
    </row>
    <row r="1583" spans="1:6" ht="18" customHeight="1">
      <c r="A1583" s="12" t="e">
        <f t="shared" si="18"/>
        <v>#N/A</v>
      </c>
      <c r="B1583" s="15" t="e">
        <f>VLOOKUP(D288,[1]국문!$1:$1048576,17,0)</f>
        <v>#N/A</v>
      </c>
      <c r="C1583" s="15"/>
      <c r="D1583" s="15"/>
      <c r="E1583" s="15"/>
      <c r="F1583" s="15"/>
    </row>
    <row r="1584" spans="1:6" ht="18" customHeight="1">
      <c r="A1584" s="12" t="e">
        <f t="shared" si="18"/>
        <v>#N/A</v>
      </c>
      <c r="B1584" s="15" t="e">
        <f>VLOOKUP(D289,[1]국문!$1:$1048576,17,0)</f>
        <v>#N/A</v>
      </c>
      <c r="C1584" s="15"/>
      <c r="D1584" s="15"/>
      <c r="E1584" s="15"/>
      <c r="F1584" s="15"/>
    </row>
    <row r="1585" spans="1:6" ht="24.95" customHeight="1">
      <c r="A1585" s="12" t="e">
        <f t="shared" si="18"/>
        <v>#N/A</v>
      </c>
      <c r="B1585" s="15" t="e">
        <f>VLOOKUP(D262,[1]국문!$1:$1048576,17,0)</f>
        <v>#N/A</v>
      </c>
      <c r="C1585" s="15"/>
      <c r="D1585" s="15"/>
      <c r="E1585" s="15"/>
      <c r="F1585" s="15"/>
    </row>
    <row r="1586" spans="1:6" ht="24.75" customHeight="1">
      <c r="A1586" s="12" t="e">
        <f t="shared" si="18"/>
        <v>#N/A</v>
      </c>
      <c r="B1586" s="15" t="e">
        <f>VLOOKUP(D263,[1]국문!$1:$1048576,17,0)</f>
        <v>#N/A</v>
      </c>
      <c r="C1586" s="15"/>
      <c r="D1586" s="15"/>
      <c r="E1586" s="15"/>
      <c r="F1586" s="15"/>
    </row>
    <row r="1587" spans="1:6" ht="24.95" customHeight="1">
      <c r="A1587" s="12" t="e">
        <f t="shared" si="18"/>
        <v>#N/A</v>
      </c>
      <c r="B1587" s="15" t="e">
        <f>VLOOKUP(D264,[1]국문!$1:$1048576,17,0)</f>
        <v>#N/A</v>
      </c>
      <c r="C1587" s="15"/>
      <c r="D1587" s="15"/>
      <c r="E1587" s="15"/>
      <c r="F1587" s="15"/>
    </row>
    <row r="1588" spans="1:6" ht="46.5" customHeight="1">
      <c r="A1588" s="12" t="e">
        <f t="shared" si="18"/>
        <v>#N/A</v>
      </c>
      <c r="B1588" s="15" t="e">
        <f>VLOOKUP(D265,[1]국문!$1:$1048576,17,0)</f>
        <v>#N/A</v>
      </c>
      <c r="C1588" s="15"/>
      <c r="D1588" s="15"/>
      <c r="E1588" s="15"/>
      <c r="F1588" s="15"/>
    </row>
    <row r="1589" spans="1:6" ht="36" customHeight="1">
      <c r="A1589" s="12" t="e">
        <f t="shared" si="18"/>
        <v>#N/A</v>
      </c>
      <c r="B1589" s="15" t="e">
        <f>VLOOKUP(D266,[1]국문!$1:$1048576,17,0)</f>
        <v>#N/A</v>
      </c>
      <c r="C1589" s="15"/>
      <c r="D1589" s="15"/>
      <c r="E1589" s="15"/>
      <c r="F1589" s="15"/>
    </row>
    <row r="1590" spans="1:6" ht="24.95" customHeight="1">
      <c r="A1590" s="12" t="e">
        <f t="shared" si="18"/>
        <v>#N/A</v>
      </c>
      <c r="B1590" s="15" t="e">
        <f>VLOOKUP(D267,[1]국문!$1:$1048576,17,0)</f>
        <v>#N/A</v>
      </c>
      <c r="C1590" s="15"/>
      <c r="D1590" s="15"/>
      <c r="E1590" s="15"/>
      <c r="F1590" s="15"/>
    </row>
    <row r="1591" spans="1:6" ht="24.75" customHeight="1">
      <c r="A1591" s="12" t="e">
        <f t="shared" si="18"/>
        <v>#N/A</v>
      </c>
      <c r="B1591" s="15" t="e">
        <f>VLOOKUP(D268,[1]국문!$1:$1048576,17,0)</f>
        <v>#N/A</v>
      </c>
      <c r="C1591" s="15"/>
      <c r="D1591" s="15"/>
      <c r="E1591" s="15"/>
      <c r="F1591" s="15"/>
    </row>
    <row r="1592" spans="1:6" ht="22.5" customHeight="1">
      <c r="A1592" s="12" t="e">
        <f t="shared" si="18"/>
        <v>#N/A</v>
      </c>
      <c r="B1592" s="15" t="e">
        <f>VLOOKUP(D269,[1]국문!$1:$1048576,17,0)</f>
        <v>#N/A</v>
      </c>
      <c r="C1592" s="15"/>
      <c r="D1592" s="15"/>
      <c r="E1592" s="15"/>
      <c r="F1592" s="15"/>
    </row>
    <row r="1593" spans="1:6" ht="24.95" customHeight="1">
      <c r="A1593" s="12" t="e">
        <f t="shared" si="18"/>
        <v>#N/A</v>
      </c>
      <c r="B1593" s="15" t="e">
        <f>VLOOKUP(D270,[1]국문!$1:$1048576,17,0)</f>
        <v>#N/A</v>
      </c>
      <c r="C1593" s="15"/>
      <c r="D1593" s="15"/>
      <c r="E1593" s="15"/>
      <c r="F1593" s="15"/>
    </row>
    <row r="1594" spans="1:6" ht="48" customHeight="1">
      <c r="A1594" s="12" t="e">
        <f t="shared" si="18"/>
        <v>#N/A</v>
      </c>
      <c r="B1594" s="15" t="e">
        <f>VLOOKUP(D271,[1]국문!$1:$1048576,17,0)</f>
        <v>#N/A</v>
      </c>
      <c r="C1594" s="15"/>
      <c r="D1594" s="15"/>
      <c r="E1594" s="15"/>
      <c r="F1594" s="15"/>
    </row>
    <row r="1595" spans="1:6" ht="66.75" customHeight="1">
      <c r="A1595" s="12" t="e">
        <f t="shared" si="18"/>
        <v>#N/A</v>
      </c>
      <c r="B1595" s="15" t="e">
        <f>VLOOKUP(D272,[1]국문!$1:$1048576,17,0)</f>
        <v>#N/A</v>
      </c>
      <c r="C1595" s="15"/>
      <c r="D1595" s="15"/>
      <c r="E1595" s="15"/>
      <c r="F1595" s="15"/>
    </row>
    <row r="1596" spans="1:6" ht="25.5" customHeight="1">
      <c r="A1596" s="12" t="e">
        <f t="shared" si="18"/>
        <v>#N/A</v>
      </c>
      <c r="B1596" s="15" t="e">
        <f>VLOOKUP(D273,[1]국문!$1:$1048576,17,0)</f>
        <v>#N/A</v>
      </c>
      <c r="C1596" s="15"/>
      <c r="D1596" s="15"/>
      <c r="E1596" s="15"/>
      <c r="F1596" s="15"/>
    </row>
    <row r="1597" spans="1:6" ht="24" customHeight="1">
      <c r="A1597" s="12" t="e">
        <f t="shared" si="18"/>
        <v>#N/A</v>
      </c>
      <c r="B1597" s="15" t="e">
        <f>VLOOKUP(D274,[1]국문!$1:$1048576,17,0)</f>
        <v>#N/A</v>
      </c>
      <c r="C1597" s="15"/>
      <c r="D1597" s="15"/>
      <c r="E1597" s="15"/>
      <c r="F1597" s="15"/>
    </row>
    <row r="1598" spans="1:6" ht="31.5" customHeight="1">
      <c r="A1598" s="12" t="e">
        <f t="shared" si="18"/>
        <v>#N/A</v>
      </c>
      <c r="B1598" s="15" t="e">
        <f>VLOOKUP(D275,[1]국문!$1:$1048576,17,0)</f>
        <v>#N/A</v>
      </c>
      <c r="C1598" s="15"/>
      <c r="D1598" s="15"/>
      <c r="E1598" s="15"/>
      <c r="F1598" s="15"/>
    </row>
    <row r="1599" spans="1:6" ht="24" customHeight="1">
      <c r="A1599" s="12" t="e">
        <f t="shared" si="18"/>
        <v>#N/A</v>
      </c>
      <c r="B1599" s="15" t="e">
        <f>VLOOKUP(D276,[1]국문!$1:$1048576,17,0)</f>
        <v>#N/A</v>
      </c>
      <c r="C1599" s="15"/>
      <c r="D1599" s="15"/>
      <c r="E1599" s="15"/>
      <c r="F1599" s="15"/>
    </row>
    <row r="1600" spans="1:6" ht="24" customHeight="1">
      <c r="A1600" s="12" t="e">
        <f t="shared" si="18"/>
        <v>#N/A</v>
      </c>
      <c r="B1600" s="15" t="e">
        <f>VLOOKUP(D305,[1]국문!$1:$1048576,17,0)</f>
        <v>#N/A</v>
      </c>
      <c r="C1600" s="15"/>
      <c r="D1600" s="15"/>
      <c r="E1600" s="15"/>
      <c r="F1600" s="15"/>
    </row>
    <row r="1601" spans="1:6" ht="68.25" customHeight="1">
      <c r="A1601" s="12" t="e">
        <f t="shared" si="18"/>
        <v>#N/A</v>
      </c>
      <c r="B1601" s="15" t="e">
        <f>VLOOKUP(D306,[1]국문!$1:$1048576,17,0)</f>
        <v>#N/A</v>
      </c>
      <c r="C1601" s="15"/>
      <c r="D1601" s="15"/>
      <c r="E1601" s="15"/>
      <c r="F1601" s="15"/>
    </row>
    <row r="1602" spans="1:6" ht="18" customHeight="1">
      <c r="A1602" s="12" t="e">
        <f t="shared" si="18"/>
        <v>#N/A</v>
      </c>
      <c r="B1602" s="15" t="e">
        <f>VLOOKUP(D307,[1]국문!$1:$1048576,17,0)</f>
        <v>#N/A</v>
      </c>
      <c r="C1602" s="15"/>
      <c r="D1602" s="15"/>
      <c r="E1602" s="15"/>
      <c r="F1602" s="15"/>
    </row>
    <row r="1603" spans="1:6" ht="18" customHeight="1">
      <c r="A1603" s="12" t="e">
        <f t="shared" si="18"/>
        <v>#N/A</v>
      </c>
      <c r="B1603" s="15" t="e">
        <f>VLOOKUP(D308,[1]국문!$1:$1048576,17,0)</f>
        <v>#N/A</v>
      </c>
      <c r="C1603" s="15"/>
      <c r="D1603" s="15"/>
      <c r="E1603" s="15"/>
      <c r="F1603" s="15"/>
    </row>
    <row r="1604" spans="1:6" ht="18" customHeight="1">
      <c r="A1604" s="12" t="e">
        <f t="shared" si="18"/>
        <v>#N/A</v>
      </c>
      <c r="B1604" s="15" t="e">
        <f>VLOOKUP(D309,[1]국문!$1:$1048576,17,0)</f>
        <v>#N/A</v>
      </c>
      <c r="C1604" s="15"/>
      <c r="D1604" s="15"/>
      <c r="E1604" s="15"/>
      <c r="F1604" s="15"/>
    </row>
    <row r="1605" spans="1:6">
      <c r="A1605" s="12" t="e">
        <f t="shared" si="18"/>
        <v>#N/A</v>
      </c>
      <c r="B1605" s="15" t="e">
        <f>VLOOKUP(D310,[1]국문!$1:$1048576,17,0)</f>
        <v>#N/A</v>
      </c>
      <c r="C1605" s="15"/>
      <c r="D1605" s="15"/>
      <c r="E1605" s="15"/>
      <c r="F1605" s="15"/>
    </row>
    <row r="1606" spans="1:6" ht="18" customHeight="1">
      <c r="A1606" s="12" t="e">
        <f t="shared" si="18"/>
        <v>#N/A</v>
      </c>
      <c r="B1606" s="15" t="e">
        <f>VLOOKUP(D311,[1]국문!$1:$1048576,17,0)</f>
        <v>#N/A</v>
      </c>
      <c r="C1606" s="15"/>
      <c r="D1606" s="15"/>
      <c r="E1606" s="15"/>
      <c r="F1606" s="15"/>
    </row>
    <row r="1607" spans="1:6" ht="18" customHeight="1">
      <c r="A1607" s="12" t="e">
        <f t="shared" si="18"/>
        <v>#N/A</v>
      </c>
      <c r="B1607" s="15" t="e">
        <f>VLOOKUP(D312,[1]국문!$1:$1048576,17,0)</f>
        <v>#N/A</v>
      </c>
      <c r="C1607" s="15"/>
      <c r="D1607" s="15"/>
      <c r="E1607" s="15"/>
      <c r="F1607" s="15"/>
    </row>
    <row r="1608" spans="1:6" ht="18" customHeight="1">
      <c r="A1608" s="12" t="e">
        <f t="shared" si="18"/>
        <v>#N/A</v>
      </c>
      <c r="B1608" s="15" t="e">
        <f>VLOOKUP(D313,[1]국문!$1:$1048576,17,0)</f>
        <v>#N/A</v>
      </c>
      <c r="C1608" s="15"/>
      <c r="D1608" s="15"/>
      <c r="E1608" s="15"/>
      <c r="F1608" s="15"/>
    </row>
    <row r="1609" spans="1:6" ht="18" customHeight="1">
      <c r="A1609" s="12" t="e">
        <f t="shared" si="18"/>
        <v>#N/A</v>
      </c>
      <c r="B1609" s="15" t="e">
        <f>VLOOKUP(D314,[1]국문!$1:$1048576,17,0)</f>
        <v>#N/A</v>
      </c>
      <c r="C1609" s="15"/>
      <c r="D1609" s="15"/>
      <c r="E1609" s="15"/>
      <c r="F1609" s="15"/>
    </row>
    <row r="1610" spans="1:6">
      <c r="A1610" s="12" t="e">
        <f t="shared" si="18"/>
        <v>#N/A</v>
      </c>
      <c r="B1610" s="15" t="e">
        <f>VLOOKUP(D315,[1]국문!$1:$1048576,17,0)</f>
        <v>#N/A</v>
      </c>
      <c r="C1610" s="15"/>
      <c r="D1610" s="15"/>
      <c r="E1610" s="15"/>
      <c r="F1610" s="15"/>
    </row>
    <row r="1611" spans="1:6">
      <c r="A1611" s="12" t="e">
        <f t="shared" si="18"/>
        <v>#N/A</v>
      </c>
      <c r="B1611" s="15" t="e">
        <f>VLOOKUP(D316,[1]국문!$1:$1048576,17,0)</f>
        <v>#N/A</v>
      </c>
      <c r="C1611" s="15"/>
      <c r="D1611" s="15"/>
      <c r="E1611" s="15"/>
      <c r="F1611" s="15"/>
    </row>
    <row r="1612" spans="1:6">
      <c r="A1612" s="12" t="e">
        <f t="shared" ref="A1612:A1618" si="19">A326</f>
        <v>#N/A</v>
      </c>
      <c r="B1612" s="15" t="e">
        <f>VLOOKUP(D317,[1]국문!$1:$1048576,17,0)</f>
        <v>#N/A</v>
      </c>
      <c r="C1612" s="15"/>
      <c r="D1612" s="15"/>
      <c r="E1612" s="15"/>
      <c r="F1612" s="15"/>
    </row>
    <row r="1613" spans="1:6" ht="18" customHeight="1">
      <c r="A1613" s="12" t="e">
        <f t="shared" si="19"/>
        <v>#N/A</v>
      </c>
      <c r="B1613" s="15" t="e">
        <f>VLOOKUP(D318,[1]국문!$1:$1048576,17,0)</f>
        <v>#N/A</v>
      </c>
      <c r="C1613" s="15"/>
      <c r="D1613" s="15"/>
      <c r="E1613" s="15"/>
      <c r="F1613" s="15"/>
    </row>
    <row r="1614" spans="1:6" ht="18" customHeight="1">
      <c r="A1614" s="12" t="e">
        <f t="shared" si="19"/>
        <v>#N/A</v>
      </c>
      <c r="B1614" s="15" t="e">
        <f>VLOOKUP(D319,[1]국문!$1:$1048576,17,0)</f>
        <v>#N/A</v>
      </c>
      <c r="C1614" s="15"/>
      <c r="D1614" s="15"/>
      <c r="E1614" s="15"/>
      <c r="F1614" s="15"/>
    </row>
    <row r="1615" spans="1:6" ht="18" customHeight="1">
      <c r="A1615" s="12" t="e">
        <f t="shared" si="19"/>
        <v>#N/A</v>
      </c>
      <c r="B1615" s="15" t="e">
        <f>VLOOKUP(D320,[1]국문!$1:$1048576,17,0)</f>
        <v>#N/A</v>
      </c>
      <c r="C1615" s="15"/>
      <c r="D1615" s="15"/>
      <c r="E1615" s="15"/>
      <c r="F1615" s="15"/>
    </row>
    <row r="1616" spans="1:6" ht="18" customHeight="1">
      <c r="A1616" s="12" t="e">
        <f t="shared" si="19"/>
        <v>#N/A</v>
      </c>
      <c r="B1616" s="15" t="e">
        <f>VLOOKUP(D321,[1]국문!$1:$1048576,17,0)</f>
        <v>#N/A</v>
      </c>
      <c r="C1616" s="15"/>
      <c r="D1616" s="15"/>
      <c r="E1616" s="15"/>
      <c r="F1616" s="15"/>
    </row>
    <row r="1617" spans="1:6" ht="18" customHeight="1">
      <c r="A1617" s="12" t="e">
        <f t="shared" si="19"/>
        <v>#N/A</v>
      </c>
      <c r="B1617" s="15" t="e">
        <f>VLOOKUP(D322,[1]국문!$1:$1048576,17,0)</f>
        <v>#N/A</v>
      </c>
      <c r="C1617" s="15"/>
      <c r="D1617" s="15"/>
      <c r="E1617" s="15"/>
      <c r="F1617" s="15"/>
    </row>
    <row r="1618" spans="1:6" ht="18" customHeight="1">
      <c r="A1618" s="12" t="e">
        <f t="shared" si="19"/>
        <v>#N/A</v>
      </c>
      <c r="B1618" s="15" t="e">
        <f>VLOOKUP(D323,[1]국문!$1:$1048576,17,0)</f>
        <v>#N/A</v>
      </c>
      <c r="C1618" s="15"/>
      <c r="D1618" s="15"/>
      <c r="E1618" s="15"/>
      <c r="F1618" s="15"/>
    </row>
    <row r="1619" spans="1:6" ht="18" customHeight="1">
      <c r="A1619" s="8" t="s">
        <v>211</v>
      </c>
      <c r="B1619" s="15" t="s">
        <v>1</v>
      </c>
      <c r="C1619" s="15"/>
      <c r="D1619" s="15"/>
      <c r="E1619" s="15"/>
      <c r="F1619" s="15"/>
    </row>
    <row r="1620" spans="1:6" ht="6.75" customHeight="1"/>
    <row r="1621" spans="1:6" ht="21" customHeight="1">
      <c r="A1621" s="10" t="s">
        <v>14</v>
      </c>
      <c r="B1621" s="19"/>
      <c r="C1621" s="19"/>
      <c r="D1621" s="7"/>
      <c r="E1621" s="7"/>
      <c r="F1621" s="7"/>
    </row>
    <row r="1622" spans="1:6" ht="18" customHeight="1">
      <c r="A1622" s="8" t="s">
        <v>126</v>
      </c>
      <c r="B1622" s="15"/>
      <c r="C1622" s="15"/>
      <c r="D1622" s="15"/>
      <c r="E1622" s="15"/>
      <c r="F1622" s="15"/>
    </row>
    <row r="1623" spans="1:6" ht="18" customHeight="1">
      <c r="A1623" s="8" t="s">
        <v>54</v>
      </c>
      <c r="B1623" s="15"/>
      <c r="C1623" s="15"/>
      <c r="D1623" s="15"/>
      <c r="E1623" s="15"/>
      <c r="F1623" s="15"/>
    </row>
    <row r="1624" spans="1:6" ht="24" customHeight="1">
      <c r="A1624" s="12" t="e">
        <f>A133</f>
        <v>#N/A</v>
      </c>
      <c r="B1624" s="15" t="e">
        <f>VLOOKUP(D97,[1]국문!$1:$1048576,20,0)</f>
        <v>#N/A</v>
      </c>
      <c r="C1624" s="15"/>
      <c r="D1624" s="15"/>
      <c r="E1624" s="15"/>
      <c r="F1624" s="15"/>
    </row>
    <row r="1625" spans="1:6" ht="24" customHeight="1">
      <c r="A1625" s="12" t="e">
        <f t="shared" ref="A1625:A1688" si="20">A134</f>
        <v>#N/A</v>
      </c>
      <c r="B1625" s="15" t="e">
        <f>VLOOKUP(D98,[1]국문!$1:$1048576,20,0)</f>
        <v>#N/A</v>
      </c>
      <c r="C1625" s="15"/>
      <c r="D1625" s="15"/>
      <c r="E1625" s="15"/>
      <c r="F1625" s="15"/>
    </row>
    <row r="1626" spans="1:6" ht="24" customHeight="1">
      <c r="A1626" s="12" t="e">
        <f t="shared" si="20"/>
        <v>#N/A</v>
      </c>
      <c r="B1626" s="15" t="e">
        <f>VLOOKUP(D99,[1]국문!$1:$1048576,20,0)</f>
        <v>#N/A</v>
      </c>
      <c r="C1626" s="15"/>
      <c r="D1626" s="15"/>
      <c r="E1626" s="15"/>
      <c r="F1626" s="15"/>
    </row>
    <row r="1627" spans="1:6" ht="24" customHeight="1">
      <c r="A1627" s="12" t="e">
        <f t="shared" si="20"/>
        <v>#N/A</v>
      </c>
      <c r="B1627" s="15" t="e">
        <f>VLOOKUP(D100,[1]국문!$1:$1048576,20,0)</f>
        <v>#N/A</v>
      </c>
      <c r="C1627" s="15"/>
      <c r="D1627" s="15"/>
      <c r="E1627" s="15"/>
      <c r="F1627" s="15"/>
    </row>
    <row r="1628" spans="1:6" ht="24" customHeight="1">
      <c r="A1628" s="12" t="e">
        <f t="shared" si="20"/>
        <v>#N/A</v>
      </c>
      <c r="B1628" s="15" t="e">
        <f>VLOOKUP(D101,[1]국문!$1:$1048576,20,0)</f>
        <v>#N/A</v>
      </c>
      <c r="C1628" s="15"/>
      <c r="D1628" s="15"/>
      <c r="E1628" s="15"/>
      <c r="F1628" s="15"/>
    </row>
    <row r="1629" spans="1:6" ht="24" customHeight="1">
      <c r="A1629" s="12" t="e">
        <f t="shared" si="20"/>
        <v>#N/A</v>
      </c>
      <c r="B1629" s="15" t="e">
        <f>VLOOKUP(D102,[1]국문!$1:$1048576,20,0)</f>
        <v>#N/A</v>
      </c>
      <c r="C1629" s="15"/>
      <c r="D1629" s="15"/>
      <c r="E1629" s="15"/>
      <c r="F1629" s="15"/>
    </row>
    <row r="1630" spans="1:6" ht="24" customHeight="1">
      <c r="A1630" s="12" t="e">
        <f t="shared" si="20"/>
        <v>#N/A</v>
      </c>
      <c r="B1630" s="15" t="e">
        <f>VLOOKUP(D103,[1]국문!$1:$1048576,20,0)</f>
        <v>#N/A</v>
      </c>
      <c r="C1630" s="15"/>
      <c r="D1630" s="15"/>
      <c r="E1630" s="15"/>
      <c r="F1630" s="15"/>
    </row>
    <row r="1631" spans="1:6" ht="24" customHeight="1">
      <c r="A1631" s="12" t="e">
        <f t="shared" si="20"/>
        <v>#N/A</v>
      </c>
      <c r="B1631" s="15" t="e">
        <f>VLOOKUP(D104,[1]국문!$1:$1048576,20,0)</f>
        <v>#N/A</v>
      </c>
      <c r="C1631" s="15"/>
      <c r="D1631" s="15"/>
      <c r="E1631" s="15"/>
      <c r="F1631" s="15"/>
    </row>
    <row r="1632" spans="1:6" ht="24" customHeight="1">
      <c r="A1632" s="12" t="e">
        <f t="shared" si="20"/>
        <v>#N/A</v>
      </c>
      <c r="B1632" s="15" t="e">
        <f>VLOOKUP(D105,[1]국문!$1:$1048576,20,0)</f>
        <v>#N/A</v>
      </c>
      <c r="C1632" s="15"/>
      <c r="D1632" s="15"/>
      <c r="E1632" s="15"/>
      <c r="F1632" s="15"/>
    </row>
    <row r="1633" spans="1:6" ht="24" customHeight="1">
      <c r="A1633" s="12" t="e">
        <f t="shared" si="20"/>
        <v>#N/A</v>
      </c>
      <c r="B1633" s="15" t="e">
        <f>VLOOKUP(D106,[1]국문!$1:$1048576,20,0)</f>
        <v>#N/A</v>
      </c>
      <c r="C1633" s="15"/>
      <c r="D1633" s="15"/>
      <c r="E1633" s="15"/>
      <c r="F1633" s="15"/>
    </row>
    <row r="1634" spans="1:6" ht="24" customHeight="1">
      <c r="A1634" s="12" t="e">
        <f t="shared" si="20"/>
        <v>#N/A</v>
      </c>
      <c r="B1634" s="15" t="e">
        <f>VLOOKUP(D107,[1]국문!$1:$1048576,20,0)</f>
        <v>#N/A</v>
      </c>
      <c r="C1634" s="15"/>
      <c r="D1634" s="15"/>
      <c r="E1634" s="15"/>
      <c r="F1634" s="15"/>
    </row>
    <row r="1635" spans="1:6" ht="24" customHeight="1">
      <c r="A1635" s="12" t="e">
        <f t="shared" si="20"/>
        <v>#N/A</v>
      </c>
      <c r="B1635" s="15" t="e">
        <f>VLOOKUP(D108,[1]국문!$1:$1048576,20,0)</f>
        <v>#N/A</v>
      </c>
      <c r="C1635" s="15"/>
      <c r="D1635" s="15"/>
      <c r="E1635" s="15"/>
      <c r="F1635" s="15"/>
    </row>
    <row r="1636" spans="1:6" ht="24" customHeight="1">
      <c r="A1636" s="12" t="e">
        <f t="shared" si="20"/>
        <v>#N/A</v>
      </c>
      <c r="B1636" s="15" t="e">
        <f>VLOOKUP(D109,[1]국문!$1:$1048576,20,0)</f>
        <v>#N/A</v>
      </c>
      <c r="C1636" s="15"/>
      <c r="D1636" s="15"/>
      <c r="E1636" s="15"/>
      <c r="F1636" s="15"/>
    </row>
    <row r="1637" spans="1:6" ht="27" customHeight="1">
      <c r="A1637" s="12" t="e">
        <f t="shared" si="20"/>
        <v>#N/A</v>
      </c>
      <c r="B1637" s="15" t="e">
        <f>VLOOKUP(D110,[1]국문!$1:$1048576,20,0)</f>
        <v>#N/A</v>
      </c>
      <c r="C1637" s="15"/>
      <c r="D1637" s="15"/>
      <c r="E1637" s="15"/>
      <c r="F1637" s="15"/>
    </row>
    <row r="1638" spans="1:6" ht="24" customHeight="1">
      <c r="A1638" s="12" t="e">
        <f t="shared" si="20"/>
        <v>#N/A</v>
      </c>
      <c r="B1638" s="15" t="e">
        <f>VLOOKUP(D111,[1]국문!$1:$1048576,20,0)</f>
        <v>#N/A</v>
      </c>
      <c r="C1638" s="15"/>
      <c r="D1638" s="15"/>
      <c r="E1638" s="15"/>
      <c r="F1638" s="15"/>
    </row>
    <row r="1639" spans="1:6" ht="24" customHeight="1">
      <c r="A1639" s="12" t="e">
        <f t="shared" si="20"/>
        <v>#N/A</v>
      </c>
      <c r="B1639" s="15" t="e">
        <f>VLOOKUP(D140,[1]국문!$1:$1048576,20,0)</f>
        <v>#N/A</v>
      </c>
      <c r="C1639" s="15"/>
      <c r="D1639" s="15"/>
      <c r="E1639" s="15"/>
      <c r="F1639" s="15"/>
    </row>
    <row r="1640" spans="1:6" ht="24" customHeight="1">
      <c r="A1640" s="12" t="e">
        <f t="shared" si="20"/>
        <v>#N/A</v>
      </c>
      <c r="B1640" s="15" t="e">
        <f>VLOOKUP(D141,[1]국문!$1:$1048576,20,0)</f>
        <v>#N/A</v>
      </c>
      <c r="C1640" s="15"/>
      <c r="D1640" s="15"/>
      <c r="E1640" s="15"/>
      <c r="F1640" s="15"/>
    </row>
    <row r="1641" spans="1:6" ht="24" customHeight="1">
      <c r="A1641" s="12" t="e">
        <f t="shared" si="20"/>
        <v>#N/A</v>
      </c>
      <c r="B1641" s="15" t="e">
        <f>VLOOKUP(D142,[1]국문!$1:$1048576,20,0)</f>
        <v>#N/A</v>
      </c>
      <c r="C1641" s="15"/>
      <c r="D1641" s="15"/>
      <c r="E1641" s="15"/>
      <c r="F1641" s="15"/>
    </row>
    <row r="1642" spans="1:6" ht="18" customHeight="1">
      <c r="A1642" s="12" t="e">
        <f t="shared" si="20"/>
        <v>#N/A</v>
      </c>
      <c r="B1642" s="15" t="e">
        <f>VLOOKUP(D143,[1]국문!$1:$1048576,20,0)</f>
        <v>#N/A</v>
      </c>
      <c r="C1642" s="15"/>
      <c r="D1642" s="15"/>
      <c r="E1642" s="15"/>
      <c r="F1642" s="15"/>
    </row>
    <row r="1643" spans="1:6" ht="18" customHeight="1">
      <c r="A1643" s="12" t="e">
        <f t="shared" si="20"/>
        <v>#N/A</v>
      </c>
      <c r="B1643" s="15" t="e">
        <f>VLOOKUP(D144,[1]국문!$1:$1048576,20,0)</f>
        <v>#N/A</v>
      </c>
      <c r="C1643" s="15"/>
      <c r="D1643" s="15"/>
      <c r="E1643" s="15"/>
      <c r="F1643" s="15"/>
    </row>
    <row r="1644" spans="1:6">
      <c r="A1644" s="12" t="e">
        <f t="shared" si="20"/>
        <v>#N/A</v>
      </c>
      <c r="B1644" s="15" t="e">
        <f>VLOOKUP(D145,[1]국문!$1:$1048576,20,0)</f>
        <v>#N/A</v>
      </c>
      <c r="C1644" s="15"/>
      <c r="D1644" s="15"/>
      <c r="E1644" s="15"/>
      <c r="F1644" s="15"/>
    </row>
    <row r="1645" spans="1:6" ht="18" customHeight="1">
      <c r="A1645" s="12" t="e">
        <f t="shared" si="20"/>
        <v>#N/A</v>
      </c>
      <c r="B1645" s="15" t="e">
        <f>VLOOKUP(D146,[1]국문!$1:$1048576,20,0)</f>
        <v>#N/A</v>
      </c>
      <c r="C1645" s="15"/>
      <c r="D1645" s="15"/>
      <c r="E1645" s="15"/>
      <c r="F1645" s="15"/>
    </row>
    <row r="1646" spans="1:6" ht="18" customHeight="1">
      <c r="A1646" s="12" t="e">
        <f t="shared" si="20"/>
        <v>#N/A</v>
      </c>
      <c r="B1646" s="15" t="e">
        <f>VLOOKUP(D147,[1]국문!$1:$1048576,20,0)</f>
        <v>#N/A</v>
      </c>
      <c r="C1646" s="15"/>
      <c r="D1646" s="15"/>
      <c r="E1646" s="15"/>
      <c r="F1646" s="15"/>
    </row>
    <row r="1647" spans="1:6" ht="18" customHeight="1">
      <c r="A1647" s="12" t="e">
        <f t="shared" si="20"/>
        <v>#N/A</v>
      </c>
      <c r="B1647" s="15" t="e">
        <f>VLOOKUP(D148,[1]국문!$1:$1048576,20,0)</f>
        <v>#N/A</v>
      </c>
      <c r="C1647" s="15"/>
      <c r="D1647" s="15"/>
      <c r="E1647" s="15"/>
      <c r="F1647" s="15"/>
    </row>
    <row r="1648" spans="1:6" ht="18" customHeight="1">
      <c r="A1648" s="12" t="e">
        <f t="shared" si="20"/>
        <v>#N/A</v>
      </c>
      <c r="B1648" s="15" t="e">
        <f>VLOOKUP(D149,[1]국문!$1:$1048576,20,0)</f>
        <v>#N/A</v>
      </c>
      <c r="C1648" s="15"/>
      <c r="D1648" s="15"/>
      <c r="E1648" s="15"/>
      <c r="F1648" s="15"/>
    </row>
    <row r="1649" spans="1:6">
      <c r="A1649" s="12" t="e">
        <f t="shared" si="20"/>
        <v>#N/A</v>
      </c>
      <c r="B1649" s="15" t="e">
        <f>VLOOKUP(D150,[1]국문!$1:$1048576,20,0)</f>
        <v>#N/A</v>
      </c>
      <c r="C1649" s="15"/>
      <c r="D1649" s="15"/>
      <c r="E1649" s="15"/>
      <c r="F1649" s="15"/>
    </row>
    <row r="1650" spans="1:6">
      <c r="A1650" s="12" t="e">
        <f t="shared" si="20"/>
        <v>#N/A</v>
      </c>
      <c r="B1650" s="15" t="e">
        <f>VLOOKUP(D151,[1]국문!$1:$1048576,20,0)</f>
        <v>#N/A</v>
      </c>
      <c r="C1650" s="15"/>
      <c r="D1650" s="15"/>
      <c r="E1650" s="15"/>
      <c r="F1650" s="15"/>
    </row>
    <row r="1651" spans="1:6">
      <c r="A1651" s="12" t="e">
        <f t="shared" si="20"/>
        <v>#N/A</v>
      </c>
      <c r="B1651" s="15" t="e">
        <f>VLOOKUP(D152,[1]국문!$1:$1048576,20,0)</f>
        <v>#N/A</v>
      </c>
      <c r="C1651" s="15"/>
      <c r="D1651" s="15"/>
      <c r="E1651" s="15"/>
      <c r="F1651" s="15"/>
    </row>
    <row r="1652" spans="1:6" ht="18" customHeight="1">
      <c r="A1652" s="12" t="e">
        <f t="shared" si="20"/>
        <v>#N/A</v>
      </c>
      <c r="B1652" s="15" t="e">
        <f>VLOOKUP(D153,[1]국문!$1:$1048576,20,0)</f>
        <v>#N/A</v>
      </c>
      <c r="C1652" s="15"/>
      <c r="D1652" s="15"/>
      <c r="E1652" s="15"/>
      <c r="F1652" s="15"/>
    </row>
    <row r="1653" spans="1:6" ht="18" customHeight="1">
      <c r="A1653" s="12" t="e">
        <f t="shared" si="20"/>
        <v>#N/A</v>
      </c>
      <c r="B1653" s="15" t="e">
        <f>VLOOKUP(D154,[1]국문!$1:$1048576,20,0)</f>
        <v>#N/A</v>
      </c>
      <c r="C1653" s="15"/>
      <c r="D1653" s="15"/>
      <c r="E1653" s="15"/>
      <c r="F1653" s="15"/>
    </row>
    <row r="1654" spans="1:6" ht="18" customHeight="1">
      <c r="A1654" s="12" t="e">
        <f t="shared" si="20"/>
        <v>#N/A</v>
      </c>
      <c r="B1654" s="15" t="e">
        <f>VLOOKUP(D155,[1]국문!$1:$1048576,20,0)</f>
        <v>#N/A</v>
      </c>
      <c r="C1654" s="15"/>
      <c r="D1654" s="15"/>
      <c r="E1654" s="15"/>
      <c r="F1654" s="15"/>
    </row>
    <row r="1655" spans="1:6" ht="18" customHeight="1">
      <c r="A1655" s="12" t="e">
        <f t="shared" si="20"/>
        <v>#N/A</v>
      </c>
      <c r="B1655" s="15" t="e">
        <f>VLOOKUP(D156,[1]국문!$1:$1048576,20,0)</f>
        <v>#N/A</v>
      </c>
      <c r="C1655" s="15"/>
      <c r="D1655" s="15"/>
      <c r="E1655" s="15"/>
      <c r="F1655" s="15"/>
    </row>
    <row r="1656" spans="1:6" ht="18" customHeight="1">
      <c r="A1656" s="12" t="e">
        <f t="shared" si="20"/>
        <v>#N/A</v>
      </c>
      <c r="B1656" s="15" t="e">
        <f>VLOOKUP(D157,[1]국문!$1:$1048576,20,0)</f>
        <v>#N/A</v>
      </c>
      <c r="C1656" s="15"/>
      <c r="D1656" s="15"/>
      <c r="E1656" s="15"/>
      <c r="F1656" s="15"/>
    </row>
    <row r="1657" spans="1:6" ht="18" customHeight="1">
      <c r="A1657" s="12" t="e">
        <f t="shared" si="20"/>
        <v>#N/A</v>
      </c>
      <c r="B1657" s="15" t="e">
        <f>VLOOKUP(D158,[1]국문!$1:$1048576,20,0)</f>
        <v>#N/A</v>
      </c>
      <c r="C1657" s="15"/>
      <c r="D1657" s="15"/>
      <c r="E1657" s="15"/>
      <c r="F1657" s="15"/>
    </row>
    <row r="1658" spans="1:6" ht="18" customHeight="1">
      <c r="A1658" s="12" t="e">
        <f t="shared" si="20"/>
        <v>#N/A</v>
      </c>
      <c r="B1658" s="15" t="e">
        <f>VLOOKUP(D159,[1]국문!$1:$1048576,20,0)</f>
        <v>#N/A</v>
      </c>
      <c r="C1658" s="15"/>
      <c r="D1658" s="15"/>
      <c r="E1658" s="15"/>
      <c r="F1658" s="15"/>
    </row>
    <row r="1659" spans="1:6" ht="24" customHeight="1">
      <c r="A1659" s="12" t="e">
        <f t="shared" si="20"/>
        <v>#N/A</v>
      </c>
      <c r="B1659" s="15" t="e">
        <f>VLOOKUP(D132,[1]국문!$1:$1048576,20,0)</f>
        <v>#N/A</v>
      </c>
      <c r="C1659" s="15"/>
      <c r="D1659" s="15"/>
      <c r="E1659" s="15"/>
      <c r="F1659" s="15"/>
    </row>
    <row r="1660" spans="1:6" ht="24" customHeight="1">
      <c r="A1660" s="12" t="e">
        <f t="shared" si="20"/>
        <v>#N/A</v>
      </c>
      <c r="B1660" s="15" t="e">
        <f>VLOOKUP(D133,[1]국문!$1:$1048576,20,0)</f>
        <v>#N/A</v>
      </c>
      <c r="C1660" s="15"/>
      <c r="D1660" s="15"/>
      <c r="E1660" s="15"/>
      <c r="F1660" s="15"/>
    </row>
    <row r="1661" spans="1:6" ht="24" customHeight="1">
      <c r="A1661" s="12" t="e">
        <f t="shared" si="20"/>
        <v>#N/A</v>
      </c>
      <c r="B1661" s="15" t="e">
        <f>VLOOKUP(D134,[1]국문!$1:$1048576,20,0)</f>
        <v>#N/A</v>
      </c>
      <c r="C1661" s="15"/>
      <c r="D1661" s="15"/>
      <c r="E1661" s="15"/>
      <c r="F1661" s="15"/>
    </row>
    <row r="1662" spans="1:6" ht="24" customHeight="1">
      <c r="A1662" s="12" t="e">
        <f t="shared" si="20"/>
        <v>#N/A</v>
      </c>
      <c r="B1662" s="15" t="e">
        <f>VLOOKUP(D135,[1]국문!$1:$1048576,20,0)</f>
        <v>#N/A</v>
      </c>
      <c r="C1662" s="15"/>
      <c r="D1662" s="15"/>
      <c r="E1662" s="15"/>
      <c r="F1662" s="15"/>
    </row>
    <row r="1663" spans="1:6" ht="24" customHeight="1">
      <c r="A1663" s="12" t="e">
        <f t="shared" si="20"/>
        <v>#N/A</v>
      </c>
      <c r="B1663" s="15" t="e">
        <f>VLOOKUP(D136,[1]국문!$1:$1048576,20,0)</f>
        <v>#N/A</v>
      </c>
      <c r="C1663" s="15"/>
      <c r="D1663" s="15"/>
      <c r="E1663" s="15"/>
      <c r="F1663" s="15"/>
    </row>
    <row r="1664" spans="1:6" ht="24" customHeight="1">
      <c r="A1664" s="12" t="e">
        <f t="shared" si="20"/>
        <v>#N/A</v>
      </c>
      <c r="B1664" s="15" t="e">
        <f>VLOOKUP(D137,[1]국문!$1:$1048576,20,0)</f>
        <v>#N/A</v>
      </c>
      <c r="C1664" s="15"/>
      <c r="D1664" s="15"/>
      <c r="E1664" s="15"/>
      <c r="F1664" s="15"/>
    </row>
    <row r="1665" spans="1:6" ht="24" customHeight="1">
      <c r="A1665" s="12" t="e">
        <f t="shared" si="20"/>
        <v>#N/A</v>
      </c>
      <c r="B1665" s="15" t="e">
        <f>VLOOKUP(D138,[1]국문!$1:$1048576,20,0)</f>
        <v>#N/A</v>
      </c>
      <c r="C1665" s="15"/>
      <c r="D1665" s="15"/>
      <c r="E1665" s="15"/>
      <c r="F1665" s="15"/>
    </row>
    <row r="1666" spans="1:6" ht="24" customHeight="1">
      <c r="A1666" s="12" t="e">
        <f t="shared" si="20"/>
        <v>#N/A</v>
      </c>
      <c r="B1666" s="15" t="e">
        <f>VLOOKUP(D139,[1]국문!$1:$1048576,20,0)</f>
        <v>#N/A</v>
      </c>
      <c r="C1666" s="15"/>
      <c r="D1666" s="15"/>
      <c r="E1666" s="15"/>
      <c r="F1666" s="15"/>
    </row>
    <row r="1667" spans="1:6" ht="24" customHeight="1">
      <c r="A1667" s="12" t="e">
        <f t="shared" si="20"/>
        <v>#N/A</v>
      </c>
      <c r="B1667" s="15" t="e">
        <f>VLOOKUP(D140,[1]국문!$1:$1048576,20,0)</f>
        <v>#N/A</v>
      </c>
      <c r="C1667" s="15"/>
      <c r="D1667" s="15"/>
      <c r="E1667" s="15"/>
      <c r="F1667" s="15"/>
    </row>
    <row r="1668" spans="1:6" ht="24" customHeight="1">
      <c r="A1668" s="12" t="e">
        <f t="shared" si="20"/>
        <v>#N/A</v>
      </c>
      <c r="B1668" s="15" t="e">
        <f>VLOOKUP(D141,[1]국문!$1:$1048576,20,0)</f>
        <v>#N/A</v>
      </c>
      <c r="C1668" s="15"/>
      <c r="D1668" s="15"/>
      <c r="E1668" s="15"/>
      <c r="F1668" s="15"/>
    </row>
    <row r="1669" spans="1:6" ht="24" customHeight="1">
      <c r="A1669" s="12" t="e">
        <f t="shared" si="20"/>
        <v>#N/A</v>
      </c>
      <c r="B1669" s="15" t="e">
        <f>VLOOKUP(D142,[1]국문!$1:$1048576,20,0)</f>
        <v>#N/A</v>
      </c>
      <c r="C1669" s="15"/>
      <c r="D1669" s="15"/>
      <c r="E1669" s="15"/>
      <c r="F1669" s="15"/>
    </row>
    <row r="1670" spans="1:6" ht="24" customHeight="1">
      <c r="A1670" s="12" t="e">
        <f t="shared" si="20"/>
        <v>#N/A</v>
      </c>
      <c r="B1670" s="15" t="e">
        <f>VLOOKUP(D143,[1]국문!$1:$1048576,20,0)</f>
        <v>#N/A</v>
      </c>
      <c r="C1670" s="15"/>
      <c r="D1670" s="15"/>
      <c r="E1670" s="15"/>
      <c r="F1670" s="15"/>
    </row>
    <row r="1671" spans="1:6" ht="24" customHeight="1">
      <c r="A1671" s="12" t="e">
        <f t="shared" si="20"/>
        <v>#N/A</v>
      </c>
      <c r="B1671" s="15" t="e">
        <f>VLOOKUP(D144,[1]국문!$1:$1048576,20,0)</f>
        <v>#N/A</v>
      </c>
      <c r="C1671" s="15"/>
      <c r="D1671" s="15"/>
      <c r="E1671" s="15"/>
      <c r="F1671" s="15"/>
    </row>
    <row r="1672" spans="1:6" ht="27" customHeight="1">
      <c r="A1672" s="12" t="e">
        <f t="shared" si="20"/>
        <v>#N/A</v>
      </c>
      <c r="B1672" s="15" t="e">
        <f>VLOOKUP(D145,[1]국문!$1:$1048576,20,0)</f>
        <v>#N/A</v>
      </c>
      <c r="C1672" s="15"/>
      <c r="D1672" s="15"/>
      <c r="E1672" s="15"/>
      <c r="F1672" s="15"/>
    </row>
    <row r="1673" spans="1:6" ht="24" customHeight="1">
      <c r="A1673" s="12" t="e">
        <f t="shared" si="20"/>
        <v>#N/A</v>
      </c>
      <c r="B1673" s="15" t="e">
        <f>VLOOKUP(D146,[1]국문!$1:$1048576,20,0)</f>
        <v>#N/A</v>
      </c>
      <c r="C1673" s="15"/>
      <c r="D1673" s="15"/>
      <c r="E1673" s="15"/>
      <c r="F1673" s="15"/>
    </row>
    <row r="1674" spans="1:6" ht="24" customHeight="1">
      <c r="A1674" s="12" t="e">
        <f t="shared" si="20"/>
        <v>#N/A</v>
      </c>
      <c r="B1674" s="15" t="e">
        <f>VLOOKUP(D175,[1]국문!$1:$1048576,20,0)</f>
        <v>#N/A</v>
      </c>
      <c r="C1674" s="15"/>
      <c r="D1674" s="15"/>
      <c r="E1674" s="15"/>
      <c r="F1674" s="15"/>
    </row>
    <row r="1675" spans="1:6" ht="24" customHeight="1">
      <c r="A1675" s="12" t="e">
        <f t="shared" si="20"/>
        <v>#N/A</v>
      </c>
      <c r="B1675" s="15" t="e">
        <f>VLOOKUP(D176,[1]국문!$1:$1048576,20,0)</f>
        <v>#N/A</v>
      </c>
      <c r="C1675" s="15"/>
      <c r="D1675" s="15"/>
      <c r="E1675" s="15"/>
      <c r="F1675" s="15"/>
    </row>
    <row r="1676" spans="1:6" ht="24" customHeight="1">
      <c r="A1676" s="12" t="e">
        <f t="shared" si="20"/>
        <v>#N/A</v>
      </c>
      <c r="B1676" s="15" t="e">
        <f>VLOOKUP(D177,[1]국문!$1:$1048576,20,0)</f>
        <v>#N/A</v>
      </c>
      <c r="C1676" s="15"/>
      <c r="D1676" s="15"/>
      <c r="E1676" s="15"/>
      <c r="F1676" s="15"/>
    </row>
    <row r="1677" spans="1:6" ht="18" customHeight="1">
      <c r="A1677" s="12" t="e">
        <f t="shared" si="20"/>
        <v>#N/A</v>
      </c>
      <c r="B1677" s="15" t="e">
        <f>VLOOKUP(D178,[1]국문!$1:$1048576,20,0)</f>
        <v>#N/A</v>
      </c>
      <c r="C1677" s="15"/>
      <c r="D1677" s="15"/>
      <c r="E1677" s="15"/>
      <c r="F1677" s="15"/>
    </row>
    <row r="1678" spans="1:6" ht="18" customHeight="1">
      <c r="A1678" s="12" t="e">
        <f t="shared" si="20"/>
        <v>#N/A</v>
      </c>
      <c r="B1678" s="15" t="e">
        <f>VLOOKUP(D179,[1]국문!$1:$1048576,20,0)</f>
        <v>#N/A</v>
      </c>
      <c r="C1678" s="15"/>
      <c r="D1678" s="15"/>
      <c r="E1678" s="15"/>
      <c r="F1678" s="15"/>
    </row>
    <row r="1679" spans="1:6">
      <c r="A1679" s="12" t="e">
        <f t="shared" si="20"/>
        <v>#N/A</v>
      </c>
      <c r="B1679" s="15" t="e">
        <f>VLOOKUP(D180,[1]국문!$1:$1048576,20,0)</f>
        <v>#N/A</v>
      </c>
      <c r="C1679" s="15"/>
      <c r="D1679" s="15"/>
      <c r="E1679" s="15"/>
      <c r="F1679" s="15"/>
    </row>
    <row r="1680" spans="1:6" ht="18" customHeight="1">
      <c r="A1680" s="12" t="e">
        <f t="shared" si="20"/>
        <v>#N/A</v>
      </c>
      <c r="B1680" s="15" t="e">
        <f>VLOOKUP(D181,[1]국문!$1:$1048576,20,0)</f>
        <v>#N/A</v>
      </c>
      <c r="C1680" s="15"/>
      <c r="D1680" s="15"/>
      <c r="E1680" s="15"/>
      <c r="F1680" s="15"/>
    </row>
    <row r="1681" spans="1:6" ht="18" customHeight="1">
      <c r="A1681" s="12" t="e">
        <f t="shared" si="20"/>
        <v>#N/A</v>
      </c>
      <c r="B1681" s="15" t="e">
        <f>VLOOKUP(D182,[1]국문!$1:$1048576,20,0)</f>
        <v>#N/A</v>
      </c>
      <c r="C1681" s="15"/>
      <c r="D1681" s="15"/>
      <c r="E1681" s="15"/>
      <c r="F1681" s="15"/>
    </row>
    <row r="1682" spans="1:6" ht="18" customHeight="1">
      <c r="A1682" s="12" t="e">
        <f t="shared" si="20"/>
        <v>#N/A</v>
      </c>
      <c r="B1682" s="15" t="e">
        <f>VLOOKUP(D183,[1]국문!$1:$1048576,20,0)</f>
        <v>#N/A</v>
      </c>
      <c r="C1682" s="15"/>
      <c r="D1682" s="15"/>
      <c r="E1682" s="15"/>
      <c r="F1682" s="15"/>
    </row>
    <row r="1683" spans="1:6" ht="18" customHeight="1">
      <c r="A1683" s="12" t="e">
        <f t="shared" si="20"/>
        <v>#N/A</v>
      </c>
      <c r="B1683" s="15" t="e">
        <f>VLOOKUP(D184,[1]국문!$1:$1048576,20,0)</f>
        <v>#N/A</v>
      </c>
      <c r="C1683" s="15"/>
      <c r="D1683" s="15"/>
      <c r="E1683" s="15"/>
      <c r="F1683" s="15"/>
    </row>
    <row r="1684" spans="1:6" ht="24" customHeight="1">
      <c r="A1684" s="12" t="e">
        <f t="shared" si="20"/>
        <v>#N/A</v>
      </c>
      <c r="B1684" s="15" t="e">
        <f>VLOOKUP(D157,[1]국문!$1:$1048576,20,0)</f>
        <v>#N/A</v>
      </c>
      <c r="C1684" s="15"/>
      <c r="D1684" s="15"/>
      <c r="E1684" s="15"/>
      <c r="F1684" s="15"/>
    </row>
    <row r="1685" spans="1:6" ht="24" customHeight="1">
      <c r="A1685" s="12" t="e">
        <f t="shared" si="20"/>
        <v>#N/A</v>
      </c>
      <c r="B1685" s="15" t="e">
        <f>VLOOKUP(D158,[1]국문!$1:$1048576,20,0)</f>
        <v>#N/A</v>
      </c>
      <c r="C1685" s="15"/>
      <c r="D1685" s="15"/>
      <c r="E1685" s="15"/>
      <c r="F1685" s="15"/>
    </row>
    <row r="1686" spans="1:6" ht="24" customHeight="1">
      <c r="A1686" s="12" t="e">
        <f t="shared" si="20"/>
        <v>#N/A</v>
      </c>
      <c r="B1686" s="15" t="e">
        <f>VLOOKUP(D159,[1]국문!$1:$1048576,20,0)</f>
        <v>#N/A</v>
      </c>
      <c r="C1686" s="15"/>
      <c r="D1686" s="15"/>
      <c r="E1686" s="15"/>
      <c r="F1686" s="15"/>
    </row>
    <row r="1687" spans="1:6" ht="24" customHeight="1">
      <c r="A1687" s="12" t="e">
        <f t="shared" si="20"/>
        <v>#N/A</v>
      </c>
      <c r="B1687" s="15" t="e">
        <f>VLOOKUP(D160,[1]국문!$1:$1048576,20,0)</f>
        <v>#N/A</v>
      </c>
      <c r="C1687" s="15"/>
      <c r="D1687" s="15"/>
      <c r="E1687" s="15"/>
      <c r="F1687" s="15"/>
    </row>
    <row r="1688" spans="1:6" ht="24" customHeight="1">
      <c r="A1688" s="12" t="e">
        <f t="shared" si="20"/>
        <v>#N/A</v>
      </c>
      <c r="B1688" s="15" t="e">
        <f>VLOOKUP(D161,[1]국문!$1:$1048576,20,0)</f>
        <v>#N/A</v>
      </c>
      <c r="C1688" s="15"/>
      <c r="D1688" s="15"/>
      <c r="E1688" s="15"/>
      <c r="F1688" s="15"/>
    </row>
    <row r="1689" spans="1:6" ht="24" customHeight="1">
      <c r="A1689" s="12" t="e">
        <f t="shared" ref="A1689:A1752" si="21">A198</f>
        <v>#N/A</v>
      </c>
      <c r="B1689" s="15" t="e">
        <f>VLOOKUP(D162,[1]국문!$1:$1048576,20,0)</f>
        <v>#N/A</v>
      </c>
      <c r="C1689" s="15"/>
      <c r="D1689" s="15"/>
      <c r="E1689" s="15"/>
      <c r="F1689" s="15"/>
    </row>
    <row r="1690" spans="1:6" ht="24" customHeight="1">
      <c r="A1690" s="12" t="e">
        <f t="shared" si="21"/>
        <v>#N/A</v>
      </c>
      <c r="B1690" s="15" t="e">
        <f>VLOOKUP(D163,[1]국문!$1:$1048576,20,0)</f>
        <v>#N/A</v>
      </c>
      <c r="C1690" s="15"/>
      <c r="D1690" s="15"/>
      <c r="E1690" s="15"/>
      <c r="F1690" s="15"/>
    </row>
    <row r="1691" spans="1:6" ht="24" customHeight="1">
      <c r="A1691" s="12" t="e">
        <f t="shared" si="21"/>
        <v>#N/A</v>
      </c>
      <c r="B1691" s="15" t="e">
        <f>VLOOKUP(D164,[1]국문!$1:$1048576,20,0)</f>
        <v>#N/A</v>
      </c>
      <c r="C1691" s="15"/>
      <c r="D1691" s="15"/>
      <c r="E1691" s="15"/>
      <c r="F1691" s="15"/>
    </row>
    <row r="1692" spans="1:6" ht="24" customHeight="1">
      <c r="A1692" s="12" t="e">
        <f t="shared" si="21"/>
        <v>#N/A</v>
      </c>
      <c r="B1692" s="15" t="e">
        <f>VLOOKUP(D165,[1]국문!$1:$1048576,20,0)</f>
        <v>#N/A</v>
      </c>
      <c r="C1692" s="15"/>
      <c r="D1692" s="15"/>
      <c r="E1692" s="15"/>
      <c r="F1692" s="15"/>
    </row>
    <row r="1693" spans="1:6" ht="24" customHeight="1">
      <c r="A1693" s="12" t="e">
        <f t="shared" si="21"/>
        <v>#N/A</v>
      </c>
      <c r="B1693" s="15" t="e">
        <f>VLOOKUP(D166,[1]국문!$1:$1048576,20,0)</f>
        <v>#N/A</v>
      </c>
      <c r="C1693" s="15"/>
      <c r="D1693" s="15"/>
      <c r="E1693" s="15"/>
      <c r="F1693" s="15"/>
    </row>
    <row r="1694" spans="1:6" ht="24" customHeight="1">
      <c r="A1694" s="12" t="e">
        <f t="shared" si="21"/>
        <v>#N/A</v>
      </c>
      <c r="B1694" s="15" t="e">
        <f>VLOOKUP(D167,[1]국문!$1:$1048576,20,0)</f>
        <v>#N/A</v>
      </c>
      <c r="C1694" s="15"/>
      <c r="D1694" s="15"/>
      <c r="E1694" s="15"/>
      <c r="F1694" s="15"/>
    </row>
    <row r="1695" spans="1:6" ht="24" customHeight="1">
      <c r="A1695" s="12" t="e">
        <f t="shared" si="21"/>
        <v>#N/A</v>
      </c>
      <c r="B1695" s="15" t="e">
        <f>VLOOKUP(D168,[1]국문!$1:$1048576,20,0)</f>
        <v>#N/A</v>
      </c>
      <c r="C1695" s="15"/>
      <c r="D1695" s="15"/>
      <c r="E1695" s="15"/>
      <c r="F1695" s="15"/>
    </row>
    <row r="1696" spans="1:6" ht="24" customHeight="1">
      <c r="A1696" s="12" t="e">
        <f t="shared" si="21"/>
        <v>#N/A</v>
      </c>
      <c r="B1696" s="15" t="e">
        <f>VLOOKUP(D169,[1]국문!$1:$1048576,20,0)</f>
        <v>#N/A</v>
      </c>
      <c r="C1696" s="15"/>
      <c r="D1696" s="15"/>
      <c r="E1696" s="15"/>
      <c r="F1696" s="15"/>
    </row>
    <row r="1697" spans="1:6" ht="27" customHeight="1">
      <c r="A1697" s="12" t="e">
        <f t="shared" si="21"/>
        <v>#N/A</v>
      </c>
      <c r="B1697" s="15" t="e">
        <f>VLOOKUP(D170,[1]국문!$1:$1048576,20,0)</f>
        <v>#N/A</v>
      </c>
      <c r="C1697" s="15"/>
      <c r="D1697" s="15"/>
      <c r="E1697" s="15"/>
      <c r="F1697" s="15"/>
    </row>
    <row r="1698" spans="1:6" ht="24" customHeight="1">
      <c r="A1698" s="12" t="e">
        <f t="shared" si="21"/>
        <v>#N/A</v>
      </c>
      <c r="B1698" s="15" t="e">
        <f>VLOOKUP(D171,[1]국문!$1:$1048576,20,0)</f>
        <v>#N/A</v>
      </c>
      <c r="C1698" s="15"/>
      <c r="D1698" s="15"/>
      <c r="E1698" s="15"/>
      <c r="F1698" s="15"/>
    </row>
    <row r="1699" spans="1:6" ht="24" customHeight="1">
      <c r="A1699" s="12" t="e">
        <f t="shared" si="21"/>
        <v>#N/A</v>
      </c>
      <c r="B1699" s="15" t="e">
        <f>VLOOKUP(D200,[1]국문!$1:$1048576,20,0)</f>
        <v>#N/A</v>
      </c>
      <c r="C1699" s="15"/>
      <c r="D1699" s="15"/>
      <c r="E1699" s="15"/>
      <c r="F1699" s="15"/>
    </row>
    <row r="1700" spans="1:6" ht="24" customHeight="1">
      <c r="A1700" s="12" t="e">
        <f t="shared" si="21"/>
        <v>#N/A</v>
      </c>
      <c r="B1700" s="15" t="e">
        <f>VLOOKUP(D201,[1]국문!$1:$1048576,20,0)</f>
        <v>#N/A</v>
      </c>
      <c r="C1700" s="15"/>
      <c r="D1700" s="15"/>
      <c r="E1700" s="15"/>
      <c r="F1700" s="15"/>
    </row>
    <row r="1701" spans="1:6" ht="24" customHeight="1">
      <c r="A1701" s="12" t="e">
        <f t="shared" si="21"/>
        <v>#N/A</v>
      </c>
      <c r="B1701" s="15" t="e">
        <f>VLOOKUP(D202,[1]국문!$1:$1048576,20,0)</f>
        <v>#N/A</v>
      </c>
      <c r="C1701" s="15"/>
      <c r="D1701" s="15"/>
      <c r="E1701" s="15"/>
      <c r="F1701" s="15"/>
    </row>
    <row r="1702" spans="1:6" ht="18" customHeight="1">
      <c r="A1702" s="12" t="e">
        <f t="shared" si="21"/>
        <v>#N/A</v>
      </c>
      <c r="B1702" s="15" t="e">
        <f>VLOOKUP(D203,[1]국문!$1:$1048576,20,0)</f>
        <v>#N/A</v>
      </c>
      <c r="C1702" s="15"/>
      <c r="D1702" s="15"/>
      <c r="E1702" s="15"/>
      <c r="F1702" s="15"/>
    </row>
    <row r="1703" spans="1:6" ht="18" customHeight="1">
      <c r="A1703" s="12" t="e">
        <f t="shared" si="21"/>
        <v>#N/A</v>
      </c>
      <c r="B1703" s="15" t="e">
        <f>VLOOKUP(D204,[1]국문!$1:$1048576,20,0)</f>
        <v>#N/A</v>
      </c>
      <c r="C1703" s="15"/>
      <c r="D1703" s="15"/>
      <c r="E1703" s="15"/>
      <c r="F1703" s="15"/>
    </row>
    <row r="1704" spans="1:6">
      <c r="A1704" s="12" t="e">
        <f t="shared" si="21"/>
        <v>#N/A</v>
      </c>
      <c r="B1704" s="15" t="e">
        <f>VLOOKUP(D205,[1]국문!$1:$1048576,20,0)</f>
        <v>#N/A</v>
      </c>
      <c r="C1704" s="15"/>
      <c r="D1704" s="15"/>
      <c r="E1704" s="15"/>
      <c r="F1704" s="15"/>
    </row>
    <row r="1705" spans="1:6" ht="18" customHeight="1">
      <c r="A1705" s="12" t="e">
        <f t="shared" si="21"/>
        <v>#N/A</v>
      </c>
      <c r="B1705" s="15" t="e">
        <f>VLOOKUP(D206,[1]국문!$1:$1048576,20,0)</f>
        <v>#N/A</v>
      </c>
      <c r="C1705" s="15"/>
      <c r="D1705" s="15"/>
      <c r="E1705" s="15"/>
      <c r="F1705" s="15"/>
    </row>
    <row r="1706" spans="1:6" ht="18" customHeight="1">
      <c r="A1706" s="12" t="e">
        <f t="shared" si="21"/>
        <v>#N/A</v>
      </c>
      <c r="B1706" s="15" t="e">
        <f>VLOOKUP(D207,[1]국문!$1:$1048576,20,0)</f>
        <v>#N/A</v>
      </c>
      <c r="C1706" s="15"/>
      <c r="D1706" s="15"/>
      <c r="E1706" s="15"/>
      <c r="F1706" s="15"/>
    </row>
    <row r="1707" spans="1:6" ht="18" customHeight="1">
      <c r="A1707" s="12" t="e">
        <f t="shared" si="21"/>
        <v>#N/A</v>
      </c>
      <c r="B1707" s="15" t="e">
        <f>VLOOKUP(D208,[1]국문!$1:$1048576,20,0)</f>
        <v>#N/A</v>
      </c>
      <c r="C1707" s="15"/>
      <c r="D1707" s="15"/>
      <c r="E1707" s="15"/>
      <c r="F1707" s="15"/>
    </row>
    <row r="1708" spans="1:6" ht="18" customHeight="1">
      <c r="A1708" s="12" t="e">
        <f t="shared" si="21"/>
        <v>#N/A</v>
      </c>
      <c r="B1708" s="15" t="e">
        <f>VLOOKUP(D209,[1]국문!$1:$1048576,20,0)</f>
        <v>#N/A</v>
      </c>
      <c r="C1708" s="15"/>
      <c r="D1708" s="15"/>
      <c r="E1708" s="15"/>
      <c r="F1708" s="15"/>
    </row>
    <row r="1709" spans="1:6">
      <c r="A1709" s="12" t="e">
        <f t="shared" si="21"/>
        <v>#N/A</v>
      </c>
      <c r="B1709" s="15" t="e">
        <f>VLOOKUP(D210,[1]국문!$1:$1048576,20,0)</f>
        <v>#N/A</v>
      </c>
      <c r="C1709" s="15"/>
      <c r="D1709" s="15"/>
      <c r="E1709" s="15"/>
      <c r="F1709" s="15"/>
    </row>
    <row r="1710" spans="1:6">
      <c r="A1710" s="12" t="e">
        <f t="shared" si="21"/>
        <v>#N/A</v>
      </c>
      <c r="B1710" s="15" t="e">
        <f>VLOOKUP(D211,[1]국문!$1:$1048576,20,0)</f>
        <v>#N/A</v>
      </c>
      <c r="C1710" s="15"/>
      <c r="D1710" s="15"/>
      <c r="E1710" s="15"/>
      <c r="F1710" s="15"/>
    </row>
    <row r="1711" spans="1:6">
      <c r="A1711" s="12" t="e">
        <f t="shared" si="21"/>
        <v>#N/A</v>
      </c>
      <c r="B1711" s="15" t="e">
        <f>VLOOKUP(D212,[1]국문!$1:$1048576,20,0)</f>
        <v>#N/A</v>
      </c>
      <c r="C1711" s="15"/>
      <c r="D1711" s="15"/>
      <c r="E1711" s="15"/>
      <c r="F1711" s="15"/>
    </row>
    <row r="1712" spans="1:6" ht="18" customHeight="1">
      <c r="A1712" s="12" t="e">
        <f t="shared" si="21"/>
        <v>#N/A</v>
      </c>
      <c r="B1712" s="15" t="e">
        <f>VLOOKUP(D213,[1]국문!$1:$1048576,20,0)</f>
        <v>#N/A</v>
      </c>
      <c r="C1712" s="15"/>
      <c r="D1712" s="15"/>
      <c r="E1712" s="15"/>
      <c r="F1712" s="15"/>
    </row>
    <row r="1713" spans="1:6" ht="18" customHeight="1">
      <c r="A1713" s="12" t="e">
        <f t="shared" si="21"/>
        <v>#N/A</v>
      </c>
      <c r="B1713" s="15" t="e">
        <f>VLOOKUP(D214,[1]국문!$1:$1048576,20,0)</f>
        <v>#N/A</v>
      </c>
      <c r="C1713" s="15"/>
      <c r="D1713" s="15"/>
      <c r="E1713" s="15"/>
      <c r="F1713" s="15"/>
    </row>
    <row r="1714" spans="1:6" ht="18" customHeight="1">
      <c r="A1714" s="12" t="e">
        <f t="shared" si="21"/>
        <v>#N/A</v>
      </c>
      <c r="B1714" s="15" t="e">
        <f>VLOOKUP(D215,[1]국문!$1:$1048576,20,0)</f>
        <v>#N/A</v>
      </c>
      <c r="C1714" s="15"/>
      <c r="D1714" s="15"/>
      <c r="E1714" s="15"/>
      <c r="F1714" s="15"/>
    </row>
    <row r="1715" spans="1:6" ht="18" customHeight="1">
      <c r="A1715" s="12" t="e">
        <f t="shared" si="21"/>
        <v>#N/A</v>
      </c>
      <c r="B1715" s="15" t="e">
        <f>VLOOKUP(D216,[1]국문!$1:$1048576,20,0)</f>
        <v>#N/A</v>
      </c>
      <c r="C1715" s="15"/>
      <c r="D1715" s="15"/>
      <c r="E1715" s="15"/>
      <c r="F1715" s="15"/>
    </row>
    <row r="1716" spans="1:6" ht="18" customHeight="1">
      <c r="A1716" s="12" t="e">
        <f t="shared" si="21"/>
        <v>#N/A</v>
      </c>
      <c r="B1716" s="15" t="e">
        <f>VLOOKUP(D217,[1]국문!$1:$1048576,20,0)</f>
        <v>#N/A</v>
      </c>
      <c r="C1716" s="15"/>
      <c r="D1716" s="15"/>
      <c r="E1716" s="15"/>
      <c r="F1716" s="15"/>
    </row>
    <row r="1717" spans="1:6" ht="18" customHeight="1">
      <c r="A1717" s="12" t="e">
        <f t="shared" si="21"/>
        <v>#N/A</v>
      </c>
      <c r="B1717" s="15" t="e">
        <f>VLOOKUP(D218,[1]국문!$1:$1048576,20,0)</f>
        <v>#N/A</v>
      </c>
      <c r="C1717" s="15"/>
      <c r="D1717" s="15"/>
      <c r="E1717" s="15"/>
      <c r="F1717" s="15"/>
    </row>
    <row r="1718" spans="1:6" ht="18" customHeight="1">
      <c r="A1718" s="12" t="e">
        <f t="shared" si="21"/>
        <v>#N/A</v>
      </c>
      <c r="B1718" s="15" t="e">
        <f>VLOOKUP(D219,[1]국문!$1:$1048576,20,0)</f>
        <v>#N/A</v>
      </c>
      <c r="C1718" s="15"/>
      <c r="D1718" s="15"/>
      <c r="E1718" s="15"/>
      <c r="F1718" s="15"/>
    </row>
    <row r="1719" spans="1:6" ht="24" customHeight="1">
      <c r="A1719" s="12" t="e">
        <f t="shared" si="21"/>
        <v>#N/A</v>
      </c>
      <c r="B1719" s="15" t="e">
        <f>VLOOKUP(D192,[1]국문!$1:$1048576,20,0)</f>
        <v>#N/A</v>
      </c>
      <c r="C1719" s="15"/>
      <c r="D1719" s="15"/>
      <c r="E1719" s="15"/>
      <c r="F1719" s="15"/>
    </row>
    <row r="1720" spans="1:6" ht="24" customHeight="1">
      <c r="A1720" s="12" t="e">
        <f t="shared" si="21"/>
        <v>#N/A</v>
      </c>
      <c r="B1720" s="15" t="e">
        <f>VLOOKUP(D193,[1]국문!$1:$1048576,20,0)</f>
        <v>#N/A</v>
      </c>
      <c r="C1720" s="15"/>
      <c r="D1720" s="15"/>
      <c r="E1720" s="15"/>
      <c r="F1720" s="15"/>
    </row>
    <row r="1721" spans="1:6" ht="24" customHeight="1">
      <c r="A1721" s="12" t="e">
        <f t="shared" si="21"/>
        <v>#N/A</v>
      </c>
      <c r="B1721" s="15" t="e">
        <f>VLOOKUP(D194,[1]국문!$1:$1048576,20,0)</f>
        <v>#N/A</v>
      </c>
      <c r="C1721" s="15"/>
      <c r="D1721" s="15"/>
      <c r="E1721" s="15"/>
      <c r="F1721" s="15"/>
    </row>
    <row r="1722" spans="1:6" ht="24" customHeight="1">
      <c r="A1722" s="12" t="e">
        <f t="shared" si="21"/>
        <v>#N/A</v>
      </c>
      <c r="B1722" s="15" t="e">
        <f>VLOOKUP(D195,[1]국문!$1:$1048576,20,0)</f>
        <v>#N/A</v>
      </c>
      <c r="C1722" s="15"/>
      <c r="D1722" s="15"/>
      <c r="E1722" s="15"/>
      <c r="F1722" s="15"/>
    </row>
    <row r="1723" spans="1:6" ht="24" customHeight="1">
      <c r="A1723" s="12" t="e">
        <f t="shared" si="21"/>
        <v>#N/A</v>
      </c>
      <c r="B1723" s="15" t="e">
        <f>VLOOKUP(D196,[1]국문!$1:$1048576,20,0)</f>
        <v>#N/A</v>
      </c>
      <c r="C1723" s="15"/>
      <c r="D1723" s="15"/>
      <c r="E1723" s="15"/>
      <c r="F1723" s="15"/>
    </row>
    <row r="1724" spans="1:6" ht="24" customHeight="1">
      <c r="A1724" s="12" t="e">
        <f t="shared" si="21"/>
        <v>#N/A</v>
      </c>
      <c r="B1724" s="15" t="e">
        <f>VLOOKUP(D197,[1]국문!$1:$1048576,20,0)</f>
        <v>#N/A</v>
      </c>
      <c r="C1724" s="15"/>
      <c r="D1724" s="15"/>
      <c r="E1724" s="15"/>
      <c r="F1724" s="15"/>
    </row>
    <row r="1725" spans="1:6" ht="24" customHeight="1">
      <c r="A1725" s="12" t="e">
        <f t="shared" si="21"/>
        <v>#N/A</v>
      </c>
      <c r="B1725" s="15" t="e">
        <f>VLOOKUP(D198,[1]국문!$1:$1048576,20,0)</f>
        <v>#N/A</v>
      </c>
      <c r="C1725" s="15"/>
      <c r="D1725" s="15"/>
      <c r="E1725" s="15"/>
      <c r="F1725" s="15"/>
    </row>
    <row r="1726" spans="1:6" ht="24" customHeight="1">
      <c r="A1726" s="12" t="e">
        <f t="shared" si="21"/>
        <v>#N/A</v>
      </c>
      <c r="B1726" s="15" t="e">
        <f>VLOOKUP(D199,[1]국문!$1:$1048576,20,0)</f>
        <v>#N/A</v>
      </c>
      <c r="C1726" s="15"/>
      <c r="D1726" s="15"/>
      <c r="E1726" s="15"/>
      <c r="F1726" s="15"/>
    </row>
    <row r="1727" spans="1:6" ht="24" customHeight="1">
      <c r="A1727" s="12" t="e">
        <f t="shared" si="21"/>
        <v>#N/A</v>
      </c>
      <c r="B1727" s="15" t="e">
        <f>VLOOKUP(D200,[1]국문!$1:$1048576,20,0)</f>
        <v>#N/A</v>
      </c>
      <c r="C1727" s="15"/>
      <c r="D1727" s="15"/>
      <c r="E1727" s="15"/>
      <c r="F1727" s="15"/>
    </row>
    <row r="1728" spans="1:6" ht="24" customHeight="1">
      <c r="A1728" s="12" t="e">
        <f t="shared" si="21"/>
        <v>#N/A</v>
      </c>
      <c r="B1728" s="15" t="e">
        <f>VLOOKUP(D201,[1]국문!$1:$1048576,20,0)</f>
        <v>#N/A</v>
      </c>
      <c r="C1728" s="15"/>
      <c r="D1728" s="15"/>
      <c r="E1728" s="15"/>
      <c r="F1728" s="15"/>
    </row>
    <row r="1729" spans="1:6" ht="24" customHeight="1">
      <c r="A1729" s="12" t="e">
        <f t="shared" si="21"/>
        <v>#N/A</v>
      </c>
      <c r="B1729" s="15" t="e">
        <f>VLOOKUP(D202,[1]국문!$1:$1048576,20,0)</f>
        <v>#N/A</v>
      </c>
      <c r="C1729" s="15"/>
      <c r="D1729" s="15"/>
      <c r="E1729" s="15"/>
      <c r="F1729" s="15"/>
    </row>
    <row r="1730" spans="1:6" ht="24" customHeight="1">
      <c r="A1730" s="12" t="e">
        <f t="shared" si="21"/>
        <v>#N/A</v>
      </c>
      <c r="B1730" s="15" t="e">
        <f>VLOOKUP(D203,[1]국문!$1:$1048576,20,0)</f>
        <v>#N/A</v>
      </c>
      <c r="C1730" s="15"/>
      <c r="D1730" s="15"/>
      <c r="E1730" s="15"/>
      <c r="F1730" s="15"/>
    </row>
    <row r="1731" spans="1:6" ht="24" customHeight="1">
      <c r="A1731" s="12" t="e">
        <f t="shared" si="21"/>
        <v>#N/A</v>
      </c>
      <c r="B1731" s="15" t="e">
        <f>VLOOKUP(D204,[1]국문!$1:$1048576,20,0)</f>
        <v>#N/A</v>
      </c>
      <c r="C1731" s="15"/>
      <c r="D1731" s="15"/>
      <c r="E1731" s="15"/>
      <c r="F1731" s="15"/>
    </row>
    <row r="1732" spans="1:6" ht="27" customHeight="1">
      <c r="A1732" s="12" t="e">
        <f t="shared" si="21"/>
        <v>#N/A</v>
      </c>
      <c r="B1732" s="15" t="e">
        <f>VLOOKUP(D205,[1]국문!$1:$1048576,20,0)</f>
        <v>#N/A</v>
      </c>
      <c r="C1732" s="15"/>
      <c r="D1732" s="15"/>
      <c r="E1732" s="15"/>
      <c r="F1732" s="15"/>
    </row>
    <row r="1733" spans="1:6" ht="24" customHeight="1">
      <c r="A1733" s="12" t="e">
        <f t="shared" si="21"/>
        <v>#N/A</v>
      </c>
      <c r="B1733" s="15" t="e">
        <f>VLOOKUP(D206,[1]국문!$1:$1048576,20,0)</f>
        <v>#N/A</v>
      </c>
      <c r="C1733" s="15"/>
      <c r="D1733" s="15"/>
      <c r="E1733" s="15"/>
      <c r="F1733" s="15"/>
    </row>
    <row r="1734" spans="1:6" ht="24" customHeight="1">
      <c r="A1734" s="12" t="e">
        <f t="shared" si="21"/>
        <v>#N/A</v>
      </c>
      <c r="B1734" s="15" t="e">
        <f>VLOOKUP(D235,[1]국문!$1:$1048576,20,0)</f>
        <v>#N/A</v>
      </c>
      <c r="C1734" s="15"/>
      <c r="D1734" s="15"/>
      <c r="E1734" s="15"/>
      <c r="F1734" s="15"/>
    </row>
    <row r="1735" spans="1:6" ht="24" customHeight="1">
      <c r="A1735" s="12" t="e">
        <f t="shared" si="21"/>
        <v>#N/A</v>
      </c>
      <c r="B1735" s="15" t="e">
        <f>VLOOKUP(D236,[1]국문!$1:$1048576,20,0)</f>
        <v>#N/A</v>
      </c>
      <c r="C1735" s="15"/>
      <c r="D1735" s="15"/>
      <c r="E1735" s="15"/>
      <c r="F1735" s="15"/>
    </row>
    <row r="1736" spans="1:6" ht="24" customHeight="1">
      <c r="A1736" s="12" t="e">
        <f t="shared" si="21"/>
        <v>#N/A</v>
      </c>
      <c r="B1736" s="15" t="e">
        <f>VLOOKUP(D237,[1]국문!$1:$1048576,20,0)</f>
        <v>#N/A</v>
      </c>
      <c r="C1736" s="15"/>
      <c r="D1736" s="15"/>
      <c r="E1736" s="15"/>
      <c r="F1736" s="15"/>
    </row>
    <row r="1737" spans="1:6" ht="18" customHeight="1">
      <c r="A1737" s="12" t="e">
        <f t="shared" si="21"/>
        <v>#N/A</v>
      </c>
      <c r="B1737" s="15" t="e">
        <f>VLOOKUP(D238,[1]국문!$1:$1048576,20,0)</f>
        <v>#N/A</v>
      </c>
      <c r="C1737" s="15"/>
      <c r="D1737" s="15"/>
      <c r="E1737" s="15"/>
      <c r="F1737" s="15"/>
    </row>
    <row r="1738" spans="1:6" ht="18" customHeight="1">
      <c r="A1738" s="12" t="e">
        <f t="shared" si="21"/>
        <v>#N/A</v>
      </c>
      <c r="B1738" s="15" t="e">
        <f>VLOOKUP(D239,[1]국문!$1:$1048576,20,0)</f>
        <v>#N/A</v>
      </c>
      <c r="C1738" s="15"/>
      <c r="D1738" s="15"/>
      <c r="E1738" s="15"/>
      <c r="F1738" s="15"/>
    </row>
    <row r="1739" spans="1:6">
      <c r="A1739" s="12" t="e">
        <f t="shared" si="21"/>
        <v>#N/A</v>
      </c>
      <c r="B1739" s="15" t="e">
        <f>VLOOKUP(D240,[1]국문!$1:$1048576,20,0)</f>
        <v>#N/A</v>
      </c>
      <c r="C1739" s="15"/>
      <c r="D1739" s="15"/>
      <c r="E1739" s="15"/>
      <c r="F1739" s="15"/>
    </row>
    <row r="1740" spans="1:6" ht="18" customHeight="1">
      <c r="A1740" s="12" t="e">
        <f t="shared" si="21"/>
        <v>#N/A</v>
      </c>
      <c r="B1740" s="15" t="e">
        <f>VLOOKUP(D241,[1]국문!$1:$1048576,20,0)</f>
        <v>#N/A</v>
      </c>
      <c r="C1740" s="15"/>
      <c r="D1740" s="15"/>
      <c r="E1740" s="15"/>
      <c r="F1740" s="15"/>
    </row>
    <row r="1741" spans="1:6" ht="18" customHeight="1">
      <c r="A1741" s="12" t="e">
        <f t="shared" si="21"/>
        <v>#N/A</v>
      </c>
      <c r="B1741" s="15" t="e">
        <f>VLOOKUP(D242,[1]국문!$1:$1048576,20,0)</f>
        <v>#N/A</v>
      </c>
      <c r="C1741" s="15"/>
      <c r="D1741" s="15"/>
      <c r="E1741" s="15"/>
      <c r="F1741" s="15"/>
    </row>
    <row r="1742" spans="1:6" ht="18" customHeight="1">
      <c r="A1742" s="12" t="e">
        <f t="shared" si="21"/>
        <v>#N/A</v>
      </c>
      <c r="B1742" s="15" t="e">
        <f>VLOOKUP(D243,[1]국문!$1:$1048576,20,0)</f>
        <v>#N/A</v>
      </c>
      <c r="C1742" s="15"/>
      <c r="D1742" s="15"/>
      <c r="E1742" s="15"/>
      <c r="F1742" s="15"/>
    </row>
    <row r="1743" spans="1:6" ht="18" customHeight="1">
      <c r="A1743" s="12" t="e">
        <f t="shared" si="21"/>
        <v>#N/A</v>
      </c>
      <c r="B1743" s="15" t="e">
        <f>VLOOKUP(D244,[1]국문!$1:$1048576,20,0)</f>
        <v>#N/A</v>
      </c>
      <c r="C1743" s="15"/>
      <c r="D1743" s="15"/>
      <c r="E1743" s="15"/>
      <c r="F1743" s="15"/>
    </row>
    <row r="1744" spans="1:6">
      <c r="A1744" s="12" t="e">
        <f t="shared" si="21"/>
        <v>#N/A</v>
      </c>
      <c r="B1744" s="15" t="e">
        <f>VLOOKUP(D245,[1]국문!$1:$1048576,20,0)</f>
        <v>#N/A</v>
      </c>
      <c r="C1744" s="15"/>
      <c r="D1744" s="15"/>
      <c r="E1744" s="15"/>
      <c r="F1744" s="15"/>
    </row>
    <row r="1745" spans="1:6">
      <c r="A1745" s="12" t="e">
        <f t="shared" si="21"/>
        <v>#N/A</v>
      </c>
      <c r="B1745" s="15" t="e">
        <f>VLOOKUP(D246,[1]국문!$1:$1048576,20,0)</f>
        <v>#N/A</v>
      </c>
      <c r="C1745" s="15"/>
      <c r="D1745" s="15"/>
      <c r="E1745" s="15"/>
      <c r="F1745" s="15"/>
    </row>
    <row r="1746" spans="1:6">
      <c r="A1746" s="12" t="e">
        <f t="shared" si="21"/>
        <v>#N/A</v>
      </c>
      <c r="B1746" s="15" t="e">
        <f>VLOOKUP(D247,[1]국문!$1:$1048576,20,0)</f>
        <v>#N/A</v>
      </c>
      <c r="C1746" s="15"/>
      <c r="D1746" s="15"/>
      <c r="E1746" s="15"/>
      <c r="F1746" s="15"/>
    </row>
    <row r="1747" spans="1:6" ht="18" customHeight="1">
      <c r="A1747" s="12" t="e">
        <f t="shared" si="21"/>
        <v>#N/A</v>
      </c>
      <c r="B1747" s="15" t="e">
        <f>VLOOKUP(D248,[1]국문!$1:$1048576,20,0)</f>
        <v>#N/A</v>
      </c>
      <c r="C1747" s="15"/>
      <c r="D1747" s="15"/>
      <c r="E1747" s="15"/>
      <c r="F1747" s="15"/>
    </row>
    <row r="1748" spans="1:6" ht="18" customHeight="1">
      <c r="A1748" s="12" t="e">
        <f t="shared" si="21"/>
        <v>#N/A</v>
      </c>
      <c r="B1748" s="15" t="e">
        <f>VLOOKUP(D249,[1]국문!$1:$1048576,20,0)</f>
        <v>#N/A</v>
      </c>
      <c r="C1748" s="15"/>
      <c r="D1748" s="15"/>
      <c r="E1748" s="15"/>
      <c r="F1748" s="15"/>
    </row>
    <row r="1749" spans="1:6" ht="18" customHeight="1">
      <c r="A1749" s="12" t="e">
        <f t="shared" si="21"/>
        <v>#N/A</v>
      </c>
      <c r="B1749" s="15" t="e">
        <f>VLOOKUP(D250,[1]국문!$1:$1048576,20,0)</f>
        <v>#N/A</v>
      </c>
      <c r="C1749" s="15"/>
      <c r="D1749" s="15"/>
      <c r="E1749" s="15"/>
      <c r="F1749" s="15"/>
    </row>
    <row r="1750" spans="1:6" ht="18" customHeight="1">
      <c r="A1750" s="12" t="e">
        <f t="shared" si="21"/>
        <v>#N/A</v>
      </c>
      <c r="B1750" s="15" t="e">
        <f>VLOOKUP(D251,[1]국문!$1:$1048576,20,0)</f>
        <v>#N/A</v>
      </c>
      <c r="C1750" s="15"/>
      <c r="D1750" s="15"/>
      <c r="E1750" s="15"/>
      <c r="F1750" s="15"/>
    </row>
    <row r="1751" spans="1:6" ht="18" customHeight="1">
      <c r="A1751" s="12" t="e">
        <f t="shared" si="21"/>
        <v>#N/A</v>
      </c>
      <c r="B1751" s="15" t="e">
        <f>VLOOKUP(D252,[1]국문!$1:$1048576,20,0)</f>
        <v>#N/A</v>
      </c>
      <c r="C1751" s="15"/>
      <c r="D1751" s="15"/>
      <c r="E1751" s="15"/>
      <c r="F1751" s="15"/>
    </row>
    <row r="1752" spans="1:6" ht="18" customHeight="1">
      <c r="A1752" s="12" t="e">
        <f t="shared" si="21"/>
        <v>#N/A</v>
      </c>
      <c r="B1752" s="15" t="e">
        <f>VLOOKUP(D253,[1]국문!$1:$1048576,20,0)</f>
        <v>#N/A</v>
      </c>
      <c r="C1752" s="15"/>
      <c r="D1752" s="15"/>
      <c r="E1752" s="15"/>
      <c r="F1752" s="15"/>
    </row>
    <row r="1753" spans="1:6" ht="18" customHeight="1">
      <c r="A1753" s="12" t="e">
        <f t="shared" ref="A1753:A1816" si="22">A262</f>
        <v>#N/A</v>
      </c>
      <c r="B1753" s="15" t="e">
        <f>VLOOKUP(D254,[1]국문!$1:$1048576,20,0)</f>
        <v>#N/A</v>
      </c>
      <c r="C1753" s="15"/>
      <c r="D1753" s="15"/>
      <c r="E1753" s="15"/>
      <c r="F1753" s="15"/>
    </row>
    <row r="1754" spans="1:6" ht="24" customHeight="1">
      <c r="A1754" s="12" t="e">
        <f t="shared" si="22"/>
        <v>#N/A</v>
      </c>
      <c r="B1754" s="15" t="e">
        <f>VLOOKUP(D227,[1]국문!$1:$1048576,20,0)</f>
        <v>#N/A</v>
      </c>
      <c r="C1754" s="15"/>
      <c r="D1754" s="15"/>
      <c r="E1754" s="15"/>
      <c r="F1754" s="15"/>
    </row>
    <row r="1755" spans="1:6" ht="24" customHeight="1">
      <c r="A1755" s="12" t="e">
        <f t="shared" si="22"/>
        <v>#N/A</v>
      </c>
      <c r="B1755" s="15" t="e">
        <f>VLOOKUP(D228,[1]국문!$1:$1048576,20,0)</f>
        <v>#N/A</v>
      </c>
      <c r="C1755" s="15"/>
      <c r="D1755" s="15"/>
      <c r="E1755" s="15"/>
      <c r="F1755" s="15"/>
    </row>
    <row r="1756" spans="1:6" ht="24" customHeight="1">
      <c r="A1756" s="12" t="e">
        <f t="shared" si="22"/>
        <v>#N/A</v>
      </c>
      <c r="B1756" s="15" t="e">
        <f>VLOOKUP(D229,[1]국문!$1:$1048576,20,0)</f>
        <v>#N/A</v>
      </c>
      <c r="C1756" s="15"/>
      <c r="D1756" s="15"/>
      <c r="E1756" s="15"/>
      <c r="F1756" s="15"/>
    </row>
    <row r="1757" spans="1:6" ht="24" customHeight="1">
      <c r="A1757" s="12" t="e">
        <f t="shared" si="22"/>
        <v>#N/A</v>
      </c>
      <c r="B1757" s="15" t="e">
        <f>VLOOKUP(D230,[1]국문!$1:$1048576,20,0)</f>
        <v>#N/A</v>
      </c>
      <c r="C1757" s="15"/>
      <c r="D1757" s="15"/>
      <c r="E1757" s="15"/>
      <c r="F1757" s="15"/>
    </row>
    <row r="1758" spans="1:6" ht="24" customHeight="1">
      <c r="A1758" s="12" t="e">
        <f t="shared" si="22"/>
        <v>#N/A</v>
      </c>
      <c r="B1758" s="15" t="e">
        <f>VLOOKUP(D231,[1]국문!$1:$1048576,20,0)</f>
        <v>#N/A</v>
      </c>
      <c r="C1758" s="15"/>
      <c r="D1758" s="15"/>
      <c r="E1758" s="15"/>
      <c r="F1758" s="15"/>
    </row>
    <row r="1759" spans="1:6" ht="24" customHeight="1">
      <c r="A1759" s="12" t="e">
        <f t="shared" si="22"/>
        <v>#N/A</v>
      </c>
      <c r="B1759" s="15" t="e">
        <f>VLOOKUP(D232,[1]국문!$1:$1048576,20,0)</f>
        <v>#N/A</v>
      </c>
      <c r="C1759" s="15"/>
      <c r="D1759" s="15"/>
      <c r="E1759" s="15"/>
      <c r="F1759" s="15"/>
    </row>
    <row r="1760" spans="1:6" ht="24" customHeight="1">
      <c r="A1760" s="12" t="e">
        <f t="shared" si="22"/>
        <v>#N/A</v>
      </c>
      <c r="B1760" s="15" t="e">
        <f>VLOOKUP(D233,[1]국문!$1:$1048576,20,0)</f>
        <v>#N/A</v>
      </c>
      <c r="C1760" s="15"/>
      <c r="D1760" s="15"/>
      <c r="E1760" s="15"/>
      <c r="F1760" s="15"/>
    </row>
    <row r="1761" spans="1:6" ht="24" customHeight="1">
      <c r="A1761" s="12" t="e">
        <f t="shared" si="22"/>
        <v>#N/A</v>
      </c>
      <c r="B1761" s="15" t="e">
        <f>VLOOKUP(D234,[1]국문!$1:$1048576,20,0)</f>
        <v>#N/A</v>
      </c>
      <c r="C1761" s="15"/>
      <c r="D1761" s="15"/>
      <c r="E1761" s="15"/>
      <c r="F1761" s="15"/>
    </row>
    <row r="1762" spans="1:6" ht="24" customHeight="1">
      <c r="A1762" s="12" t="e">
        <f t="shared" si="22"/>
        <v>#N/A</v>
      </c>
      <c r="B1762" s="15" t="e">
        <f>VLOOKUP(D235,[1]국문!$1:$1048576,20,0)</f>
        <v>#N/A</v>
      </c>
      <c r="C1762" s="15"/>
      <c r="D1762" s="15"/>
      <c r="E1762" s="15"/>
      <c r="F1762" s="15"/>
    </row>
    <row r="1763" spans="1:6" ht="24" customHeight="1">
      <c r="A1763" s="12" t="e">
        <f t="shared" si="22"/>
        <v>#N/A</v>
      </c>
      <c r="B1763" s="15" t="e">
        <f>VLOOKUP(D236,[1]국문!$1:$1048576,20,0)</f>
        <v>#N/A</v>
      </c>
      <c r="C1763" s="15"/>
      <c r="D1763" s="15"/>
      <c r="E1763" s="15"/>
      <c r="F1763" s="15"/>
    </row>
    <row r="1764" spans="1:6" ht="24" customHeight="1">
      <c r="A1764" s="12" t="e">
        <f t="shared" si="22"/>
        <v>#N/A</v>
      </c>
      <c r="B1764" s="15" t="e">
        <f>VLOOKUP(D237,[1]국문!$1:$1048576,20,0)</f>
        <v>#N/A</v>
      </c>
      <c r="C1764" s="15"/>
      <c r="D1764" s="15"/>
      <c r="E1764" s="15"/>
      <c r="F1764" s="15"/>
    </row>
    <row r="1765" spans="1:6" ht="24" customHeight="1">
      <c r="A1765" s="12" t="e">
        <f t="shared" si="22"/>
        <v>#N/A</v>
      </c>
      <c r="B1765" s="15" t="e">
        <f>VLOOKUP(D238,[1]국문!$1:$1048576,20,0)</f>
        <v>#N/A</v>
      </c>
      <c r="C1765" s="15"/>
      <c r="D1765" s="15"/>
      <c r="E1765" s="15"/>
      <c r="F1765" s="15"/>
    </row>
    <row r="1766" spans="1:6" ht="24" customHeight="1">
      <c r="A1766" s="12" t="e">
        <f t="shared" si="22"/>
        <v>#N/A</v>
      </c>
      <c r="B1766" s="15" t="e">
        <f>VLOOKUP(D239,[1]국문!$1:$1048576,20,0)</f>
        <v>#N/A</v>
      </c>
      <c r="C1766" s="15"/>
      <c r="D1766" s="15"/>
      <c r="E1766" s="15"/>
      <c r="F1766" s="15"/>
    </row>
    <row r="1767" spans="1:6" ht="27" customHeight="1">
      <c r="A1767" s="12" t="e">
        <f t="shared" si="22"/>
        <v>#N/A</v>
      </c>
      <c r="B1767" s="15" t="e">
        <f>VLOOKUP(D240,[1]국문!$1:$1048576,20,0)</f>
        <v>#N/A</v>
      </c>
      <c r="C1767" s="15"/>
      <c r="D1767" s="15"/>
      <c r="E1767" s="15"/>
      <c r="F1767" s="15"/>
    </row>
    <row r="1768" spans="1:6" ht="24" customHeight="1">
      <c r="A1768" s="12" t="e">
        <f t="shared" si="22"/>
        <v>#N/A</v>
      </c>
      <c r="B1768" s="15" t="e">
        <f>VLOOKUP(D241,[1]국문!$1:$1048576,20,0)</f>
        <v>#N/A</v>
      </c>
      <c r="C1768" s="15"/>
      <c r="D1768" s="15"/>
      <c r="E1768" s="15"/>
      <c r="F1768" s="15"/>
    </row>
    <row r="1769" spans="1:6" ht="24" customHeight="1">
      <c r="A1769" s="12" t="e">
        <f t="shared" si="22"/>
        <v>#N/A</v>
      </c>
      <c r="B1769" s="15" t="e">
        <f>VLOOKUP(D270,[1]국문!$1:$1048576,20,0)</f>
        <v>#N/A</v>
      </c>
      <c r="C1769" s="15"/>
      <c r="D1769" s="15"/>
      <c r="E1769" s="15"/>
      <c r="F1769" s="15"/>
    </row>
    <row r="1770" spans="1:6" ht="24" customHeight="1">
      <c r="A1770" s="12" t="e">
        <f t="shared" si="22"/>
        <v>#N/A</v>
      </c>
      <c r="B1770" s="15" t="e">
        <f>VLOOKUP(D271,[1]국문!$1:$1048576,20,0)</f>
        <v>#N/A</v>
      </c>
      <c r="C1770" s="15"/>
      <c r="D1770" s="15"/>
      <c r="E1770" s="15"/>
      <c r="F1770" s="15"/>
    </row>
    <row r="1771" spans="1:6" ht="24" customHeight="1">
      <c r="A1771" s="12" t="e">
        <f t="shared" si="22"/>
        <v>#N/A</v>
      </c>
      <c r="B1771" s="15" t="e">
        <f>VLOOKUP(D272,[1]국문!$1:$1048576,20,0)</f>
        <v>#N/A</v>
      </c>
      <c r="C1771" s="15"/>
      <c r="D1771" s="15"/>
      <c r="E1771" s="15"/>
      <c r="F1771" s="15"/>
    </row>
    <row r="1772" spans="1:6" ht="18" customHeight="1">
      <c r="A1772" s="12" t="e">
        <f t="shared" si="22"/>
        <v>#N/A</v>
      </c>
      <c r="B1772" s="15" t="e">
        <f>VLOOKUP(D273,[1]국문!$1:$1048576,20,0)</f>
        <v>#N/A</v>
      </c>
      <c r="C1772" s="15"/>
      <c r="D1772" s="15"/>
      <c r="E1772" s="15"/>
      <c r="F1772" s="15"/>
    </row>
    <row r="1773" spans="1:6" ht="18" customHeight="1">
      <c r="A1773" s="12" t="e">
        <f t="shared" si="22"/>
        <v>#N/A</v>
      </c>
      <c r="B1773" s="15" t="e">
        <f>VLOOKUP(D274,[1]국문!$1:$1048576,20,0)</f>
        <v>#N/A</v>
      </c>
      <c r="C1773" s="15"/>
      <c r="D1773" s="15"/>
      <c r="E1773" s="15"/>
      <c r="F1773" s="15"/>
    </row>
    <row r="1774" spans="1:6">
      <c r="A1774" s="12" t="e">
        <f t="shared" si="22"/>
        <v>#N/A</v>
      </c>
      <c r="B1774" s="15" t="e">
        <f>VLOOKUP(D275,[1]국문!$1:$1048576,20,0)</f>
        <v>#N/A</v>
      </c>
      <c r="C1774" s="15"/>
      <c r="D1774" s="15"/>
      <c r="E1774" s="15"/>
      <c r="F1774" s="15"/>
    </row>
    <row r="1775" spans="1:6" ht="18" customHeight="1">
      <c r="A1775" s="12" t="e">
        <f t="shared" si="22"/>
        <v>#N/A</v>
      </c>
      <c r="B1775" s="15" t="e">
        <f>VLOOKUP(D276,[1]국문!$1:$1048576,20,0)</f>
        <v>#N/A</v>
      </c>
      <c r="C1775" s="15"/>
      <c r="D1775" s="15"/>
      <c r="E1775" s="15"/>
      <c r="F1775" s="15"/>
    </row>
    <row r="1776" spans="1:6" ht="18" customHeight="1">
      <c r="A1776" s="12" t="e">
        <f t="shared" si="22"/>
        <v>#N/A</v>
      </c>
      <c r="B1776" s="15" t="e">
        <f>VLOOKUP(D277,[1]국문!$1:$1048576,20,0)</f>
        <v>#N/A</v>
      </c>
      <c r="C1776" s="15"/>
      <c r="D1776" s="15"/>
      <c r="E1776" s="15"/>
      <c r="F1776" s="15"/>
    </row>
    <row r="1777" spans="1:6" ht="18" customHeight="1">
      <c r="A1777" s="12" t="e">
        <f t="shared" si="22"/>
        <v>#N/A</v>
      </c>
      <c r="B1777" s="15" t="e">
        <f>VLOOKUP(D278,[1]국문!$1:$1048576,20,0)</f>
        <v>#N/A</v>
      </c>
      <c r="C1777" s="15"/>
      <c r="D1777" s="15"/>
      <c r="E1777" s="15"/>
      <c r="F1777" s="15"/>
    </row>
    <row r="1778" spans="1:6" ht="18" customHeight="1">
      <c r="A1778" s="12" t="e">
        <f t="shared" si="22"/>
        <v>#N/A</v>
      </c>
      <c r="B1778" s="15" t="e">
        <f>VLOOKUP(D279,[1]국문!$1:$1048576,20,0)</f>
        <v>#N/A</v>
      </c>
      <c r="C1778" s="15"/>
      <c r="D1778" s="15"/>
      <c r="E1778" s="15"/>
      <c r="F1778" s="15"/>
    </row>
    <row r="1779" spans="1:6">
      <c r="A1779" s="12" t="e">
        <f t="shared" si="22"/>
        <v>#N/A</v>
      </c>
      <c r="B1779" s="15" t="e">
        <f>VLOOKUP(D280,[1]국문!$1:$1048576,20,0)</f>
        <v>#N/A</v>
      </c>
      <c r="C1779" s="15"/>
      <c r="D1779" s="15"/>
      <c r="E1779" s="15"/>
      <c r="F1779" s="15"/>
    </row>
    <row r="1780" spans="1:6">
      <c r="A1780" s="12" t="e">
        <f t="shared" si="22"/>
        <v>#N/A</v>
      </c>
      <c r="B1780" s="15" t="e">
        <f>VLOOKUP(D281,[1]국문!$1:$1048576,20,0)</f>
        <v>#N/A</v>
      </c>
      <c r="C1780" s="15"/>
      <c r="D1780" s="15"/>
      <c r="E1780" s="15"/>
      <c r="F1780" s="15"/>
    </row>
    <row r="1781" spans="1:6">
      <c r="A1781" s="12" t="e">
        <f t="shared" si="22"/>
        <v>#N/A</v>
      </c>
      <c r="B1781" s="15" t="e">
        <f>VLOOKUP(D282,[1]국문!$1:$1048576,20,0)</f>
        <v>#N/A</v>
      </c>
      <c r="C1781" s="15"/>
      <c r="D1781" s="15"/>
      <c r="E1781" s="15"/>
      <c r="F1781" s="15"/>
    </row>
    <row r="1782" spans="1:6" ht="18" customHeight="1">
      <c r="A1782" s="12" t="e">
        <f t="shared" si="22"/>
        <v>#N/A</v>
      </c>
      <c r="B1782" s="15" t="e">
        <f>VLOOKUP(D283,[1]국문!$1:$1048576,20,0)</f>
        <v>#N/A</v>
      </c>
      <c r="C1782" s="15"/>
      <c r="D1782" s="15"/>
      <c r="E1782" s="15"/>
      <c r="F1782" s="15"/>
    </row>
    <row r="1783" spans="1:6" ht="18" customHeight="1">
      <c r="A1783" s="12" t="e">
        <f t="shared" si="22"/>
        <v>#N/A</v>
      </c>
      <c r="B1783" s="15" t="e">
        <f>VLOOKUP(D284,[1]국문!$1:$1048576,20,0)</f>
        <v>#N/A</v>
      </c>
      <c r="C1783" s="15"/>
      <c r="D1783" s="15"/>
      <c r="E1783" s="15"/>
      <c r="F1783" s="15"/>
    </row>
    <row r="1784" spans="1:6" ht="18" customHeight="1">
      <c r="A1784" s="12" t="e">
        <f t="shared" si="22"/>
        <v>#N/A</v>
      </c>
      <c r="B1784" s="15" t="e">
        <f>VLOOKUP(D285,[1]국문!$1:$1048576,20,0)</f>
        <v>#N/A</v>
      </c>
      <c r="C1784" s="15"/>
      <c r="D1784" s="15"/>
      <c r="E1784" s="15"/>
      <c r="F1784" s="15"/>
    </row>
    <row r="1785" spans="1:6" ht="18" customHeight="1">
      <c r="A1785" s="12" t="e">
        <f t="shared" si="22"/>
        <v>#N/A</v>
      </c>
      <c r="B1785" s="15" t="e">
        <f>VLOOKUP(D286,[1]국문!$1:$1048576,20,0)</f>
        <v>#N/A</v>
      </c>
      <c r="C1785" s="15"/>
      <c r="D1785" s="15"/>
      <c r="E1785" s="15"/>
      <c r="F1785" s="15"/>
    </row>
    <row r="1786" spans="1:6" ht="18" customHeight="1">
      <c r="A1786" s="12" t="e">
        <f t="shared" si="22"/>
        <v>#N/A</v>
      </c>
      <c r="B1786" s="15" t="e">
        <f>VLOOKUP(D287,[1]국문!$1:$1048576,20,0)</f>
        <v>#N/A</v>
      </c>
      <c r="C1786" s="15"/>
      <c r="D1786" s="15"/>
      <c r="E1786" s="15"/>
      <c r="F1786" s="15"/>
    </row>
    <row r="1787" spans="1:6" ht="18" customHeight="1">
      <c r="A1787" s="12" t="e">
        <f t="shared" si="22"/>
        <v>#N/A</v>
      </c>
      <c r="B1787" s="15" t="e">
        <f>VLOOKUP(D288,[1]국문!$1:$1048576,20,0)</f>
        <v>#N/A</v>
      </c>
      <c r="C1787" s="15"/>
      <c r="D1787" s="15"/>
      <c r="E1787" s="15"/>
      <c r="F1787" s="15"/>
    </row>
    <row r="1788" spans="1:6" ht="18" customHeight="1">
      <c r="A1788" s="12" t="e">
        <f t="shared" si="22"/>
        <v>#N/A</v>
      </c>
      <c r="B1788" s="15" t="e">
        <f>VLOOKUP(D289,[1]국문!$1:$1048576,20,0)</f>
        <v>#N/A</v>
      </c>
      <c r="C1788" s="15"/>
      <c r="D1788" s="15"/>
      <c r="E1788" s="15"/>
      <c r="F1788" s="15"/>
    </row>
    <row r="1789" spans="1:6" ht="24" customHeight="1">
      <c r="A1789" s="12" t="e">
        <f t="shared" si="22"/>
        <v>#N/A</v>
      </c>
      <c r="B1789" s="15" t="e">
        <f>VLOOKUP(D262,[1]국문!$1:$1048576,20,0)</f>
        <v>#N/A</v>
      </c>
      <c r="C1789" s="15"/>
      <c r="D1789" s="15"/>
      <c r="E1789" s="15"/>
      <c r="F1789" s="15"/>
    </row>
    <row r="1790" spans="1:6" ht="24" customHeight="1">
      <c r="A1790" s="12" t="e">
        <f t="shared" si="22"/>
        <v>#N/A</v>
      </c>
      <c r="B1790" s="15" t="e">
        <f>VLOOKUP(D263,[1]국문!$1:$1048576,20,0)</f>
        <v>#N/A</v>
      </c>
      <c r="C1790" s="15"/>
      <c r="D1790" s="15"/>
      <c r="E1790" s="15"/>
      <c r="F1790" s="15"/>
    </row>
    <row r="1791" spans="1:6" ht="24" customHeight="1">
      <c r="A1791" s="12" t="e">
        <f t="shared" si="22"/>
        <v>#N/A</v>
      </c>
      <c r="B1791" s="15" t="e">
        <f>VLOOKUP(D264,[1]국문!$1:$1048576,20,0)</f>
        <v>#N/A</v>
      </c>
      <c r="C1791" s="15"/>
      <c r="D1791" s="15"/>
      <c r="E1791" s="15"/>
      <c r="F1791" s="15"/>
    </row>
    <row r="1792" spans="1:6" ht="24" customHeight="1">
      <c r="A1792" s="12" t="e">
        <f t="shared" si="22"/>
        <v>#N/A</v>
      </c>
      <c r="B1792" s="15" t="e">
        <f>VLOOKUP(D265,[1]국문!$1:$1048576,20,0)</f>
        <v>#N/A</v>
      </c>
      <c r="C1792" s="15"/>
      <c r="D1792" s="15"/>
      <c r="E1792" s="15"/>
      <c r="F1792" s="15"/>
    </row>
    <row r="1793" spans="1:6" ht="24" customHeight="1">
      <c r="A1793" s="12" t="e">
        <f t="shared" si="22"/>
        <v>#N/A</v>
      </c>
      <c r="B1793" s="15" t="e">
        <f>VLOOKUP(D266,[1]국문!$1:$1048576,20,0)</f>
        <v>#N/A</v>
      </c>
      <c r="C1793" s="15"/>
      <c r="D1793" s="15"/>
      <c r="E1793" s="15"/>
      <c r="F1793" s="15"/>
    </row>
    <row r="1794" spans="1:6" ht="24" customHeight="1">
      <c r="A1794" s="12" t="e">
        <f t="shared" si="22"/>
        <v>#N/A</v>
      </c>
      <c r="B1794" s="15" t="e">
        <f>VLOOKUP(D267,[1]국문!$1:$1048576,20,0)</f>
        <v>#N/A</v>
      </c>
      <c r="C1794" s="15"/>
      <c r="D1794" s="15"/>
      <c r="E1794" s="15"/>
      <c r="F1794" s="15"/>
    </row>
    <row r="1795" spans="1:6" ht="24" customHeight="1">
      <c r="A1795" s="12" t="e">
        <f t="shared" si="22"/>
        <v>#N/A</v>
      </c>
      <c r="B1795" s="15" t="e">
        <f>VLOOKUP(D268,[1]국문!$1:$1048576,20,0)</f>
        <v>#N/A</v>
      </c>
      <c r="C1795" s="15"/>
      <c r="D1795" s="15"/>
      <c r="E1795" s="15"/>
      <c r="F1795" s="15"/>
    </row>
    <row r="1796" spans="1:6" ht="24" customHeight="1">
      <c r="A1796" s="12" t="e">
        <f t="shared" si="22"/>
        <v>#N/A</v>
      </c>
      <c r="B1796" s="15" t="e">
        <f>VLOOKUP(D269,[1]국문!$1:$1048576,20,0)</f>
        <v>#N/A</v>
      </c>
      <c r="C1796" s="15"/>
      <c r="D1796" s="15"/>
      <c r="E1796" s="15"/>
      <c r="F1796" s="15"/>
    </row>
    <row r="1797" spans="1:6" ht="24" customHeight="1">
      <c r="A1797" s="12" t="e">
        <f t="shared" si="22"/>
        <v>#N/A</v>
      </c>
      <c r="B1797" s="15" t="e">
        <f>VLOOKUP(D270,[1]국문!$1:$1048576,20,0)</f>
        <v>#N/A</v>
      </c>
      <c r="C1797" s="15"/>
      <c r="D1797" s="15"/>
      <c r="E1797" s="15"/>
      <c r="F1797" s="15"/>
    </row>
    <row r="1798" spans="1:6" ht="24" customHeight="1">
      <c r="A1798" s="12" t="e">
        <f t="shared" si="22"/>
        <v>#N/A</v>
      </c>
      <c r="B1798" s="15" t="e">
        <f>VLOOKUP(D271,[1]국문!$1:$1048576,20,0)</f>
        <v>#N/A</v>
      </c>
      <c r="C1798" s="15"/>
      <c r="D1798" s="15"/>
      <c r="E1798" s="15"/>
      <c r="F1798" s="15"/>
    </row>
    <row r="1799" spans="1:6" ht="24" customHeight="1">
      <c r="A1799" s="12" t="e">
        <f t="shared" si="22"/>
        <v>#N/A</v>
      </c>
      <c r="B1799" s="15" t="e">
        <f>VLOOKUP(D272,[1]국문!$1:$1048576,20,0)</f>
        <v>#N/A</v>
      </c>
      <c r="C1799" s="15"/>
      <c r="D1799" s="15"/>
      <c r="E1799" s="15"/>
      <c r="F1799" s="15"/>
    </row>
    <row r="1800" spans="1:6" ht="24" customHeight="1">
      <c r="A1800" s="12" t="e">
        <f t="shared" si="22"/>
        <v>#N/A</v>
      </c>
      <c r="B1800" s="15" t="e">
        <f>VLOOKUP(D273,[1]국문!$1:$1048576,20,0)</f>
        <v>#N/A</v>
      </c>
      <c r="C1800" s="15"/>
      <c r="D1800" s="15"/>
      <c r="E1800" s="15"/>
      <c r="F1800" s="15"/>
    </row>
    <row r="1801" spans="1:6" ht="24" customHeight="1">
      <c r="A1801" s="12" t="e">
        <f t="shared" si="22"/>
        <v>#N/A</v>
      </c>
      <c r="B1801" s="15" t="e">
        <f>VLOOKUP(D274,[1]국문!$1:$1048576,20,0)</f>
        <v>#N/A</v>
      </c>
      <c r="C1801" s="15"/>
      <c r="D1801" s="15"/>
      <c r="E1801" s="15"/>
      <c r="F1801" s="15"/>
    </row>
    <row r="1802" spans="1:6" ht="27" customHeight="1">
      <c r="A1802" s="12" t="e">
        <f t="shared" si="22"/>
        <v>#N/A</v>
      </c>
      <c r="B1802" s="15" t="e">
        <f>VLOOKUP(D275,[1]국문!$1:$1048576,20,0)</f>
        <v>#N/A</v>
      </c>
      <c r="C1802" s="15"/>
      <c r="D1802" s="15"/>
      <c r="E1802" s="15"/>
      <c r="F1802" s="15"/>
    </row>
    <row r="1803" spans="1:6" ht="24" customHeight="1">
      <c r="A1803" s="12" t="e">
        <f t="shared" si="22"/>
        <v>#N/A</v>
      </c>
      <c r="B1803" s="15" t="e">
        <f>VLOOKUP(D276,[1]국문!$1:$1048576,20,0)</f>
        <v>#N/A</v>
      </c>
      <c r="C1803" s="15"/>
      <c r="D1803" s="15"/>
      <c r="E1803" s="15"/>
      <c r="F1803" s="15"/>
    </row>
    <row r="1804" spans="1:6" ht="24" customHeight="1">
      <c r="A1804" s="12" t="e">
        <f t="shared" si="22"/>
        <v>#N/A</v>
      </c>
      <c r="B1804" s="15" t="e">
        <f>VLOOKUP(D305,[1]국문!$1:$1048576,20,0)</f>
        <v>#N/A</v>
      </c>
      <c r="C1804" s="15"/>
      <c r="D1804" s="15"/>
      <c r="E1804" s="15"/>
      <c r="F1804" s="15"/>
    </row>
    <row r="1805" spans="1:6" ht="24" customHeight="1">
      <c r="A1805" s="12" t="e">
        <f t="shared" si="22"/>
        <v>#N/A</v>
      </c>
      <c r="B1805" s="15" t="e">
        <f>VLOOKUP(D306,[1]국문!$1:$1048576,20,0)</f>
        <v>#N/A</v>
      </c>
      <c r="C1805" s="15"/>
      <c r="D1805" s="15"/>
      <c r="E1805" s="15"/>
      <c r="F1805" s="15"/>
    </row>
    <row r="1806" spans="1:6" ht="24" customHeight="1">
      <c r="A1806" s="12" t="e">
        <f t="shared" si="22"/>
        <v>#N/A</v>
      </c>
      <c r="B1806" s="15" t="e">
        <f>VLOOKUP(D307,[1]국문!$1:$1048576,20,0)</f>
        <v>#N/A</v>
      </c>
      <c r="C1806" s="15"/>
      <c r="D1806" s="15"/>
      <c r="E1806" s="15"/>
      <c r="F1806" s="15"/>
    </row>
    <row r="1807" spans="1:6" ht="18" customHeight="1">
      <c r="A1807" s="12" t="e">
        <f t="shared" si="22"/>
        <v>#N/A</v>
      </c>
      <c r="B1807" s="15" t="e">
        <f>VLOOKUP(D308,[1]국문!$1:$1048576,20,0)</f>
        <v>#N/A</v>
      </c>
      <c r="C1807" s="15"/>
      <c r="D1807" s="15"/>
      <c r="E1807" s="15"/>
      <c r="F1807" s="15"/>
    </row>
    <row r="1808" spans="1:6" ht="18" customHeight="1">
      <c r="A1808" s="12" t="e">
        <f t="shared" si="22"/>
        <v>#N/A</v>
      </c>
      <c r="B1808" s="15" t="e">
        <f>VLOOKUP(D309,[1]국문!$1:$1048576,20,0)</f>
        <v>#N/A</v>
      </c>
      <c r="C1808" s="15"/>
      <c r="D1808" s="15"/>
      <c r="E1808" s="15"/>
      <c r="F1808" s="15"/>
    </row>
    <row r="1809" spans="1:6">
      <c r="A1809" s="12" t="e">
        <f t="shared" si="22"/>
        <v>#N/A</v>
      </c>
      <c r="B1809" s="15" t="e">
        <f>VLOOKUP(D310,[1]국문!$1:$1048576,20,0)</f>
        <v>#N/A</v>
      </c>
      <c r="C1809" s="15"/>
      <c r="D1809" s="15"/>
      <c r="E1809" s="15"/>
      <c r="F1809" s="15"/>
    </row>
    <row r="1810" spans="1:6" ht="18" customHeight="1">
      <c r="A1810" s="12" t="e">
        <f t="shared" si="22"/>
        <v>#N/A</v>
      </c>
      <c r="B1810" s="15" t="e">
        <f>VLOOKUP(D311,[1]국문!$1:$1048576,20,0)</f>
        <v>#N/A</v>
      </c>
      <c r="C1810" s="15"/>
      <c r="D1810" s="15"/>
      <c r="E1810" s="15"/>
      <c r="F1810" s="15"/>
    </row>
    <row r="1811" spans="1:6" ht="18" customHeight="1">
      <c r="A1811" s="12" t="e">
        <f t="shared" si="22"/>
        <v>#N/A</v>
      </c>
      <c r="B1811" s="15" t="e">
        <f>VLOOKUP(D312,[1]국문!$1:$1048576,20,0)</f>
        <v>#N/A</v>
      </c>
      <c r="C1811" s="15"/>
      <c r="D1811" s="15"/>
      <c r="E1811" s="15"/>
      <c r="F1811" s="15"/>
    </row>
    <row r="1812" spans="1:6" ht="18" customHeight="1">
      <c r="A1812" s="12" t="e">
        <f t="shared" si="22"/>
        <v>#N/A</v>
      </c>
      <c r="B1812" s="15" t="e">
        <f>VLOOKUP(D313,[1]국문!$1:$1048576,20,0)</f>
        <v>#N/A</v>
      </c>
      <c r="C1812" s="15"/>
      <c r="D1812" s="15"/>
      <c r="E1812" s="15"/>
      <c r="F1812" s="15"/>
    </row>
    <row r="1813" spans="1:6" ht="18" customHeight="1">
      <c r="A1813" s="12" t="e">
        <f t="shared" si="22"/>
        <v>#N/A</v>
      </c>
      <c r="B1813" s="15" t="e">
        <f>VLOOKUP(D314,[1]국문!$1:$1048576,20,0)</f>
        <v>#N/A</v>
      </c>
      <c r="C1813" s="15"/>
      <c r="D1813" s="15"/>
      <c r="E1813" s="15"/>
      <c r="F1813" s="15"/>
    </row>
    <row r="1814" spans="1:6">
      <c r="A1814" s="12" t="e">
        <f t="shared" si="22"/>
        <v>#N/A</v>
      </c>
      <c r="B1814" s="15" t="e">
        <f>VLOOKUP(D315,[1]국문!$1:$1048576,20,0)</f>
        <v>#N/A</v>
      </c>
      <c r="C1814" s="15"/>
      <c r="D1814" s="15"/>
      <c r="E1814" s="15"/>
      <c r="F1814" s="15"/>
    </row>
    <row r="1815" spans="1:6">
      <c r="A1815" s="12" t="e">
        <f t="shared" si="22"/>
        <v>#N/A</v>
      </c>
      <c r="B1815" s="15" t="e">
        <f>VLOOKUP(D316,[1]국문!$1:$1048576,20,0)</f>
        <v>#N/A</v>
      </c>
      <c r="C1815" s="15"/>
      <c r="D1815" s="15"/>
      <c r="E1815" s="15"/>
      <c r="F1815" s="15"/>
    </row>
    <row r="1816" spans="1:6">
      <c r="A1816" s="12" t="e">
        <f t="shared" si="22"/>
        <v>#N/A</v>
      </c>
      <c r="B1816" s="15" t="e">
        <f>VLOOKUP(D317,[1]국문!$1:$1048576,20,0)</f>
        <v>#N/A</v>
      </c>
      <c r="C1816" s="15"/>
      <c r="D1816" s="15"/>
      <c r="E1816" s="15"/>
      <c r="F1816" s="15"/>
    </row>
    <row r="1817" spans="1:6" ht="18" customHeight="1">
      <c r="A1817" s="12" t="e">
        <f t="shared" ref="A1817:A1823" si="23">A326</f>
        <v>#N/A</v>
      </c>
      <c r="B1817" s="15" t="e">
        <f>VLOOKUP(D318,[1]국문!$1:$1048576,20,0)</f>
        <v>#N/A</v>
      </c>
      <c r="C1817" s="15"/>
      <c r="D1817" s="15"/>
      <c r="E1817" s="15"/>
      <c r="F1817" s="15"/>
    </row>
    <row r="1818" spans="1:6" ht="18" customHeight="1">
      <c r="A1818" s="12" t="e">
        <f t="shared" si="23"/>
        <v>#N/A</v>
      </c>
      <c r="B1818" s="15" t="e">
        <f>VLOOKUP(D319,[1]국문!$1:$1048576,20,0)</f>
        <v>#N/A</v>
      </c>
      <c r="C1818" s="15"/>
      <c r="D1818" s="15"/>
      <c r="E1818" s="15"/>
      <c r="F1818" s="15"/>
    </row>
    <row r="1819" spans="1:6" ht="18" customHeight="1">
      <c r="A1819" s="12" t="e">
        <f t="shared" si="23"/>
        <v>#N/A</v>
      </c>
      <c r="B1819" s="15" t="e">
        <f>VLOOKUP(D320,[1]국문!$1:$1048576,20,0)</f>
        <v>#N/A</v>
      </c>
      <c r="C1819" s="15"/>
      <c r="D1819" s="15"/>
      <c r="E1819" s="15"/>
      <c r="F1819" s="15"/>
    </row>
    <row r="1820" spans="1:6" ht="18" customHeight="1">
      <c r="A1820" s="12" t="e">
        <f t="shared" si="23"/>
        <v>#N/A</v>
      </c>
      <c r="B1820" s="15" t="e">
        <f>VLOOKUP(D321,[1]국문!$1:$1048576,20,0)</f>
        <v>#N/A</v>
      </c>
      <c r="C1820" s="15"/>
      <c r="D1820" s="15"/>
      <c r="E1820" s="15"/>
      <c r="F1820" s="15"/>
    </row>
    <row r="1821" spans="1:6" ht="18" customHeight="1">
      <c r="A1821" s="12" t="e">
        <f t="shared" si="23"/>
        <v>#N/A</v>
      </c>
      <c r="B1821" s="15" t="e">
        <f>VLOOKUP(D322,[1]국문!$1:$1048576,20,0)</f>
        <v>#N/A</v>
      </c>
      <c r="C1821" s="15"/>
      <c r="D1821" s="15"/>
      <c r="E1821" s="15"/>
      <c r="F1821" s="15"/>
    </row>
    <row r="1822" spans="1:6" ht="18" customHeight="1">
      <c r="A1822" s="12" t="e">
        <f t="shared" si="23"/>
        <v>#N/A</v>
      </c>
      <c r="B1822" s="15" t="e">
        <f>VLOOKUP(D323,[1]국문!$1:$1048576,20,0)</f>
        <v>#N/A</v>
      </c>
      <c r="C1822" s="15"/>
      <c r="D1822" s="15"/>
      <c r="E1822" s="15"/>
      <c r="F1822" s="15"/>
    </row>
    <row r="1823" spans="1:6" ht="18" customHeight="1">
      <c r="A1823" s="12" t="e">
        <f t="shared" si="23"/>
        <v>#N/A</v>
      </c>
      <c r="B1823" s="15" t="e">
        <f>VLOOKUP(D324,[1]국문!$1:$1048576,20,0)</f>
        <v>#N/A</v>
      </c>
      <c r="C1823" s="15"/>
      <c r="D1823" s="15"/>
      <c r="E1823" s="15"/>
      <c r="F1823" s="15"/>
    </row>
    <row r="1824" spans="1:6" ht="18" customHeight="1">
      <c r="A1824" s="12" t="s">
        <v>53</v>
      </c>
      <c r="B1824" s="15"/>
      <c r="C1824" s="15"/>
      <c r="D1824" s="15"/>
      <c r="E1824" s="15"/>
      <c r="F1824" s="15"/>
    </row>
    <row r="1825" spans="1:6" ht="24" customHeight="1">
      <c r="A1825" s="12" t="e">
        <f>A133</f>
        <v>#N/A</v>
      </c>
      <c r="B1825" s="15" t="e">
        <f>VLOOKUP(D98,[1]국문!$1:$1048576,21,0)</f>
        <v>#N/A</v>
      </c>
      <c r="C1825" s="15"/>
      <c r="D1825" s="15"/>
      <c r="E1825" s="15"/>
      <c r="F1825" s="15"/>
    </row>
    <row r="1826" spans="1:6" ht="24" customHeight="1">
      <c r="A1826" s="12" t="e">
        <f t="shared" ref="A1826:A1889" si="24">A134</f>
        <v>#N/A</v>
      </c>
      <c r="B1826" s="15" t="e">
        <f>VLOOKUP(D99,[1]국문!$1:$1048576,21,0)</f>
        <v>#N/A</v>
      </c>
      <c r="C1826" s="15"/>
      <c r="D1826" s="15"/>
      <c r="E1826" s="15"/>
      <c r="F1826" s="15"/>
    </row>
    <row r="1827" spans="1:6" ht="24" customHeight="1">
      <c r="A1827" s="12" t="e">
        <f t="shared" si="24"/>
        <v>#N/A</v>
      </c>
      <c r="B1827" s="15" t="e">
        <f>VLOOKUP(D100,[1]국문!$1:$1048576,21,0)</f>
        <v>#N/A</v>
      </c>
      <c r="C1827" s="15"/>
      <c r="D1827" s="15"/>
      <c r="E1827" s="15"/>
      <c r="F1827" s="15"/>
    </row>
    <row r="1828" spans="1:6" ht="24" customHeight="1">
      <c r="A1828" s="12" t="e">
        <f t="shared" si="24"/>
        <v>#N/A</v>
      </c>
      <c r="B1828" s="15" t="e">
        <f>VLOOKUP(D101,[1]국문!$1:$1048576,21,0)</f>
        <v>#N/A</v>
      </c>
      <c r="C1828" s="15"/>
      <c r="D1828" s="15"/>
      <c r="E1828" s="15"/>
      <c r="F1828" s="15"/>
    </row>
    <row r="1829" spans="1:6" ht="28.5" customHeight="1">
      <c r="A1829" s="12" t="e">
        <f t="shared" si="24"/>
        <v>#N/A</v>
      </c>
      <c r="B1829" s="15" t="e">
        <f>VLOOKUP(D102,[1]국문!$1:$1048576,21,0)</f>
        <v>#N/A</v>
      </c>
      <c r="C1829" s="15"/>
      <c r="D1829" s="15"/>
      <c r="E1829" s="15"/>
      <c r="F1829" s="15"/>
    </row>
    <row r="1830" spans="1:6" ht="24" customHeight="1">
      <c r="A1830" s="12" t="e">
        <f t="shared" si="24"/>
        <v>#N/A</v>
      </c>
      <c r="B1830" s="15" t="e">
        <f>VLOOKUP(D103,[1]국문!$1:$1048576,21,0)</f>
        <v>#N/A</v>
      </c>
      <c r="C1830" s="15"/>
      <c r="D1830" s="15"/>
      <c r="E1830" s="15"/>
      <c r="F1830" s="15"/>
    </row>
    <row r="1831" spans="1:6" ht="24" customHeight="1">
      <c r="A1831" s="12" t="e">
        <f t="shared" si="24"/>
        <v>#N/A</v>
      </c>
      <c r="B1831" s="15" t="e">
        <f>VLOOKUP(D104,[1]국문!$1:$1048576,21,0)</f>
        <v>#N/A</v>
      </c>
      <c r="C1831" s="15"/>
      <c r="D1831" s="15"/>
      <c r="E1831" s="15"/>
      <c r="F1831" s="15"/>
    </row>
    <row r="1832" spans="1:6" ht="24" customHeight="1">
      <c r="A1832" s="12" t="e">
        <f t="shared" si="24"/>
        <v>#N/A</v>
      </c>
      <c r="B1832" s="15" t="e">
        <f>VLOOKUP(D105,[1]국문!$1:$1048576,21,0)</f>
        <v>#N/A</v>
      </c>
      <c r="C1832" s="15"/>
      <c r="D1832" s="15"/>
      <c r="E1832" s="15"/>
      <c r="F1832" s="15"/>
    </row>
    <row r="1833" spans="1:6" ht="24" customHeight="1">
      <c r="A1833" s="12" t="e">
        <f t="shared" si="24"/>
        <v>#N/A</v>
      </c>
      <c r="B1833" s="15" t="e">
        <f>VLOOKUP(D106,[1]국문!$1:$1048576,21,0)</f>
        <v>#N/A</v>
      </c>
      <c r="C1833" s="15"/>
      <c r="D1833" s="15"/>
      <c r="E1833" s="15"/>
      <c r="F1833" s="15"/>
    </row>
    <row r="1834" spans="1:6" ht="24" customHeight="1">
      <c r="A1834" s="12" t="e">
        <f t="shared" si="24"/>
        <v>#N/A</v>
      </c>
      <c r="B1834" s="15" t="e">
        <f>VLOOKUP(D107,[1]국문!$1:$1048576,21,0)</f>
        <v>#N/A</v>
      </c>
      <c r="C1834" s="15"/>
      <c r="D1834" s="15"/>
      <c r="E1834" s="15"/>
      <c r="F1834" s="15"/>
    </row>
    <row r="1835" spans="1:6" ht="24" customHeight="1">
      <c r="A1835" s="12" t="e">
        <f t="shared" si="24"/>
        <v>#N/A</v>
      </c>
      <c r="B1835" s="15" t="e">
        <f>VLOOKUP(D108,[1]국문!$1:$1048576,21,0)</f>
        <v>#N/A</v>
      </c>
      <c r="C1835" s="15"/>
      <c r="D1835" s="15"/>
      <c r="E1835" s="15"/>
      <c r="F1835" s="15"/>
    </row>
    <row r="1836" spans="1:6" ht="24" customHeight="1">
      <c r="A1836" s="12" t="e">
        <f t="shared" si="24"/>
        <v>#N/A</v>
      </c>
      <c r="B1836" s="15" t="e">
        <f>VLOOKUP(D109,[1]국문!$1:$1048576,21,0)</f>
        <v>#N/A</v>
      </c>
      <c r="C1836" s="15"/>
      <c r="D1836" s="15"/>
      <c r="E1836" s="15"/>
      <c r="F1836" s="15"/>
    </row>
    <row r="1837" spans="1:6" ht="24" customHeight="1">
      <c r="A1837" s="12" t="e">
        <f t="shared" si="24"/>
        <v>#N/A</v>
      </c>
      <c r="B1837" s="15" t="e">
        <f>VLOOKUP(D110,[1]국문!$1:$1048576,21,0)</f>
        <v>#N/A</v>
      </c>
      <c r="C1837" s="15"/>
      <c r="D1837" s="15"/>
      <c r="E1837" s="15"/>
      <c r="F1837" s="15"/>
    </row>
    <row r="1838" spans="1:6" ht="24" customHeight="1">
      <c r="A1838" s="12" t="e">
        <f t="shared" si="24"/>
        <v>#N/A</v>
      </c>
      <c r="B1838" s="15" t="e">
        <f>VLOOKUP(D111,[1]국문!$1:$1048576,21,0)</f>
        <v>#N/A</v>
      </c>
      <c r="C1838" s="15"/>
      <c r="D1838" s="15"/>
      <c r="E1838" s="15"/>
      <c r="F1838" s="15"/>
    </row>
    <row r="1839" spans="1:6" ht="24" customHeight="1">
      <c r="A1839" s="12" t="e">
        <f t="shared" si="24"/>
        <v>#N/A</v>
      </c>
      <c r="B1839" s="15" t="e">
        <f>VLOOKUP(D112,[1]국문!$1:$1048576,21,0)</f>
        <v>#N/A</v>
      </c>
      <c r="C1839" s="15"/>
      <c r="D1839" s="15"/>
      <c r="E1839" s="15"/>
      <c r="F1839" s="15"/>
    </row>
    <row r="1840" spans="1:6" ht="24" customHeight="1">
      <c r="A1840" s="12" t="e">
        <f t="shared" si="24"/>
        <v>#N/A</v>
      </c>
      <c r="B1840" s="15" t="e">
        <f>VLOOKUP(D141,[1]국문!$1:$1048576,21,0)</f>
        <v>#N/A</v>
      </c>
      <c r="C1840" s="15"/>
      <c r="D1840" s="15"/>
      <c r="E1840" s="15"/>
      <c r="F1840" s="15"/>
    </row>
    <row r="1841" spans="1:6" ht="24" customHeight="1">
      <c r="A1841" s="12" t="e">
        <f t="shared" si="24"/>
        <v>#N/A</v>
      </c>
      <c r="B1841" s="15" t="e">
        <f>VLOOKUP(D142,[1]국문!$1:$1048576,21,0)</f>
        <v>#N/A</v>
      </c>
      <c r="C1841" s="15"/>
      <c r="D1841" s="15"/>
      <c r="E1841" s="15"/>
      <c r="F1841" s="15"/>
    </row>
    <row r="1842" spans="1:6" ht="24" customHeight="1">
      <c r="A1842" s="12" t="e">
        <f t="shared" si="24"/>
        <v>#N/A</v>
      </c>
      <c r="B1842" s="15" t="e">
        <f>VLOOKUP(D143,[1]국문!$1:$1048576,21,0)</f>
        <v>#N/A</v>
      </c>
      <c r="C1842" s="15"/>
      <c r="D1842" s="15"/>
      <c r="E1842" s="15"/>
      <c r="F1842" s="15"/>
    </row>
    <row r="1843" spans="1:6" ht="24" customHeight="1">
      <c r="A1843" s="12" t="e">
        <f t="shared" si="24"/>
        <v>#N/A</v>
      </c>
      <c r="B1843" s="15" t="e">
        <f>VLOOKUP(D144,[1]국문!$1:$1048576,21,0)</f>
        <v>#N/A</v>
      </c>
      <c r="C1843" s="15"/>
      <c r="D1843" s="15"/>
      <c r="E1843" s="15"/>
      <c r="F1843" s="15"/>
    </row>
    <row r="1844" spans="1:6" ht="24" customHeight="1">
      <c r="A1844" s="12" t="e">
        <f t="shared" si="24"/>
        <v>#N/A</v>
      </c>
      <c r="B1844" s="15" t="e">
        <f>VLOOKUP(D145,[1]국문!$1:$1048576,21,0)</f>
        <v>#N/A</v>
      </c>
      <c r="C1844" s="15"/>
      <c r="D1844" s="15"/>
      <c r="E1844" s="15"/>
      <c r="F1844" s="15"/>
    </row>
    <row r="1845" spans="1:6">
      <c r="A1845" s="12" t="e">
        <f t="shared" si="24"/>
        <v>#N/A</v>
      </c>
      <c r="B1845" s="15" t="e">
        <f>VLOOKUP(D146,[1]국문!$1:$1048576,21,0)</f>
        <v>#N/A</v>
      </c>
      <c r="C1845" s="15"/>
      <c r="D1845" s="15"/>
      <c r="E1845" s="15"/>
      <c r="F1845" s="15"/>
    </row>
    <row r="1846" spans="1:6" ht="18" customHeight="1">
      <c r="A1846" s="12" t="e">
        <f t="shared" si="24"/>
        <v>#N/A</v>
      </c>
      <c r="B1846" s="15" t="e">
        <f>VLOOKUP(D147,[1]국문!$1:$1048576,21,0)</f>
        <v>#N/A</v>
      </c>
      <c r="C1846" s="15"/>
      <c r="D1846" s="15"/>
      <c r="E1846" s="15"/>
      <c r="F1846" s="15"/>
    </row>
    <row r="1847" spans="1:6" ht="18" customHeight="1">
      <c r="A1847" s="12" t="e">
        <f t="shared" si="24"/>
        <v>#N/A</v>
      </c>
      <c r="B1847" s="15" t="e">
        <f>VLOOKUP(D148,[1]국문!$1:$1048576,21,0)</f>
        <v>#N/A</v>
      </c>
      <c r="C1847" s="15"/>
      <c r="D1847" s="15"/>
      <c r="E1847" s="15"/>
      <c r="F1847" s="15"/>
    </row>
    <row r="1848" spans="1:6" ht="18" customHeight="1">
      <c r="A1848" s="12" t="e">
        <f t="shared" si="24"/>
        <v>#N/A</v>
      </c>
      <c r="B1848" s="15" t="e">
        <f>VLOOKUP(D149,[1]국문!$1:$1048576,21,0)</f>
        <v>#N/A</v>
      </c>
      <c r="C1848" s="15"/>
      <c r="D1848" s="15"/>
      <c r="E1848" s="15"/>
      <c r="F1848" s="15"/>
    </row>
    <row r="1849" spans="1:6" ht="18" customHeight="1">
      <c r="A1849" s="12" t="e">
        <f t="shared" si="24"/>
        <v>#N/A</v>
      </c>
      <c r="B1849" s="15" t="e">
        <f>VLOOKUP(D150,[1]국문!$1:$1048576,21,0)</f>
        <v>#N/A</v>
      </c>
      <c r="C1849" s="15"/>
      <c r="D1849" s="15"/>
      <c r="E1849" s="15"/>
      <c r="F1849" s="15"/>
    </row>
    <row r="1850" spans="1:6">
      <c r="A1850" s="12" t="e">
        <f t="shared" si="24"/>
        <v>#N/A</v>
      </c>
      <c r="B1850" s="15" t="e">
        <f>VLOOKUP(D151,[1]국문!$1:$1048576,21,0)</f>
        <v>#N/A</v>
      </c>
      <c r="C1850" s="15"/>
      <c r="D1850" s="15"/>
      <c r="E1850" s="15"/>
      <c r="F1850" s="15"/>
    </row>
    <row r="1851" spans="1:6">
      <c r="A1851" s="12" t="e">
        <f t="shared" si="24"/>
        <v>#N/A</v>
      </c>
      <c r="B1851" s="15" t="e">
        <f>VLOOKUP(D152,[1]국문!$1:$1048576,21,0)</f>
        <v>#N/A</v>
      </c>
      <c r="C1851" s="15"/>
      <c r="D1851" s="15"/>
      <c r="E1851" s="15"/>
      <c r="F1851" s="15"/>
    </row>
    <row r="1852" spans="1:6">
      <c r="A1852" s="12" t="e">
        <f t="shared" si="24"/>
        <v>#N/A</v>
      </c>
      <c r="B1852" s="15" t="e">
        <f>VLOOKUP(D153,[1]국문!$1:$1048576,21,0)</f>
        <v>#N/A</v>
      </c>
      <c r="C1852" s="15"/>
      <c r="D1852" s="15"/>
      <c r="E1852" s="15"/>
      <c r="F1852" s="15"/>
    </row>
    <row r="1853" spans="1:6" ht="18" customHeight="1">
      <c r="A1853" s="12" t="e">
        <f t="shared" si="24"/>
        <v>#N/A</v>
      </c>
      <c r="B1853" s="15" t="e">
        <f>VLOOKUP(D154,[1]국문!$1:$1048576,21,0)</f>
        <v>#N/A</v>
      </c>
      <c r="C1853" s="15"/>
      <c r="D1853" s="15"/>
      <c r="E1853" s="15"/>
      <c r="F1853" s="15"/>
    </row>
    <row r="1854" spans="1:6" ht="18" customHeight="1">
      <c r="A1854" s="12" t="e">
        <f t="shared" si="24"/>
        <v>#N/A</v>
      </c>
      <c r="B1854" s="15" t="e">
        <f>VLOOKUP(D155,[1]국문!$1:$1048576,21,0)</f>
        <v>#N/A</v>
      </c>
      <c r="C1854" s="15"/>
      <c r="D1854" s="15"/>
      <c r="E1854" s="15"/>
      <c r="F1854" s="15"/>
    </row>
    <row r="1855" spans="1:6" ht="18" customHeight="1">
      <c r="A1855" s="12" t="e">
        <f t="shared" si="24"/>
        <v>#N/A</v>
      </c>
      <c r="B1855" s="15" t="e">
        <f>VLOOKUP(D156,[1]국문!$1:$1048576,21,0)</f>
        <v>#N/A</v>
      </c>
      <c r="C1855" s="15"/>
      <c r="D1855" s="15"/>
      <c r="E1855" s="15"/>
      <c r="F1855" s="15"/>
    </row>
    <row r="1856" spans="1:6" ht="18" customHeight="1">
      <c r="A1856" s="12" t="e">
        <f t="shared" si="24"/>
        <v>#N/A</v>
      </c>
      <c r="B1856" s="15" t="e">
        <f>VLOOKUP(D157,[1]국문!$1:$1048576,21,0)</f>
        <v>#N/A</v>
      </c>
      <c r="C1856" s="15"/>
      <c r="D1856" s="15"/>
      <c r="E1856" s="15"/>
      <c r="F1856" s="15"/>
    </row>
    <row r="1857" spans="1:6" ht="18" customHeight="1">
      <c r="A1857" s="12" t="e">
        <f t="shared" si="24"/>
        <v>#N/A</v>
      </c>
      <c r="B1857" s="15" t="e">
        <f>VLOOKUP(D158,[1]국문!$1:$1048576,21,0)</f>
        <v>#N/A</v>
      </c>
      <c r="C1857" s="15"/>
      <c r="D1857" s="15"/>
      <c r="E1857" s="15"/>
      <c r="F1857" s="15"/>
    </row>
    <row r="1858" spans="1:6" ht="18" customHeight="1">
      <c r="A1858" s="12" t="e">
        <f t="shared" si="24"/>
        <v>#N/A</v>
      </c>
      <c r="B1858" s="15" t="e">
        <f>VLOOKUP(D159,[1]국문!$1:$1048576,21,0)</f>
        <v>#N/A</v>
      </c>
      <c r="C1858" s="15"/>
      <c r="D1858" s="15"/>
      <c r="E1858" s="15"/>
      <c r="F1858" s="15"/>
    </row>
    <row r="1859" spans="1:6" ht="18" customHeight="1">
      <c r="A1859" s="12" t="e">
        <f t="shared" si="24"/>
        <v>#N/A</v>
      </c>
      <c r="B1859" s="15" t="e">
        <f>VLOOKUP(D160,[1]국문!$1:$1048576,21,0)</f>
        <v>#N/A</v>
      </c>
      <c r="C1859" s="15"/>
      <c r="D1859" s="15"/>
      <c r="E1859" s="15"/>
      <c r="F1859" s="15"/>
    </row>
    <row r="1860" spans="1:6" ht="18" customHeight="1">
      <c r="A1860" s="12" t="e">
        <f t="shared" si="24"/>
        <v>#N/A</v>
      </c>
      <c r="B1860" s="15" t="e">
        <f>VLOOKUP(D161,[1]국문!$1:$1048576,21,0)</f>
        <v>#N/A</v>
      </c>
      <c r="C1860" s="15"/>
      <c r="D1860" s="15"/>
      <c r="E1860" s="15"/>
      <c r="F1860" s="15"/>
    </row>
    <row r="1861" spans="1:6" ht="24" customHeight="1">
      <c r="A1861" s="12" t="e">
        <f t="shared" si="24"/>
        <v>#N/A</v>
      </c>
      <c r="B1861" s="15" t="e">
        <f>VLOOKUP(D134,[1]국문!$1:$1048576,21,0)</f>
        <v>#N/A</v>
      </c>
      <c r="C1861" s="15"/>
      <c r="D1861" s="15"/>
      <c r="E1861" s="15"/>
      <c r="F1861" s="15"/>
    </row>
    <row r="1862" spans="1:6" ht="24" customHeight="1">
      <c r="A1862" s="12" t="e">
        <f t="shared" si="24"/>
        <v>#N/A</v>
      </c>
      <c r="B1862" s="15" t="e">
        <f>VLOOKUP(D135,[1]국문!$1:$1048576,21,0)</f>
        <v>#N/A</v>
      </c>
      <c r="C1862" s="15"/>
      <c r="D1862" s="15"/>
      <c r="E1862" s="15"/>
      <c r="F1862" s="15"/>
    </row>
    <row r="1863" spans="1:6" ht="24" customHeight="1">
      <c r="A1863" s="12" t="e">
        <f t="shared" si="24"/>
        <v>#N/A</v>
      </c>
      <c r="B1863" s="15" t="e">
        <f>VLOOKUP(D136,[1]국문!$1:$1048576,21,0)</f>
        <v>#N/A</v>
      </c>
      <c r="C1863" s="15"/>
      <c r="D1863" s="15"/>
      <c r="E1863" s="15"/>
      <c r="F1863" s="15"/>
    </row>
    <row r="1864" spans="1:6" ht="24" customHeight="1">
      <c r="A1864" s="12" t="e">
        <f t="shared" si="24"/>
        <v>#N/A</v>
      </c>
      <c r="B1864" s="15" t="e">
        <f>VLOOKUP(D137,[1]국문!$1:$1048576,21,0)</f>
        <v>#N/A</v>
      </c>
      <c r="C1864" s="15"/>
      <c r="D1864" s="15"/>
      <c r="E1864" s="15"/>
      <c r="F1864" s="15"/>
    </row>
    <row r="1865" spans="1:6" ht="28.5" customHeight="1">
      <c r="A1865" s="12" t="e">
        <f t="shared" si="24"/>
        <v>#N/A</v>
      </c>
      <c r="B1865" s="15" t="e">
        <f>VLOOKUP(D138,[1]국문!$1:$1048576,21,0)</f>
        <v>#N/A</v>
      </c>
      <c r="C1865" s="15"/>
      <c r="D1865" s="15"/>
      <c r="E1865" s="15"/>
      <c r="F1865" s="15"/>
    </row>
    <row r="1866" spans="1:6" ht="24" customHeight="1">
      <c r="A1866" s="12" t="e">
        <f t="shared" si="24"/>
        <v>#N/A</v>
      </c>
      <c r="B1866" s="15" t="e">
        <f>VLOOKUP(D139,[1]국문!$1:$1048576,21,0)</f>
        <v>#N/A</v>
      </c>
      <c r="C1866" s="15"/>
      <c r="D1866" s="15"/>
      <c r="E1866" s="15"/>
      <c r="F1866" s="15"/>
    </row>
    <row r="1867" spans="1:6" ht="24" customHeight="1">
      <c r="A1867" s="12" t="e">
        <f t="shared" si="24"/>
        <v>#N/A</v>
      </c>
      <c r="B1867" s="15" t="e">
        <f>VLOOKUP(D140,[1]국문!$1:$1048576,21,0)</f>
        <v>#N/A</v>
      </c>
      <c r="C1867" s="15"/>
      <c r="D1867" s="15"/>
      <c r="E1867" s="15"/>
      <c r="F1867" s="15"/>
    </row>
    <row r="1868" spans="1:6" ht="24" customHeight="1">
      <c r="A1868" s="12" t="e">
        <f t="shared" si="24"/>
        <v>#N/A</v>
      </c>
      <c r="B1868" s="15" t="e">
        <f>VLOOKUP(D141,[1]국문!$1:$1048576,21,0)</f>
        <v>#N/A</v>
      </c>
      <c r="C1868" s="15"/>
      <c r="D1868" s="15"/>
      <c r="E1868" s="15"/>
      <c r="F1868" s="15"/>
    </row>
    <row r="1869" spans="1:6" ht="24" customHeight="1">
      <c r="A1869" s="12" t="e">
        <f t="shared" si="24"/>
        <v>#N/A</v>
      </c>
      <c r="B1869" s="15" t="e">
        <f>VLOOKUP(D142,[1]국문!$1:$1048576,21,0)</f>
        <v>#N/A</v>
      </c>
      <c r="C1869" s="15"/>
      <c r="D1869" s="15"/>
      <c r="E1869" s="15"/>
      <c r="F1869" s="15"/>
    </row>
    <row r="1870" spans="1:6" ht="24" customHeight="1">
      <c r="A1870" s="12" t="e">
        <f t="shared" si="24"/>
        <v>#N/A</v>
      </c>
      <c r="B1870" s="15" t="e">
        <f>VLOOKUP(D143,[1]국문!$1:$1048576,21,0)</f>
        <v>#N/A</v>
      </c>
      <c r="C1870" s="15"/>
      <c r="D1870" s="15"/>
      <c r="E1870" s="15"/>
      <c r="F1870" s="15"/>
    </row>
    <row r="1871" spans="1:6" ht="24" customHeight="1">
      <c r="A1871" s="12" t="e">
        <f t="shared" si="24"/>
        <v>#N/A</v>
      </c>
      <c r="B1871" s="15" t="e">
        <f>VLOOKUP(D144,[1]국문!$1:$1048576,21,0)</f>
        <v>#N/A</v>
      </c>
      <c r="C1871" s="15"/>
      <c r="D1871" s="15"/>
      <c r="E1871" s="15"/>
      <c r="F1871" s="15"/>
    </row>
    <row r="1872" spans="1:6" ht="24" customHeight="1">
      <c r="A1872" s="12" t="e">
        <f t="shared" si="24"/>
        <v>#N/A</v>
      </c>
      <c r="B1872" s="15" t="e">
        <f>VLOOKUP(D145,[1]국문!$1:$1048576,21,0)</f>
        <v>#N/A</v>
      </c>
      <c r="C1872" s="15"/>
      <c r="D1872" s="15"/>
      <c r="E1872" s="15"/>
      <c r="F1872" s="15"/>
    </row>
    <row r="1873" spans="1:6" ht="24" customHeight="1">
      <c r="A1873" s="12" t="e">
        <f t="shared" si="24"/>
        <v>#N/A</v>
      </c>
      <c r="B1873" s="15" t="e">
        <f>VLOOKUP(D146,[1]국문!$1:$1048576,21,0)</f>
        <v>#N/A</v>
      </c>
      <c r="C1873" s="15"/>
      <c r="D1873" s="15"/>
      <c r="E1873" s="15"/>
      <c r="F1873" s="15"/>
    </row>
    <row r="1874" spans="1:6" ht="24" customHeight="1">
      <c r="A1874" s="12" t="e">
        <f t="shared" si="24"/>
        <v>#N/A</v>
      </c>
      <c r="B1874" s="15" t="e">
        <f>VLOOKUP(D147,[1]국문!$1:$1048576,21,0)</f>
        <v>#N/A</v>
      </c>
      <c r="C1874" s="15"/>
      <c r="D1874" s="15"/>
      <c r="E1874" s="15"/>
      <c r="F1874" s="15"/>
    </row>
    <row r="1875" spans="1:6" ht="24" customHeight="1">
      <c r="A1875" s="12" t="e">
        <f t="shared" si="24"/>
        <v>#N/A</v>
      </c>
      <c r="B1875" s="15" t="e">
        <f>VLOOKUP(D148,[1]국문!$1:$1048576,21,0)</f>
        <v>#N/A</v>
      </c>
      <c r="C1875" s="15"/>
      <c r="D1875" s="15"/>
      <c r="E1875" s="15"/>
      <c r="F1875" s="15"/>
    </row>
    <row r="1876" spans="1:6" ht="24" customHeight="1">
      <c r="A1876" s="12" t="e">
        <f t="shared" si="24"/>
        <v>#N/A</v>
      </c>
      <c r="B1876" s="15" t="e">
        <f>VLOOKUP(D177,[1]국문!$1:$1048576,21,0)</f>
        <v>#N/A</v>
      </c>
      <c r="C1876" s="15"/>
      <c r="D1876" s="15"/>
      <c r="E1876" s="15"/>
      <c r="F1876" s="15"/>
    </row>
    <row r="1877" spans="1:6" ht="24" customHeight="1">
      <c r="A1877" s="12" t="e">
        <f t="shared" si="24"/>
        <v>#N/A</v>
      </c>
      <c r="B1877" s="15" t="e">
        <f>VLOOKUP(D178,[1]국문!$1:$1048576,21,0)</f>
        <v>#N/A</v>
      </c>
      <c r="C1877" s="15"/>
      <c r="D1877" s="15"/>
      <c r="E1877" s="15"/>
      <c r="F1877" s="15"/>
    </row>
    <row r="1878" spans="1:6" ht="24" customHeight="1">
      <c r="A1878" s="12" t="e">
        <f t="shared" si="24"/>
        <v>#N/A</v>
      </c>
      <c r="B1878" s="15" t="e">
        <f>VLOOKUP(D179,[1]국문!$1:$1048576,21,0)</f>
        <v>#N/A</v>
      </c>
      <c r="C1878" s="15"/>
      <c r="D1878" s="15"/>
      <c r="E1878" s="15"/>
      <c r="F1878" s="15"/>
    </row>
    <row r="1879" spans="1:6" ht="24" customHeight="1">
      <c r="A1879" s="12" t="e">
        <f t="shared" si="24"/>
        <v>#N/A</v>
      </c>
      <c r="B1879" s="15" t="e">
        <f>VLOOKUP(D180,[1]국문!$1:$1048576,21,0)</f>
        <v>#N/A</v>
      </c>
      <c r="C1879" s="15"/>
      <c r="D1879" s="15"/>
      <c r="E1879" s="15"/>
      <c r="F1879" s="15"/>
    </row>
    <row r="1880" spans="1:6" ht="24" customHeight="1">
      <c r="A1880" s="12" t="e">
        <f t="shared" si="24"/>
        <v>#N/A</v>
      </c>
      <c r="B1880" s="15" t="e">
        <f>VLOOKUP(D181,[1]국문!$1:$1048576,21,0)</f>
        <v>#N/A</v>
      </c>
      <c r="C1880" s="15"/>
      <c r="D1880" s="15"/>
      <c r="E1880" s="15"/>
      <c r="F1880" s="15"/>
    </row>
    <row r="1881" spans="1:6" ht="24" customHeight="1">
      <c r="A1881" s="12" t="e">
        <f t="shared" si="24"/>
        <v>#N/A</v>
      </c>
      <c r="B1881" s="15" t="e">
        <f>VLOOKUP(D154,[1]국문!$1:$1048576,21,0)</f>
        <v>#N/A</v>
      </c>
      <c r="C1881" s="15"/>
      <c r="D1881" s="15"/>
      <c r="E1881" s="15"/>
      <c r="F1881" s="15"/>
    </row>
    <row r="1882" spans="1:6" ht="24" customHeight="1">
      <c r="A1882" s="12" t="e">
        <f t="shared" si="24"/>
        <v>#N/A</v>
      </c>
      <c r="B1882" s="15" t="e">
        <f>VLOOKUP(D155,[1]국문!$1:$1048576,21,0)</f>
        <v>#N/A</v>
      </c>
      <c r="C1882" s="15"/>
      <c r="D1882" s="15"/>
      <c r="E1882" s="15"/>
      <c r="F1882" s="15"/>
    </row>
    <row r="1883" spans="1:6" ht="24" customHeight="1">
      <c r="A1883" s="12" t="e">
        <f t="shared" si="24"/>
        <v>#N/A</v>
      </c>
      <c r="B1883" s="15" t="e">
        <f>VLOOKUP(D156,[1]국문!$1:$1048576,21,0)</f>
        <v>#N/A</v>
      </c>
      <c r="C1883" s="15"/>
      <c r="D1883" s="15"/>
      <c r="E1883" s="15"/>
      <c r="F1883" s="15"/>
    </row>
    <row r="1884" spans="1:6" ht="24" customHeight="1">
      <c r="A1884" s="12" t="e">
        <f t="shared" si="24"/>
        <v>#N/A</v>
      </c>
      <c r="B1884" s="15" t="e">
        <f>VLOOKUP(D157,[1]국문!$1:$1048576,21,0)</f>
        <v>#N/A</v>
      </c>
      <c r="C1884" s="15"/>
      <c r="D1884" s="15"/>
      <c r="E1884" s="15"/>
      <c r="F1884" s="15"/>
    </row>
    <row r="1885" spans="1:6" ht="28.5" customHeight="1">
      <c r="A1885" s="12" t="e">
        <f t="shared" si="24"/>
        <v>#N/A</v>
      </c>
      <c r="B1885" s="15" t="e">
        <f>VLOOKUP(D158,[1]국문!$1:$1048576,21,0)</f>
        <v>#N/A</v>
      </c>
      <c r="C1885" s="15"/>
      <c r="D1885" s="15"/>
      <c r="E1885" s="15"/>
      <c r="F1885" s="15"/>
    </row>
    <row r="1886" spans="1:6" ht="24" customHeight="1">
      <c r="A1886" s="12" t="e">
        <f t="shared" si="24"/>
        <v>#N/A</v>
      </c>
      <c r="B1886" s="15" t="e">
        <f>VLOOKUP(D159,[1]국문!$1:$1048576,21,0)</f>
        <v>#N/A</v>
      </c>
      <c r="C1886" s="15"/>
      <c r="D1886" s="15"/>
      <c r="E1886" s="15"/>
      <c r="F1886" s="15"/>
    </row>
    <row r="1887" spans="1:6" ht="24" customHeight="1">
      <c r="A1887" s="12" t="e">
        <f t="shared" si="24"/>
        <v>#N/A</v>
      </c>
      <c r="B1887" s="15" t="e">
        <f>VLOOKUP(D160,[1]국문!$1:$1048576,21,0)</f>
        <v>#N/A</v>
      </c>
      <c r="C1887" s="15"/>
      <c r="D1887" s="15"/>
      <c r="E1887" s="15"/>
      <c r="F1887" s="15"/>
    </row>
    <row r="1888" spans="1:6" ht="24" customHeight="1">
      <c r="A1888" s="12" t="e">
        <f t="shared" si="24"/>
        <v>#N/A</v>
      </c>
      <c r="B1888" s="15" t="e">
        <f>VLOOKUP(D161,[1]국문!$1:$1048576,21,0)</f>
        <v>#N/A</v>
      </c>
      <c r="C1888" s="15"/>
      <c r="D1888" s="15"/>
      <c r="E1888" s="15"/>
      <c r="F1888" s="15"/>
    </row>
    <row r="1889" spans="1:6" ht="24" customHeight="1">
      <c r="A1889" s="12" t="e">
        <f t="shared" si="24"/>
        <v>#N/A</v>
      </c>
      <c r="B1889" s="15" t="e">
        <f>VLOOKUP(D162,[1]국문!$1:$1048576,21,0)</f>
        <v>#N/A</v>
      </c>
      <c r="C1889" s="15"/>
      <c r="D1889" s="15"/>
      <c r="E1889" s="15"/>
      <c r="F1889" s="15"/>
    </row>
    <row r="1890" spans="1:6" ht="24" customHeight="1">
      <c r="A1890" s="12" t="e">
        <f t="shared" ref="A1890:A1953" si="25">A198</f>
        <v>#N/A</v>
      </c>
      <c r="B1890" s="15" t="e">
        <f>VLOOKUP(D163,[1]국문!$1:$1048576,21,0)</f>
        <v>#N/A</v>
      </c>
      <c r="C1890" s="15"/>
      <c r="D1890" s="15"/>
      <c r="E1890" s="15"/>
      <c r="F1890" s="15"/>
    </row>
    <row r="1891" spans="1:6" ht="24" customHeight="1">
      <c r="A1891" s="12" t="e">
        <f t="shared" si="25"/>
        <v>#N/A</v>
      </c>
      <c r="B1891" s="15" t="e">
        <f>VLOOKUP(D164,[1]국문!$1:$1048576,21,0)</f>
        <v>#N/A</v>
      </c>
      <c r="C1891" s="15"/>
      <c r="D1891" s="15"/>
      <c r="E1891" s="15"/>
      <c r="F1891" s="15"/>
    </row>
    <row r="1892" spans="1:6" ht="24" customHeight="1">
      <c r="A1892" s="12" t="e">
        <f t="shared" si="25"/>
        <v>#N/A</v>
      </c>
      <c r="B1892" s="15" t="e">
        <f>VLOOKUP(D165,[1]국문!$1:$1048576,21,0)</f>
        <v>#N/A</v>
      </c>
      <c r="C1892" s="15"/>
      <c r="D1892" s="15"/>
      <c r="E1892" s="15"/>
      <c r="F1892" s="15"/>
    </row>
    <row r="1893" spans="1:6" ht="24" customHeight="1">
      <c r="A1893" s="12" t="e">
        <f t="shared" si="25"/>
        <v>#N/A</v>
      </c>
      <c r="B1893" s="15" t="e">
        <f>VLOOKUP(D166,[1]국문!$1:$1048576,21,0)</f>
        <v>#N/A</v>
      </c>
      <c r="C1893" s="15"/>
      <c r="D1893" s="15"/>
      <c r="E1893" s="15"/>
      <c r="F1893" s="15"/>
    </row>
    <row r="1894" spans="1:6" ht="24" customHeight="1">
      <c r="A1894" s="12" t="e">
        <f t="shared" si="25"/>
        <v>#N/A</v>
      </c>
      <c r="B1894" s="15" t="e">
        <f>VLOOKUP(D167,[1]국문!$1:$1048576,21,0)</f>
        <v>#N/A</v>
      </c>
      <c r="C1894" s="15"/>
      <c r="D1894" s="15"/>
      <c r="E1894" s="15"/>
      <c r="F1894" s="15"/>
    </row>
    <row r="1895" spans="1:6" ht="24" customHeight="1">
      <c r="A1895" s="12" t="e">
        <f t="shared" si="25"/>
        <v>#N/A</v>
      </c>
      <c r="B1895" s="15" t="e">
        <f>VLOOKUP(D168,[1]국문!$1:$1048576,21,0)</f>
        <v>#N/A</v>
      </c>
      <c r="C1895" s="15"/>
      <c r="D1895" s="15"/>
      <c r="E1895" s="15"/>
      <c r="F1895" s="15"/>
    </row>
    <row r="1896" spans="1:6" ht="24" customHeight="1">
      <c r="A1896" s="12" t="e">
        <f t="shared" si="25"/>
        <v>#N/A</v>
      </c>
      <c r="B1896" s="15" t="e">
        <f>VLOOKUP(D197,[1]국문!$1:$1048576,21,0)</f>
        <v>#N/A</v>
      </c>
      <c r="C1896" s="15"/>
      <c r="D1896" s="15"/>
      <c r="E1896" s="15"/>
      <c r="F1896" s="15"/>
    </row>
    <row r="1897" spans="1:6" ht="24" customHeight="1">
      <c r="A1897" s="12" t="e">
        <f t="shared" si="25"/>
        <v>#N/A</v>
      </c>
      <c r="B1897" s="15" t="e">
        <f>VLOOKUP(D198,[1]국문!$1:$1048576,21,0)</f>
        <v>#N/A</v>
      </c>
      <c r="C1897" s="15"/>
      <c r="D1897" s="15"/>
      <c r="E1897" s="15"/>
      <c r="F1897" s="15"/>
    </row>
    <row r="1898" spans="1:6" ht="24" customHeight="1">
      <c r="A1898" s="12" t="e">
        <f t="shared" si="25"/>
        <v>#N/A</v>
      </c>
      <c r="B1898" s="15" t="e">
        <f>VLOOKUP(D199,[1]국문!$1:$1048576,21,0)</f>
        <v>#N/A</v>
      </c>
      <c r="C1898" s="15"/>
      <c r="D1898" s="15"/>
      <c r="E1898" s="15"/>
      <c r="F1898" s="15"/>
    </row>
    <row r="1899" spans="1:6" ht="24" customHeight="1">
      <c r="A1899" s="12" t="e">
        <f t="shared" si="25"/>
        <v>#N/A</v>
      </c>
      <c r="B1899" s="15" t="e">
        <f>VLOOKUP(D200,[1]국문!$1:$1048576,21,0)</f>
        <v>#N/A</v>
      </c>
      <c r="C1899" s="15"/>
      <c r="D1899" s="15"/>
      <c r="E1899" s="15"/>
      <c r="F1899" s="15"/>
    </row>
    <row r="1900" spans="1:6" ht="24" customHeight="1">
      <c r="A1900" s="12" t="e">
        <f t="shared" si="25"/>
        <v>#N/A</v>
      </c>
      <c r="B1900" s="15" t="e">
        <f>VLOOKUP(D201,[1]국문!$1:$1048576,21,0)</f>
        <v>#N/A</v>
      </c>
      <c r="C1900" s="15"/>
      <c r="D1900" s="15"/>
      <c r="E1900" s="15"/>
      <c r="F1900" s="15"/>
    </row>
    <row r="1901" spans="1:6">
      <c r="A1901" s="12" t="e">
        <f t="shared" si="25"/>
        <v>#N/A</v>
      </c>
      <c r="B1901" s="15" t="e">
        <f>VLOOKUP(D202,[1]국문!$1:$1048576,21,0)</f>
        <v>#N/A</v>
      </c>
      <c r="C1901" s="15"/>
      <c r="D1901" s="15"/>
      <c r="E1901" s="15"/>
      <c r="F1901" s="15"/>
    </row>
    <row r="1902" spans="1:6" ht="18" customHeight="1">
      <c r="A1902" s="12" t="e">
        <f t="shared" si="25"/>
        <v>#N/A</v>
      </c>
      <c r="B1902" s="15" t="e">
        <f>VLOOKUP(D203,[1]국문!$1:$1048576,21,0)</f>
        <v>#N/A</v>
      </c>
      <c r="C1902" s="15"/>
      <c r="D1902" s="15"/>
      <c r="E1902" s="15"/>
      <c r="F1902" s="15"/>
    </row>
    <row r="1903" spans="1:6" ht="18" customHeight="1">
      <c r="A1903" s="12" t="e">
        <f t="shared" si="25"/>
        <v>#N/A</v>
      </c>
      <c r="B1903" s="15" t="e">
        <f>VLOOKUP(D204,[1]국문!$1:$1048576,21,0)</f>
        <v>#N/A</v>
      </c>
      <c r="C1903" s="15"/>
      <c r="D1903" s="15"/>
      <c r="E1903" s="15"/>
      <c r="F1903" s="15"/>
    </row>
    <row r="1904" spans="1:6" ht="18" customHeight="1">
      <c r="A1904" s="12" t="e">
        <f t="shared" si="25"/>
        <v>#N/A</v>
      </c>
      <c r="B1904" s="15" t="e">
        <f>VLOOKUP(D205,[1]국문!$1:$1048576,21,0)</f>
        <v>#N/A</v>
      </c>
      <c r="C1904" s="15"/>
      <c r="D1904" s="15"/>
      <c r="E1904" s="15"/>
      <c r="F1904" s="15"/>
    </row>
    <row r="1905" spans="1:6" ht="18" customHeight="1">
      <c r="A1905" s="12" t="e">
        <f t="shared" si="25"/>
        <v>#N/A</v>
      </c>
      <c r="B1905" s="15" t="e">
        <f>VLOOKUP(D206,[1]국문!$1:$1048576,21,0)</f>
        <v>#N/A</v>
      </c>
      <c r="C1905" s="15"/>
      <c r="D1905" s="15"/>
      <c r="E1905" s="15"/>
      <c r="F1905" s="15"/>
    </row>
    <row r="1906" spans="1:6">
      <c r="A1906" s="12" t="e">
        <f t="shared" si="25"/>
        <v>#N/A</v>
      </c>
      <c r="B1906" s="15" t="e">
        <f>VLOOKUP(D207,[1]국문!$1:$1048576,21,0)</f>
        <v>#N/A</v>
      </c>
      <c r="C1906" s="15"/>
      <c r="D1906" s="15"/>
      <c r="E1906" s="15"/>
      <c r="F1906" s="15"/>
    </row>
    <row r="1907" spans="1:6">
      <c r="A1907" s="12" t="e">
        <f t="shared" si="25"/>
        <v>#N/A</v>
      </c>
      <c r="B1907" s="15" t="e">
        <f>VLOOKUP(D208,[1]국문!$1:$1048576,21,0)</f>
        <v>#N/A</v>
      </c>
      <c r="C1907" s="15"/>
      <c r="D1907" s="15"/>
      <c r="E1907" s="15"/>
      <c r="F1907" s="15"/>
    </row>
    <row r="1908" spans="1:6">
      <c r="A1908" s="12" t="e">
        <f t="shared" si="25"/>
        <v>#N/A</v>
      </c>
      <c r="B1908" s="15" t="e">
        <f>VLOOKUP(D209,[1]국문!$1:$1048576,21,0)</f>
        <v>#N/A</v>
      </c>
      <c r="C1908" s="15"/>
      <c r="D1908" s="15"/>
      <c r="E1908" s="15"/>
      <c r="F1908" s="15"/>
    </row>
    <row r="1909" spans="1:6" ht="18" customHeight="1">
      <c r="A1909" s="12" t="e">
        <f t="shared" si="25"/>
        <v>#N/A</v>
      </c>
      <c r="B1909" s="15" t="e">
        <f>VLOOKUP(D210,[1]국문!$1:$1048576,21,0)</f>
        <v>#N/A</v>
      </c>
      <c r="C1909" s="15"/>
      <c r="D1909" s="15"/>
      <c r="E1909" s="15"/>
      <c r="F1909" s="15"/>
    </row>
    <row r="1910" spans="1:6" ht="18" customHeight="1">
      <c r="A1910" s="12" t="e">
        <f t="shared" si="25"/>
        <v>#N/A</v>
      </c>
      <c r="B1910" s="15" t="e">
        <f>VLOOKUP(D211,[1]국문!$1:$1048576,21,0)</f>
        <v>#N/A</v>
      </c>
      <c r="C1910" s="15"/>
      <c r="D1910" s="15"/>
      <c r="E1910" s="15"/>
      <c r="F1910" s="15"/>
    </row>
    <row r="1911" spans="1:6" ht="18" customHeight="1">
      <c r="A1911" s="12" t="e">
        <f t="shared" si="25"/>
        <v>#N/A</v>
      </c>
      <c r="B1911" s="15" t="e">
        <f>VLOOKUP(D212,[1]국문!$1:$1048576,21,0)</f>
        <v>#N/A</v>
      </c>
      <c r="C1911" s="15"/>
      <c r="D1911" s="15"/>
      <c r="E1911" s="15"/>
      <c r="F1911" s="15"/>
    </row>
    <row r="1912" spans="1:6" ht="18" customHeight="1">
      <c r="A1912" s="12" t="e">
        <f t="shared" si="25"/>
        <v>#N/A</v>
      </c>
      <c r="B1912" s="15" t="e">
        <f>VLOOKUP(D213,[1]국문!$1:$1048576,21,0)</f>
        <v>#N/A</v>
      </c>
      <c r="C1912" s="15"/>
      <c r="D1912" s="15"/>
      <c r="E1912" s="15"/>
      <c r="F1912" s="15"/>
    </row>
    <row r="1913" spans="1:6" ht="18" customHeight="1">
      <c r="A1913" s="12" t="e">
        <f t="shared" si="25"/>
        <v>#N/A</v>
      </c>
      <c r="B1913" s="15" t="e">
        <f>VLOOKUP(D214,[1]국문!$1:$1048576,21,0)</f>
        <v>#N/A</v>
      </c>
      <c r="C1913" s="15"/>
      <c r="D1913" s="15"/>
      <c r="E1913" s="15"/>
      <c r="F1913" s="15"/>
    </row>
    <row r="1914" spans="1:6" ht="18" customHeight="1">
      <c r="A1914" s="12" t="e">
        <f t="shared" si="25"/>
        <v>#N/A</v>
      </c>
      <c r="B1914" s="15" t="e">
        <f>VLOOKUP(D215,[1]국문!$1:$1048576,21,0)</f>
        <v>#N/A</v>
      </c>
      <c r="C1914" s="15"/>
      <c r="D1914" s="15"/>
      <c r="E1914" s="15"/>
      <c r="F1914" s="15"/>
    </row>
    <row r="1915" spans="1:6" ht="18" customHeight="1">
      <c r="A1915" s="12" t="e">
        <f t="shared" si="25"/>
        <v>#N/A</v>
      </c>
      <c r="B1915" s="15" t="e">
        <f>VLOOKUP(D216,[1]국문!$1:$1048576,21,0)</f>
        <v>#N/A</v>
      </c>
      <c r="C1915" s="15"/>
      <c r="D1915" s="15"/>
      <c r="E1915" s="15"/>
      <c r="F1915" s="15"/>
    </row>
    <row r="1916" spans="1:6" ht="18" customHeight="1">
      <c r="A1916" s="12" t="e">
        <f t="shared" si="25"/>
        <v>#N/A</v>
      </c>
      <c r="B1916" s="15" t="e">
        <f>VLOOKUP(D217,[1]국문!$1:$1048576,21,0)</f>
        <v>#N/A</v>
      </c>
      <c r="C1916" s="15"/>
      <c r="D1916" s="15"/>
      <c r="E1916" s="15"/>
      <c r="F1916" s="15"/>
    </row>
    <row r="1917" spans="1:6" ht="24" customHeight="1">
      <c r="A1917" s="12" t="e">
        <f t="shared" si="25"/>
        <v>#N/A</v>
      </c>
      <c r="B1917" s="15" t="e">
        <f>VLOOKUP(D190,[1]국문!$1:$1048576,21,0)</f>
        <v>#N/A</v>
      </c>
      <c r="C1917" s="15"/>
      <c r="D1917" s="15"/>
      <c r="E1917" s="15"/>
      <c r="F1917" s="15"/>
    </row>
    <row r="1918" spans="1:6" ht="24" customHeight="1">
      <c r="A1918" s="12" t="e">
        <f t="shared" si="25"/>
        <v>#N/A</v>
      </c>
      <c r="B1918" s="15" t="e">
        <f>VLOOKUP(D191,[1]국문!$1:$1048576,21,0)</f>
        <v>#N/A</v>
      </c>
      <c r="C1918" s="15"/>
      <c r="D1918" s="15"/>
      <c r="E1918" s="15"/>
      <c r="F1918" s="15"/>
    </row>
    <row r="1919" spans="1:6" ht="24" customHeight="1">
      <c r="A1919" s="12" t="e">
        <f t="shared" si="25"/>
        <v>#N/A</v>
      </c>
      <c r="B1919" s="15" t="e">
        <f>VLOOKUP(D192,[1]국문!$1:$1048576,21,0)</f>
        <v>#N/A</v>
      </c>
      <c r="C1919" s="15"/>
      <c r="D1919" s="15"/>
      <c r="E1919" s="15"/>
      <c r="F1919" s="15"/>
    </row>
    <row r="1920" spans="1:6" ht="24" customHeight="1">
      <c r="A1920" s="12" t="e">
        <f t="shared" si="25"/>
        <v>#N/A</v>
      </c>
      <c r="B1920" s="15" t="e">
        <f>VLOOKUP(D193,[1]국문!$1:$1048576,21,0)</f>
        <v>#N/A</v>
      </c>
      <c r="C1920" s="15"/>
      <c r="D1920" s="15"/>
      <c r="E1920" s="15"/>
      <c r="F1920" s="15"/>
    </row>
    <row r="1921" spans="1:6" ht="28.5" customHeight="1">
      <c r="A1921" s="12" t="e">
        <f t="shared" si="25"/>
        <v>#N/A</v>
      </c>
      <c r="B1921" s="15" t="e">
        <f>VLOOKUP(D194,[1]국문!$1:$1048576,21,0)</f>
        <v>#N/A</v>
      </c>
      <c r="C1921" s="15"/>
      <c r="D1921" s="15"/>
      <c r="E1921" s="15"/>
      <c r="F1921" s="15"/>
    </row>
    <row r="1922" spans="1:6" ht="24" customHeight="1">
      <c r="A1922" s="12" t="e">
        <f t="shared" si="25"/>
        <v>#N/A</v>
      </c>
      <c r="B1922" s="15" t="e">
        <f>VLOOKUP(D195,[1]국문!$1:$1048576,21,0)</f>
        <v>#N/A</v>
      </c>
      <c r="C1922" s="15"/>
      <c r="D1922" s="15"/>
      <c r="E1922" s="15"/>
      <c r="F1922" s="15"/>
    </row>
    <row r="1923" spans="1:6" ht="24" customHeight="1">
      <c r="A1923" s="12" t="e">
        <f t="shared" si="25"/>
        <v>#N/A</v>
      </c>
      <c r="B1923" s="15" t="e">
        <f>VLOOKUP(D196,[1]국문!$1:$1048576,21,0)</f>
        <v>#N/A</v>
      </c>
      <c r="C1923" s="15"/>
      <c r="D1923" s="15"/>
      <c r="E1923" s="15"/>
      <c r="F1923" s="15"/>
    </row>
    <row r="1924" spans="1:6" ht="24" customHeight="1">
      <c r="A1924" s="12" t="e">
        <f t="shared" si="25"/>
        <v>#N/A</v>
      </c>
      <c r="B1924" s="15" t="e">
        <f>VLOOKUP(D197,[1]국문!$1:$1048576,21,0)</f>
        <v>#N/A</v>
      </c>
      <c r="C1924" s="15"/>
      <c r="D1924" s="15"/>
      <c r="E1924" s="15"/>
      <c r="F1924" s="15"/>
    </row>
    <row r="1925" spans="1:6" ht="24" customHeight="1">
      <c r="A1925" s="12" t="e">
        <f t="shared" si="25"/>
        <v>#N/A</v>
      </c>
      <c r="B1925" s="15" t="e">
        <f>VLOOKUP(D198,[1]국문!$1:$1048576,21,0)</f>
        <v>#N/A</v>
      </c>
      <c r="C1925" s="15"/>
      <c r="D1925" s="15"/>
      <c r="E1925" s="15"/>
      <c r="F1925" s="15"/>
    </row>
    <row r="1926" spans="1:6" ht="24" customHeight="1">
      <c r="A1926" s="12" t="e">
        <f t="shared" si="25"/>
        <v>#N/A</v>
      </c>
      <c r="B1926" s="15" t="e">
        <f>VLOOKUP(D199,[1]국문!$1:$1048576,21,0)</f>
        <v>#N/A</v>
      </c>
      <c r="C1926" s="15"/>
      <c r="D1926" s="15"/>
      <c r="E1926" s="15"/>
      <c r="F1926" s="15"/>
    </row>
    <row r="1927" spans="1:6" ht="24" customHeight="1">
      <c r="A1927" s="12" t="e">
        <f t="shared" si="25"/>
        <v>#N/A</v>
      </c>
      <c r="B1927" s="15" t="e">
        <f>VLOOKUP(D200,[1]국문!$1:$1048576,21,0)</f>
        <v>#N/A</v>
      </c>
      <c r="C1927" s="15"/>
      <c r="D1927" s="15"/>
      <c r="E1927" s="15"/>
      <c r="F1927" s="15"/>
    </row>
    <row r="1928" spans="1:6" ht="24" customHeight="1">
      <c r="A1928" s="12" t="e">
        <f t="shared" si="25"/>
        <v>#N/A</v>
      </c>
      <c r="B1928" s="15" t="e">
        <f>VLOOKUP(D201,[1]국문!$1:$1048576,21,0)</f>
        <v>#N/A</v>
      </c>
      <c r="C1928" s="15"/>
      <c r="D1928" s="15"/>
      <c r="E1928" s="15"/>
      <c r="F1928" s="15"/>
    </row>
    <row r="1929" spans="1:6" ht="24" customHeight="1">
      <c r="A1929" s="12" t="e">
        <f t="shared" si="25"/>
        <v>#N/A</v>
      </c>
      <c r="B1929" s="15" t="e">
        <f>VLOOKUP(D202,[1]국문!$1:$1048576,21,0)</f>
        <v>#N/A</v>
      </c>
      <c r="C1929" s="15"/>
      <c r="D1929" s="15"/>
      <c r="E1929" s="15"/>
      <c r="F1929" s="15"/>
    </row>
    <row r="1930" spans="1:6" ht="24" customHeight="1">
      <c r="A1930" s="12" t="e">
        <f t="shared" si="25"/>
        <v>#N/A</v>
      </c>
      <c r="B1930" s="15" t="e">
        <f>VLOOKUP(D203,[1]국문!$1:$1048576,21,0)</f>
        <v>#N/A</v>
      </c>
      <c r="C1930" s="15"/>
      <c r="D1930" s="15"/>
      <c r="E1930" s="15"/>
      <c r="F1930" s="15"/>
    </row>
    <row r="1931" spans="1:6" ht="24" customHeight="1">
      <c r="A1931" s="12" t="e">
        <f t="shared" si="25"/>
        <v>#N/A</v>
      </c>
      <c r="B1931" s="15" t="e">
        <f>VLOOKUP(D204,[1]국문!$1:$1048576,21,0)</f>
        <v>#N/A</v>
      </c>
      <c r="C1931" s="15"/>
      <c r="D1931" s="15"/>
      <c r="E1931" s="15"/>
      <c r="F1931" s="15"/>
    </row>
    <row r="1932" spans="1:6" ht="24" customHeight="1">
      <c r="A1932" s="12" t="e">
        <f t="shared" si="25"/>
        <v>#N/A</v>
      </c>
      <c r="B1932" s="15" t="e">
        <f>VLOOKUP(D233,[1]국문!$1:$1048576,21,0)</f>
        <v>#N/A</v>
      </c>
      <c r="C1932" s="15"/>
      <c r="D1932" s="15"/>
      <c r="E1932" s="15"/>
      <c r="F1932" s="15"/>
    </row>
    <row r="1933" spans="1:6" ht="24" customHeight="1">
      <c r="A1933" s="12" t="e">
        <f t="shared" si="25"/>
        <v>#N/A</v>
      </c>
      <c r="B1933" s="15" t="e">
        <f>VLOOKUP(D234,[1]국문!$1:$1048576,21,0)</f>
        <v>#N/A</v>
      </c>
      <c r="C1933" s="15"/>
      <c r="D1933" s="15"/>
      <c r="E1933" s="15"/>
      <c r="F1933" s="15"/>
    </row>
    <row r="1934" spans="1:6" ht="24" customHeight="1">
      <c r="A1934" s="12" t="e">
        <f t="shared" si="25"/>
        <v>#N/A</v>
      </c>
      <c r="B1934" s="15" t="e">
        <f>VLOOKUP(D235,[1]국문!$1:$1048576,21,0)</f>
        <v>#N/A</v>
      </c>
      <c r="C1934" s="15"/>
      <c r="D1934" s="15"/>
      <c r="E1934" s="15"/>
      <c r="F1934" s="15"/>
    </row>
    <row r="1935" spans="1:6" ht="24" customHeight="1">
      <c r="A1935" s="12" t="e">
        <f t="shared" si="25"/>
        <v>#N/A</v>
      </c>
      <c r="B1935" s="15" t="e">
        <f>VLOOKUP(D236,[1]국문!$1:$1048576,21,0)</f>
        <v>#N/A</v>
      </c>
      <c r="C1935" s="15"/>
      <c r="D1935" s="15"/>
      <c r="E1935" s="15"/>
      <c r="F1935" s="15"/>
    </row>
    <row r="1936" spans="1:6" ht="24" customHeight="1">
      <c r="A1936" s="12" t="e">
        <f t="shared" si="25"/>
        <v>#N/A</v>
      </c>
      <c r="B1936" s="15" t="e">
        <f>VLOOKUP(D237,[1]국문!$1:$1048576,21,0)</f>
        <v>#N/A</v>
      </c>
      <c r="C1936" s="15"/>
      <c r="D1936" s="15"/>
      <c r="E1936" s="15"/>
      <c r="F1936" s="15"/>
    </row>
    <row r="1937" spans="1:6">
      <c r="A1937" s="12" t="e">
        <f t="shared" si="25"/>
        <v>#N/A</v>
      </c>
      <c r="B1937" s="15" t="e">
        <f>VLOOKUP(D238,[1]국문!$1:$1048576,21,0)</f>
        <v>#N/A</v>
      </c>
      <c r="C1937" s="15"/>
      <c r="D1937" s="15"/>
      <c r="E1937" s="15"/>
      <c r="F1937" s="15"/>
    </row>
    <row r="1938" spans="1:6" ht="18" customHeight="1">
      <c r="A1938" s="12" t="e">
        <f t="shared" si="25"/>
        <v>#N/A</v>
      </c>
      <c r="B1938" s="15" t="e">
        <f>VLOOKUP(D239,[1]국문!$1:$1048576,21,0)</f>
        <v>#N/A</v>
      </c>
      <c r="C1938" s="15"/>
      <c r="D1938" s="15"/>
      <c r="E1938" s="15"/>
      <c r="F1938" s="15"/>
    </row>
    <row r="1939" spans="1:6" ht="18" customHeight="1">
      <c r="A1939" s="12" t="e">
        <f t="shared" si="25"/>
        <v>#N/A</v>
      </c>
      <c r="B1939" s="15" t="e">
        <f>VLOOKUP(D240,[1]국문!$1:$1048576,21,0)</f>
        <v>#N/A</v>
      </c>
      <c r="C1939" s="15"/>
      <c r="D1939" s="15"/>
      <c r="E1939" s="15"/>
      <c r="F1939" s="15"/>
    </row>
    <row r="1940" spans="1:6" ht="18" customHeight="1">
      <c r="A1940" s="12" t="e">
        <f t="shared" si="25"/>
        <v>#N/A</v>
      </c>
      <c r="B1940" s="15" t="e">
        <f>VLOOKUP(D241,[1]국문!$1:$1048576,21,0)</f>
        <v>#N/A</v>
      </c>
      <c r="C1940" s="15"/>
      <c r="D1940" s="15"/>
      <c r="E1940" s="15"/>
      <c r="F1940" s="15"/>
    </row>
    <row r="1941" spans="1:6" ht="18" customHeight="1">
      <c r="A1941" s="12" t="e">
        <f t="shared" si="25"/>
        <v>#N/A</v>
      </c>
      <c r="B1941" s="15" t="e">
        <f>VLOOKUP(D242,[1]국문!$1:$1048576,21,0)</f>
        <v>#N/A</v>
      </c>
      <c r="C1941" s="15"/>
      <c r="D1941" s="15"/>
      <c r="E1941" s="15"/>
      <c r="F1941" s="15"/>
    </row>
    <row r="1942" spans="1:6">
      <c r="A1942" s="12" t="e">
        <f t="shared" si="25"/>
        <v>#N/A</v>
      </c>
      <c r="B1942" s="15" t="e">
        <f>VLOOKUP(D243,[1]국문!$1:$1048576,21,0)</f>
        <v>#N/A</v>
      </c>
      <c r="C1942" s="15"/>
      <c r="D1942" s="15"/>
      <c r="E1942" s="15"/>
      <c r="F1942" s="15"/>
    </row>
    <row r="1943" spans="1:6">
      <c r="A1943" s="12" t="e">
        <f t="shared" si="25"/>
        <v>#N/A</v>
      </c>
      <c r="B1943" s="15" t="e">
        <f>VLOOKUP(D244,[1]국문!$1:$1048576,21,0)</f>
        <v>#N/A</v>
      </c>
      <c r="C1943" s="15"/>
      <c r="D1943" s="15"/>
      <c r="E1943" s="15"/>
      <c r="F1943" s="15"/>
    </row>
    <row r="1944" spans="1:6">
      <c r="A1944" s="12" t="e">
        <f t="shared" si="25"/>
        <v>#N/A</v>
      </c>
      <c r="B1944" s="15" t="e">
        <f>VLOOKUP(D245,[1]국문!$1:$1048576,21,0)</f>
        <v>#N/A</v>
      </c>
      <c r="C1944" s="15"/>
      <c r="D1944" s="15"/>
      <c r="E1944" s="15"/>
      <c r="F1944" s="15"/>
    </row>
    <row r="1945" spans="1:6" ht="18" customHeight="1">
      <c r="A1945" s="12" t="e">
        <f t="shared" si="25"/>
        <v>#N/A</v>
      </c>
      <c r="B1945" s="15" t="e">
        <f>VLOOKUP(D246,[1]국문!$1:$1048576,21,0)</f>
        <v>#N/A</v>
      </c>
      <c r="C1945" s="15"/>
      <c r="D1945" s="15"/>
      <c r="E1945" s="15"/>
      <c r="F1945" s="15"/>
    </row>
    <row r="1946" spans="1:6" ht="18" customHeight="1">
      <c r="A1946" s="12" t="e">
        <f t="shared" si="25"/>
        <v>#N/A</v>
      </c>
      <c r="B1946" s="15" t="e">
        <f>VLOOKUP(D247,[1]국문!$1:$1048576,21,0)</f>
        <v>#N/A</v>
      </c>
      <c r="C1946" s="15"/>
      <c r="D1946" s="15"/>
      <c r="E1946" s="15"/>
      <c r="F1946" s="15"/>
    </row>
    <row r="1947" spans="1:6" ht="18" customHeight="1">
      <c r="A1947" s="12" t="e">
        <f t="shared" si="25"/>
        <v>#N/A</v>
      </c>
      <c r="B1947" s="15" t="e">
        <f>VLOOKUP(D248,[1]국문!$1:$1048576,21,0)</f>
        <v>#N/A</v>
      </c>
      <c r="C1947" s="15"/>
      <c r="D1947" s="15"/>
      <c r="E1947" s="15"/>
      <c r="F1947" s="15"/>
    </row>
    <row r="1948" spans="1:6" ht="18" customHeight="1">
      <c r="A1948" s="12" t="e">
        <f t="shared" si="25"/>
        <v>#N/A</v>
      </c>
      <c r="B1948" s="15" t="e">
        <f>VLOOKUP(D249,[1]국문!$1:$1048576,21,0)</f>
        <v>#N/A</v>
      </c>
      <c r="C1948" s="15"/>
      <c r="D1948" s="15"/>
      <c r="E1948" s="15"/>
      <c r="F1948" s="15"/>
    </row>
    <row r="1949" spans="1:6" ht="18" customHeight="1">
      <c r="A1949" s="12" t="e">
        <f t="shared" si="25"/>
        <v>#N/A</v>
      </c>
      <c r="B1949" s="15" t="e">
        <f>VLOOKUP(D250,[1]국문!$1:$1048576,21,0)</f>
        <v>#N/A</v>
      </c>
      <c r="C1949" s="15"/>
      <c r="D1949" s="15"/>
      <c r="E1949" s="15"/>
      <c r="F1949" s="15"/>
    </row>
    <row r="1950" spans="1:6" ht="18" customHeight="1">
      <c r="A1950" s="12" t="e">
        <f t="shared" si="25"/>
        <v>#N/A</v>
      </c>
      <c r="B1950" s="15" t="e">
        <f>VLOOKUP(D251,[1]국문!$1:$1048576,21,0)</f>
        <v>#N/A</v>
      </c>
      <c r="C1950" s="15"/>
      <c r="D1950" s="15"/>
      <c r="E1950" s="15"/>
      <c r="F1950" s="15"/>
    </row>
    <row r="1951" spans="1:6" ht="18" customHeight="1">
      <c r="A1951" s="12" t="e">
        <f t="shared" si="25"/>
        <v>#N/A</v>
      </c>
      <c r="B1951" s="15" t="e">
        <f>VLOOKUP(D252,[1]국문!$1:$1048576,21,0)</f>
        <v>#N/A</v>
      </c>
      <c r="C1951" s="15"/>
      <c r="D1951" s="15"/>
      <c r="E1951" s="15"/>
      <c r="F1951" s="15"/>
    </row>
    <row r="1952" spans="1:6" ht="18" customHeight="1">
      <c r="A1952" s="12" t="e">
        <f t="shared" si="25"/>
        <v>#N/A</v>
      </c>
      <c r="B1952" s="15" t="e">
        <f>VLOOKUP(D253,[1]국문!$1:$1048576,21,0)</f>
        <v>#N/A</v>
      </c>
      <c r="C1952" s="15"/>
      <c r="D1952" s="15"/>
      <c r="E1952" s="15"/>
      <c r="F1952" s="15"/>
    </row>
    <row r="1953" spans="1:6" ht="24" customHeight="1">
      <c r="A1953" s="12" t="e">
        <f t="shared" si="25"/>
        <v>#N/A</v>
      </c>
      <c r="B1953" s="15" t="e">
        <f>VLOOKUP(D226,[1]국문!$1:$1048576,21,0)</f>
        <v>#N/A</v>
      </c>
      <c r="C1953" s="15"/>
      <c r="D1953" s="15"/>
      <c r="E1953" s="15"/>
      <c r="F1953" s="15"/>
    </row>
    <row r="1954" spans="1:6" ht="24" customHeight="1">
      <c r="A1954" s="12" t="e">
        <f t="shared" ref="A1954:A2017" si="26">A262</f>
        <v>#N/A</v>
      </c>
      <c r="B1954" s="15" t="e">
        <f>VLOOKUP(D227,[1]국문!$1:$1048576,21,0)</f>
        <v>#N/A</v>
      </c>
      <c r="C1954" s="15"/>
      <c r="D1954" s="15"/>
      <c r="E1954" s="15"/>
      <c r="F1954" s="15"/>
    </row>
    <row r="1955" spans="1:6" ht="24" customHeight="1">
      <c r="A1955" s="12" t="e">
        <f t="shared" si="26"/>
        <v>#N/A</v>
      </c>
      <c r="B1955" s="15" t="e">
        <f>VLOOKUP(D228,[1]국문!$1:$1048576,21,0)</f>
        <v>#N/A</v>
      </c>
      <c r="C1955" s="15"/>
      <c r="D1955" s="15"/>
      <c r="E1955" s="15"/>
      <c r="F1955" s="15"/>
    </row>
    <row r="1956" spans="1:6" ht="24" customHeight="1">
      <c r="A1956" s="12" t="e">
        <f t="shared" si="26"/>
        <v>#N/A</v>
      </c>
      <c r="B1956" s="15" t="e">
        <f>VLOOKUP(D229,[1]국문!$1:$1048576,21,0)</f>
        <v>#N/A</v>
      </c>
      <c r="C1956" s="15"/>
      <c r="D1956" s="15"/>
      <c r="E1956" s="15"/>
      <c r="F1956" s="15"/>
    </row>
    <row r="1957" spans="1:6" ht="28.5" customHeight="1">
      <c r="A1957" s="12" t="e">
        <f t="shared" si="26"/>
        <v>#N/A</v>
      </c>
      <c r="B1957" s="15" t="e">
        <f>VLOOKUP(D230,[1]국문!$1:$1048576,21,0)</f>
        <v>#N/A</v>
      </c>
      <c r="C1957" s="15"/>
      <c r="D1957" s="15"/>
      <c r="E1957" s="15"/>
      <c r="F1957" s="15"/>
    </row>
    <row r="1958" spans="1:6" ht="24" customHeight="1">
      <c r="A1958" s="12" t="e">
        <f t="shared" si="26"/>
        <v>#N/A</v>
      </c>
      <c r="B1958" s="15" t="e">
        <f>VLOOKUP(D231,[1]국문!$1:$1048576,21,0)</f>
        <v>#N/A</v>
      </c>
      <c r="C1958" s="15"/>
      <c r="D1958" s="15"/>
      <c r="E1958" s="15"/>
      <c r="F1958" s="15"/>
    </row>
    <row r="1959" spans="1:6" ht="24" customHeight="1">
      <c r="A1959" s="12" t="e">
        <f t="shared" si="26"/>
        <v>#N/A</v>
      </c>
      <c r="B1959" s="15" t="e">
        <f>VLOOKUP(D232,[1]국문!$1:$1048576,21,0)</f>
        <v>#N/A</v>
      </c>
      <c r="C1959" s="15"/>
      <c r="D1959" s="15"/>
      <c r="E1959" s="15"/>
      <c r="F1959" s="15"/>
    </row>
    <row r="1960" spans="1:6" ht="24" customHeight="1">
      <c r="A1960" s="12" t="e">
        <f t="shared" si="26"/>
        <v>#N/A</v>
      </c>
      <c r="B1960" s="15" t="e">
        <f>VLOOKUP(D233,[1]국문!$1:$1048576,21,0)</f>
        <v>#N/A</v>
      </c>
      <c r="C1960" s="15"/>
      <c r="D1960" s="15"/>
      <c r="E1960" s="15"/>
      <c r="F1960" s="15"/>
    </row>
    <row r="1961" spans="1:6" ht="24" customHeight="1">
      <c r="A1961" s="12" t="e">
        <f t="shared" si="26"/>
        <v>#N/A</v>
      </c>
      <c r="B1961" s="15" t="e">
        <f>VLOOKUP(D234,[1]국문!$1:$1048576,21,0)</f>
        <v>#N/A</v>
      </c>
      <c r="C1961" s="15"/>
      <c r="D1961" s="15"/>
      <c r="E1961" s="15"/>
      <c r="F1961" s="15"/>
    </row>
    <row r="1962" spans="1:6" ht="24" customHeight="1">
      <c r="A1962" s="12" t="e">
        <f t="shared" si="26"/>
        <v>#N/A</v>
      </c>
      <c r="B1962" s="15" t="e">
        <f>VLOOKUP(D235,[1]국문!$1:$1048576,21,0)</f>
        <v>#N/A</v>
      </c>
      <c r="C1962" s="15"/>
      <c r="D1962" s="15"/>
      <c r="E1962" s="15"/>
      <c r="F1962" s="15"/>
    </row>
    <row r="1963" spans="1:6" ht="24" customHeight="1">
      <c r="A1963" s="12" t="e">
        <f t="shared" si="26"/>
        <v>#N/A</v>
      </c>
      <c r="B1963" s="15" t="e">
        <f>VLOOKUP(D236,[1]국문!$1:$1048576,21,0)</f>
        <v>#N/A</v>
      </c>
      <c r="C1963" s="15"/>
      <c r="D1963" s="15"/>
      <c r="E1963" s="15"/>
      <c r="F1963" s="15"/>
    </row>
    <row r="1964" spans="1:6" ht="24" customHeight="1">
      <c r="A1964" s="12" t="e">
        <f t="shared" si="26"/>
        <v>#N/A</v>
      </c>
      <c r="B1964" s="15" t="e">
        <f>VLOOKUP(D237,[1]국문!$1:$1048576,21,0)</f>
        <v>#N/A</v>
      </c>
      <c r="C1964" s="15"/>
      <c r="D1964" s="15"/>
      <c r="E1964" s="15"/>
      <c r="F1964" s="15"/>
    </row>
    <row r="1965" spans="1:6" ht="24" customHeight="1">
      <c r="A1965" s="12" t="e">
        <f t="shared" si="26"/>
        <v>#N/A</v>
      </c>
      <c r="B1965" s="15" t="e">
        <f>VLOOKUP(D238,[1]국문!$1:$1048576,21,0)</f>
        <v>#N/A</v>
      </c>
      <c r="C1965" s="15"/>
      <c r="D1965" s="15"/>
      <c r="E1965" s="15"/>
      <c r="F1965" s="15"/>
    </row>
    <row r="1966" spans="1:6" ht="24" customHeight="1">
      <c r="A1966" s="12" t="e">
        <f t="shared" si="26"/>
        <v>#N/A</v>
      </c>
      <c r="B1966" s="15" t="e">
        <f>VLOOKUP(D239,[1]국문!$1:$1048576,21,0)</f>
        <v>#N/A</v>
      </c>
      <c r="C1966" s="15"/>
      <c r="D1966" s="15"/>
      <c r="E1966" s="15"/>
      <c r="F1966" s="15"/>
    </row>
    <row r="1967" spans="1:6" ht="24" customHeight="1">
      <c r="A1967" s="12" t="e">
        <f t="shared" si="26"/>
        <v>#N/A</v>
      </c>
      <c r="B1967" s="15" t="e">
        <f>VLOOKUP(D240,[1]국문!$1:$1048576,21,0)</f>
        <v>#N/A</v>
      </c>
      <c r="C1967" s="15"/>
      <c r="D1967" s="15"/>
      <c r="E1967" s="15"/>
      <c r="F1967" s="15"/>
    </row>
    <row r="1968" spans="1:6" ht="24" customHeight="1">
      <c r="A1968" s="12" t="e">
        <f t="shared" si="26"/>
        <v>#N/A</v>
      </c>
      <c r="B1968" s="15" t="e">
        <f>VLOOKUP(D269,[1]국문!$1:$1048576,21,0)</f>
        <v>#N/A</v>
      </c>
      <c r="C1968" s="15"/>
      <c r="D1968" s="15"/>
      <c r="E1968" s="15"/>
      <c r="F1968" s="15"/>
    </row>
    <row r="1969" spans="1:6" ht="24" customHeight="1">
      <c r="A1969" s="12" t="e">
        <f t="shared" si="26"/>
        <v>#N/A</v>
      </c>
      <c r="B1969" s="15" t="e">
        <f>VLOOKUP(D270,[1]국문!$1:$1048576,21,0)</f>
        <v>#N/A</v>
      </c>
      <c r="C1969" s="15"/>
      <c r="D1969" s="15"/>
      <c r="E1969" s="15"/>
      <c r="F1969" s="15"/>
    </row>
    <row r="1970" spans="1:6" ht="24" customHeight="1">
      <c r="A1970" s="12" t="e">
        <f t="shared" si="26"/>
        <v>#N/A</v>
      </c>
      <c r="B1970" s="15" t="e">
        <f>VLOOKUP(D271,[1]국문!$1:$1048576,21,0)</f>
        <v>#N/A</v>
      </c>
      <c r="C1970" s="15"/>
      <c r="D1970" s="15"/>
      <c r="E1970" s="15"/>
      <c r="F1970" s="15"/>
    </row>
    <row r="1971" spans="1:6" ht="24" customHeight="1">
      <c r="A1971" s="12" t="e">
        <f t="shared" si="26"/>
        <v>#N/A</v>
      </c>
      <c r="B1971" s="15" t="e">
        <f>VLOOKUP(D272,[1]국문!$1:$1048576,21,0)</f>
        <v>#N/A</v>
      </c>
      <c r="C1971" s="15"/>
      <c r="D1971" s="15"/>
      <c r="E1971" s="15"/>
      <c r="F1971" s="15"/>
    </row>
    <row r="1972" spans="1:6" ht="24" customHeight="1">
      <c r="A1972" s="12" t="e">
        <f t="shared" si="26"/>
        <v>#N/A</v>
      </c>
      <c r="B1972" s="15" t="e">
        <f>VLOOKUP(D273,[1]국문!$1:$1048576,21,0)</f>
        <v>#N/A</v>
      </c>
      <c r="C1972" s="15"/>
      <c r="D1972" s="15"/>
      <c r="E1972" s="15"/>
      <c r="F1972" s="15"/>
    </row>
    <row r="1973" spans="1:6">
      <c r="A1973" s="12" t="e">
        <f t="shared" si="26"/>
        <v>#N/A</v>
      </c>
      <c r="B1973" s="15" t="e">
        <f>VLOOKUP(D274,[1]국문!$1:$1048576,21,0)</f>
        <v>#N/A</v>
      </c>
      <c r="C1973" s="15"/>
      <c r="D1973" s="15"/>
      <c r="E1973" s="15"/>
      <c r="F1973" s="15"/>
    </row>
    <row r="1974" spans="1:6" ht="18" customHeight="1">
      <c r="A1974" s="12" t="e">
        <f t="shared" si="26"/>
        <v>#N/A</v>
      </c>
      <c r="B1974" s="15" t="e">
        <f>VLOOKUP(D275,[1]국문!$1:$1048576,21,0)</f>
        <v>#N/A</v>
      </c>
      <c r="C1974" s="15"/>
      <c r="D1974" s="15"/>
      <c r="E1974" s="15"/>
      <c r="F1974" s="15"/>
    </row>
    <row r="1975" spans="1:6" ht="18" customHeight="1">
      <c r="A1975" s="12" t="e">
        <f t="shared" si="26"/>
        <v>#N/A</v>
      </c>
      <c r="B1975" s="15" t="e">
        <f>VLOOKUP(D276,[1]국문!$1:$1048576,21,0)</f>
        <v>#N/A</v>
      </c>
      <c r="C1975" s="15"/>
      <c r="D1975" s="15"/>
      <c r="E1975" s="15"/>
      <c r="F1975" s="15"/>
    </row>
    <row r="1976" spans="1:6" ht="18" customHeight="1">
      <c r="A1976" s="12" t="e">
        <f t="shared" si="26"/>
        <v>#N/A</v>
      </c>
      <c r="B1976" s="15" t="e">
        <f>VLOOKUP(D277,[1]국문!$1:$1048576,21,0)</f>
        <v>#N/A</v>
      </c>
      <c r="C1976" s="15"/>
      <c r="D1976" s="15"/>
      <c r="E1976" s="15"/>
      <c r="F1976" s="15"/>
    </row>
    <row r="1977" spans="1:6" ht="18" customHeight="1">
      <c r="A1977" s="12" t="e">
        <f t="shared" si="26"/>
        <v>#N/A</v>
      </c>
      <c r="B1977" s="15" t="e">
        <f>VLOOKUP(D278,[1]국문!$1:$1048576,21,0)</f>
        <v>#N/A</v>
      </c>
      <c r="C1977" s="15"/>
      <c r="D1977" s="15"/>
      <c r="E1977" s="15"/>
      <c r="F1977" s="15"/>
    </row>
    <row r="1978" spans="1:6">
      <c r="A1978" s="12" t="e">
        <f t="shared" si="26"/>
        <v>#N/A</v>
      </c>
      <c r="B1978" s="15" t="e">
        <f>VLOOKUP(D279,[1]국문!$1:$1048576,21,0)</f>
        <v>#N/A</v>
      </c>
      <c r="C1978" s="15"/>
      <c r="D1978" s="15"/>
      <c r="E1978" s="15"/>
      <c r="F1978" s="15"/>
    </row>
    <row r="1979" spans="1:6">
      <c r="A1979" s="12" t="e">
        <f t="shared" si="26"/>
        <v>#N/A</v>
      </c>
      <c r="B1979" s="15" t="e">
        <f>VLOOKUP(D280,[1]국문!$1:$1048576,21,0)</f>
        <v>#N/A</v>
      </c>
      <c r="C1979" s="15"/>
      <c r="D1979" s="15"/>
      <c r="E1979" s="15"/>
      <c r="F1979" s="15"/>
    </row>
    <row r="1980" spans="1:6">
      <c r="A1980" s="12" t="e">
        <f t="shared" si="26"/>
        <v>#N/A</v>
      </c>
      <c r="B1980" s="15" t="e">
        <f>VLOOKUP(D281,[1]국문!$1:$1048576,21,0)</f>
        <v>#N/A</v>
      </c>
      <c r="C1980" s="15"/>
      <c r="D1980" s="15"/>
      <c r="E1980" s="15"/>
      <c r="F1980" s="15"/>
    </row>
    <row r="1981" spans="1:6" ht="18" customHeight="1">
      <c r="A1981" s="12" t="e">
        <f t="shared" si="26"/>
        <v>#N/A</v>
      </c>
      <c r="B1981" s="15" t="e">
        <f>VLOOKUP(D282,[1]국문!$1:$1048576,21,0)</f>
        <v>#N/A</v>
      </c>
      <c r="C1981" s="15"/>
      <c r="D1981" s="15"/>
      <c r="E1981" s="15"/>
      <c r="F1981" s="15"/>
    </row>
    <row r="1982" spans="1:6" ht="18" customHeight="1">
      <c r="A1982" s="12" t="e">
        <f t="shared" si="26"/>
        <v>#N/A</v>
      </c>
      <c r="B1982" s="15" t="e">
        <f>VLOOKUP(D283,[1]국문!$1:$1048576,21,0)</f>
        <v>#N/A</v>
      </c>
      <c r="C1982" s="15"/>
      <c r="D1982" s="15"/>
      <c r="E1982" s="15"/>
      <c r="F1982" s="15"/>
    </row>
    <row r="1983" spans="1:6" ht="18" customHeight="1">
      <c r="A1983" s="12" t="e">
        <f t="shared" si="26"/>
        <v>#N/A</v>
      </c>
      <c r="B1983" s="15" t="e">
        <f>VLOOKUP(D284,[1]국문!$1:$1048576,21,0)</f>
        <v>#N/A</v>
      </c>
      <c r="C1983" s="15"/>
      <c r="D1983" s="15"/>
      <c r="E1983" s="15"/>
      <c r="F1983" s="15"/>
    </row>
    <row r="1984" spans="1:6" ht="18" customHeight="1">
      <c r="A1984" s="12" t="e">
        <f t="shared" si="26"/>
        <v>#N/A</v>
      </c>
      <c r="B1984" s="15" t="e">
        <f>VLOOKUP(D285,[1]국문!$1:$1048576,21,0)</f>
        <v>#N/A</v>
      </c>
      <c r="C1984" s="15"/>
      <c r="D1984" s="15"/>
      <c r="E1984" s="15"/>
      <c r="F1984" s="15"/>
    </row>
    <row r="1985" spans="1:6" ht="18" customHeight="1">
      <c r="A1985" s="12" t="e">
        <f t="shared" si="26"/>
        <v>#N/A</v>
      </c>
      <c r="B1985" s="15" t="e">
        <f>VLOOKUP(D286,[1]국문!$1:$1048576,21,0)</f>
        <v>#N/A</v>
      </c>
      <c r="C1985" s="15"/>
      <c r="D1985" s="15"/>
      <c r="E1985" s="15"/>
      <c r="F1985" s="15"/>
    </row>
    <row r="1986" spans="1:6" ht="18" customHeight="1">
      <c r="A1986" s="12" t="e">
        <f t="shared" si="26"/>
        <v>#N/A</v>
      </c>
      <c r="B1986" s="15" t="e">
        <f>VLOOKUP(D287,[1]국문!$1:$1048576,21,0)</f>
        <v>#N/A</v>
      </c>
      <c r="C1986" s="15"/>
      <c r="D1986" s="15"/>
      <c r="E1986" s="15"/>
      <c r="F1986" s="15"/>
    </row>
    <row r="1987" spans="1:6" ht="18" customHeight="1">
      <c r="A1987" s="12" t="e">
        <f t="shared" si="26"/>
        <v>#N/A</v>
      </c>
      <c r="B1987" s="15" t="e">
        <f>VLOOKUP(D288,[1]국문!$1:$1048576,21,0)</f>
        <v>#N/A</v>
      </c>
      <c r="C1987" s="15"/>
      <c r="D1987" s="15"/>
      <c r="E1987" s="15"/>
      <c r="F1987" s="15"/>
    </row>
    <row r="1988" spans="1:6" ht="18" customHeight="1">
      <c r="A1988" s="12" t="e">
        <f t="shared" si="26"/>
        <v>#N/A</v>
      </c>
      <c r="B1988" s="15" t="e">
        <f>VLOOKUP(D289,[1]국문!$1:$1048576,21,0)</f>
        <v>#N/A</v>
      </c>
      <c r="C1988" s="15"/>
      <c r="D1988" s="15"/>
      <c r="E1988" s="15"/>
      <c r="F1988" s="15"/>
    </row>
    <row r="1989" spans="1:6" ht="24" customHeight="1">
      <c r="A1989" s="12" t="e">
        <f t="shared" si="26"/>
        <v>#N/A</v>
      </c>
      <c r="B1989" s="15" t="e">
        <f>VLOOKUP(D262,[1]국문!$1:$1048576,21,0)</f>
        <v>#N/A</v>
      </c>
      <c r="C1989" s="15"/>
      <c r="D1989" s="15"/>
      <c r="E1989" s="15"/>
      <c r="F1989" s="15"/>
    </row>
    <row r="1990" spans="1:6" ht="24" customHeight="1">
      <c r="A1990" s="12" t="e">
        <f t="shared" si="26"/>
        <v>#N/A</v>
      </c>
      <c r="B1990" s="15" t="e">
        <f>VLOOKUP(D263,[1]국문!$1:$1048576,21,0)</f>
        <v>#N/A</v>
      </c>
      <c r="C1990" s="15"/>
      <c r="D1990" s="15"/>
      <c r="E1990" s="15"/>
      <c r="F1990" s="15"/>
    </row>
    <row r="1991" spans="1:6" ht="24" customHeight="1">
      <c r="A1991" s="12" t="e">
        <f t="shared" si="26"/>
        <v>#N/A</v>
      </c>
      <c r="B1991" s="15" t="e">
        <f>VLOOKUP(D264,[1]국문!$1:$1048576,21,0)</f>
        <v>#N/A</v>
      </c>
      <c r="C1991" s="15"/>
      <c r="D1991" s="15"/>
      <c r="E1991" s="15"/>
      <c r="F1991" s="15"/>
    </row>
    <row r="1992" spans="1:6" ht="24" customHeight="1">
      <c r="A1992" s="12" t="e">
        <f t="shared" si="26"/>
        <v>#N/A</v>
      </c>
      <c r="B1992" s="15" t="e">
        <f>VLOOKUP(D265,[1]국문!$1:$1048576,21,0)</f>
        <v>#N/A</v>
      </c>
      <c r="C1992" s="15"/>
      <c r="D1992" s="15"/>
      <c r="E1992" s="15"/>
      <c r="F1992" s="15"/>
    </row>
    <row r="1993" spans="1:6" ht="28.5" customHeight="1">
      <c r="A1993" s="12" t="e">
        <f t="shared" si="26"/>
        <v>#N/A</v>
      </c>
      <c r="B1993" s="15" t="e">
        <f>VLOOKUP(D266,[1]국문!$1:$1048576,21,0)</f>
        <v>#N/A</v>
      </c>
      <c r="C1993" s="15"/>
      <c r="D1993" s="15"/>
      <c r="E1993" s="15"/>
      <c r="F1993" s="15"/>
    </row>
    <row r="1994" spans="1:6" ht="24" customHeight="1">
      <c r="A1994" s="12" t="e">
        <f t="shared" si="26"/>
        <v>#N/A</v>
      </c>
      <c r="B1994" s="15" t="e">
        <f>VLOOKUP(D267,[1]국문!$1:$1048576,21,0)</f>
        <v>#N/A</v>
      </c>
      <c r="C1994" s="15"/>
      <c r="D1994" s="15"/>
      <c r="E1994" s="15"/>
      <c r="F1994" s="15"/>
    </row>
    <row r="1995" spans="1:6" ht="24" customHeight="1">
      <c r="A1995" s="12" t="e">
        <f t="shared" si="26"/>
        <v>#N/A</v>
      </c>
      <c r="B1995" s="15" t="e">
        <f>VLOOKUP(D268,[1]국문!$1:$1048576,21,0)</f>
        <v>#N/A</v>
      </c>
      <c r="C1995" s="15"/>
      <c r="D1995" s="15"/>
      <c r="E1995" s="15"/>
      <c r="F1995" s="15"/>
    </row>
    <row r="1996" spans="1:6" ht="24" customHeight="1">
      <c r="A1996" s="12" t="e">
        <f t="shared" si="26"/>
        <v>#N/A</v>
      </c>
      <c r="B1996" s="15" t="e">
        <f>VLOOKUP(D269,[1]국문!$1:$1048576,21,0)</f>
        <v>#N/A</v>
      </c>
      <c r="C1996" s="15"/>
      <c r="D1996" s="15"/>
      <c r="E1996" s="15"/>
      <c r="F1996" s="15"/>
    </row>
    <row r="1997" spans="1:6" ht="24" customHeight="1">
      <c r="A1997" s="12" t="e">
        <f t="shared" si="26"/>
        <v>#N/A</v>
      </c>
      <c r="B1997" s="15" t="e">
        <f>VLOOKUP(D270,[1]국문!$1:$1048576,21,0)</f>
        <v>#N/A</v>
      </c>
      <c r="C1997" s="15"/>
      <c r="D1997" s="15"/>
      <c r="E1997" s="15"/>
      <c r="F1997" s="15"/>
    </row>
    <row r="1998" spans="1:6" ht="24" customHeight="1">
      <c r="A1998" s="12" t="e">
        <f t="shared" si="26"/>
        <v>#N/A</v>
      </c>
      <c r="B1998" s="15" t="e">
        <f>VLOOKUP(D271,[1]국문!$1:$1048576,21,0)</f>
        <v>#N/A</v>
      </c>
      <c r="C1998" s="15"/>
      <c r="D1998" s="15"/>
      <c r="E1998" s="15"/>
      <c r="F1998" s="15"/>
    </row>
    <row r="1999" spans="1:6" ht="24" customHeight="1">
      <c r="A1999" s="12" t="e">
        <f t="shared" si="26"/>
        <v>#N/A</v>
      </c>
      <c r="B1999" s="15" t="e">
        <f>VLOOKUP(D272,[1]국문!$1:$1048576,21,0)</f>
        <v>#N/A</v>
      </c>
      <c r="C1999" s="15"/>
      <c r="D1999" s="15"/>
      <c r="E1999" s="15"/>
      <c r="F1999" s="15"/>
    </row>
    <row r="2000" spans="1:6" ht="24" customHeight="1">
      <c r="A2000" s="12" t="e">
        <f t="shared" si="26"/>
        <v>#N/A</v>
      </c>
      <c r="B2000" s="15" t="e">
        <f>VLOOKUP(D273,[1]국문!$1:$1048576,21,0)</f>
        <v>#N/A</v>
      </c>
      <c r="C2000" s="15"/>
      <c r="D2000" s="15"/>
      <c r="E2000" s="15"/>
      <c r="F2000" s="15"/>
    </row>
    <row r="2001" spans="1:6" ht="24" customHeight="1">
      <c r="A2001" s="12" t="e">
        <f t="shared" si="26"/>
        <v>#N/A</v>
      </c>
      <c r="B2001" s="15" t="e">
        <f>VLOOKUP(D274,[1]국문!$1:$1048576,21,0)</f>
        <v>#N/A</v>
      </c>
      <c r="C2001" s="15"/>
      <c r="D2001" s="15"/>
      <c r="E2001" s="15"/>
      <c r="F2001" s="15"/>
    </row>
    <row r="2002" spans="1:6" ht="24" customHeight="1">
      <c r="A2002" s="12" t="e">
        <f t="shared" si="26"/>
        <v>#N/A</v>
      </c>
      <c r="B2002" s="15" t="e">
        <f>VLOOKUP(D275,[1]국문!$1:$1048576,21,0)</f>
        <v>#N/A</v>
      </c>
      <c r="C2002" s="15"/>
      <c r="D2002" s="15"/>
      <c r="E2002" s="15"/>
      <c r="F2002" s="15"/>
    </row>
    <row r="2003" spans="1:6" ht="24" customHeight="1">
      <c r="A2003" s="12" t="e">
        <f t="shared" si="26"/>
        <v>#N/A</v>
      </c>
      <c r="B2003" s="15" t="e">
        <f>VLOOKUP(D276,[1]국문!$1:$1048576,21,0)</f>
        <v>#N/A</v>
      </c>
      <c r="C2003" s="15"/>
      <c r="D2003" s="15"/>
      <c r="E2003" s="15"/>
      <c r="F2003" s="15"/>
    </row>
    <row r="2004" spans="1:6" ht="24" customHeight="1">
      <c r="A2004" s="12" t="e">
        <f t="shared" si="26"/>
        <v>#N/A</v>
      </c>
      <c r="B2004" s="15" t="e">
        <f>VLOOKUP(D305,[1]국문!$1:$1048576,21,0)</f>
        <v>#N/A</v>
      </c>
      <c r="C2004" s="15"/>
      <c r="D2004" s="15"/>
      <c r="E2004" s="15"/>
      <c r="F2004" s="15"/>
    </row>
    <row r="2005" spans="1:6" ht="24" customHeight="1">
      <c r="A2005" s="12" t="e">
        <f t="shared" si="26"/>
        <v>#N/A</v>
      </c>
      <c r="B2005" s="15" t="e">
        <f>VLOOKUP(D306,[1]국문!$1:$1048576,21,0)</f>
        <v>#N/A</v>
      </c>
      <c r="C2005" s="15"/>
      <c r="D2005" s="15"/>
      <c r="E2005" s="15"/>
      <c r="F2005" s="15"/>
    </row>
    <row r="2006" spans="1:6" ht="24" customHeight="1">
      <c r="A2006" s="12" t="e">
        <f t="shared" si="26"/>
        <v>#N/A</v>
      </c>
      <c r="B2006" s="15" t="e">
        <f>VLOOKUP(D307,[1]국문!$1:$1048576,21,0)</f>
        <v>#N/A</v>
      </c>
      <c r="C2006" s="15"/>
      <c r="D2006" s="15"/>
      <c r="E2006" s="15"/>
      <c r="F2006" s="15"/>
    </row>
    <row r="2007" spans="1:6" ht="24" customHeight="1">
      <c r="A2007" s="12" t="e">
        <f t="shared" si="26"/>
        <v>#N/A</v>
      </c>
      <c r="B2007" s="15" t="e">
        <f>VLOOKUP(D308,[1]국문!$1:$1048576,21,0)</f>
        <v>#N/A</v>
      </c>
      <c r="C2007" s="15"/>
      <c r="D2007" s="15"/>
      <c r="E2007" s="15"/>
      <c r="F2007" s="15"/>
    </row>
    <row r="2008" spans="1:6" ht="24" customHeight="1">
      <c r="A2008" s="12" t="e">
        <f t="shared" si="26"/>
        <v>#N/A</v>
      </c>
      <c r="B2008" s="15" t="e">
        <f>VLOOKUP(D309,[1]국문!$1:$1048576,21,0)</f>
        <v>#N/A</v>
      </c>
      <c r="C2008" s="15"/>
      <c r="D2008" s="15"/>
      <c r="E2008" s="15"/>
      <c r="F2008" s="15"/>
    </row>
    <row r="2009" spans="1:6">
      <c r="A2009" s="12" t="e">
        <f t="shared" si="26"/>
        <v>#N/A</v>
      </c>
      <c r="B2009" s="15" t="e">
        <f>VLOOKUP(D310,[1]국문!$1:$1048576,21,0)</f>
        <v>#N/A</v>
      </c>
      <c r="C2009" s="15"/>
      <c r="D2009" s="15"/>
      <c r="E2009" s="15"/>
      <c r="F2009" s="15"/>
    </row>
    <row r="2010" spans="1:6" ht="18" customHeight="1">
      <c r="A2010" s="12" t="e">
        <f t="shared" si="26"/>
        <v>#N/A</v>
      </c>
      <c r="B2010" s="15" t="e">
        <f>VLOOKUP(D311,[1]국문!$1:$1048576,21,0)</f>
        <v>#N/A</v>
      </c>
      <c r="C2010" s="15"/>
      <c r="D2010" s="15"/>
      <c r="E2010" s="15"/>
      <c r="F2010" s="15"/>
    </row>
    <row r="2011" spans="1:6" ht="18" customHeight="1">
      <c r="A2011" s="12" t="e">
        <f t="shared" si="26"/>
        <v>#N/A</v>
      </c>
      <c r="B2011" s="15" t="e">
        <f>VLOOKUP(D312,[1]국문!$1:$1048576,21,0)</f>
        <v>#N/A</v>
      </c>
      <c r="C2011" s="15"/>
      <c r="D2011" s="15"/>
      <c r="E2011" s="15"/>
      <c r="F2011" s="15"/>
    </row>
    <row r="2012" spans="1:6" ht="18" customHeight="1">
      <c r="A2012" s="12" t="e">
        <f t="shared" si="26"/>
        <v>#N/A</v>
      </c>
      <c r="B2012" s="15" t="e">
        <f>VLOOKUP(D313,[1]국문!$1:$1048576,21,0)</f>
        <v>#N/A</v>
      </c>
      <c r="C2012" s="15"/>
      <c r="D2012" s="15"/>
      <c r="E2012" s="15"/>
      <c r="F2012" s="15"/>
    </row>
    <row r="2013" spans="1:6" ht="18" customHeight="1">
      <c r="A2013" s="12" t="e">
        <f t="shared" si="26"/>
        <v>#N/A</v>
      </c>
      <c r="B2013" s="15" t="e">
        <f>VLOOKUP(D314,[1]국문!$1:$1048576,21,0)</f>
        <v>#N/A</v>
      </c>
      <c r="C2013" s="15"/>
      <c r="D2013" s="15"/>
      <c r="E2013" s="15"/>
      <c r="F2013" s="15"/>
    </row>
    <row r="2014" spans="1:6">
      <c r="A2014" s="12" t="e">
        <f t="shared" si="26"/>
        <v>#N/A</v>
      </c>
      <c r="B2014" s="15" t="e">
        <f>VLOOKUP(D315,[1]국문!$1:$1048576,21,0)</f>
        <v>#N/A</v>
      </c>
      <c r="C2014" s="15"/>
      <c r="D2014" s="15"/>
      <c r="E2014" s="15"/>
      <c r="F2014" s="15"/>
    </row>
    <row r="2015" spans="1:6">
      <c r="A2015" s="12" t="e">
        <f t="shared" si="26"/>
        <v>#N/A</v>
      </c>
      <c r="B2015" s="15" t="e">
        <f>VLOOKUP(D316,[1]국문!$1:$1048576,21,0)</f>
        <v>#N/A</v>
      </c>
      <c r="C2015" s="15"/>
      <c r="D2015" s="15"/>
      <c r="E2015" s="15"/>
      <c r="F2015" s="15"/>
    </row>
    <row r="2016" spans="1:6">
      <c r="A2016" s="12" t="e">
        <f t="shared" si="26"/>
        <v>#N/A</v>
      </c>
      <c r="B2016" s="15" t="e">
        <f>VLOOKUP(D317,[1]국문!$1:$1048576,21,0)</f>
        <v>#N/A</v>
      </c>
      <c r="C2016" s="15"/>
      <c r="D2016" s="15"/>
      <c r="E2016" s="15"/>
      <c r="F2016" s="15"/>
    </row>
    <row r="2017" spans="1:6" ht="18" customHeight="1">
      <c r="A2017" s="12" t="e">
        <f t="shared" si="26"/>
        <v>#N/A</v>
      </c>
      <c r="B2017" s="15" t="e">
        <f>VLOOKUP(D318,[1]국문!$1:$1048576,21,0)</f>
        <v>#N/A</v>
      </c>
      <c r="C2017" s="15"/>
      <c r="D2017" s="15"/>
      <c r="E2017" s="15"/>
      <c r="F2017" s="15"/>
    </row>
    <row r="2018" spans="1:6" ht="18" customHeight="1">
      <c r="A2018" s="12" t="e">
        <f t="shared" ref="A2018:A2024" si="27">A326</f>
        <v>#N/A</v>
      </c>
      <c r="B2018" s="15" t="e">
        <f>VLOOKUP(D319,[1]국문!$1:$1048576,21,0)</f>
        <v>#N/A</v>
      </c>
      <c r="C2018" s="15"/>
      <c r="D2018" s="15"/>
      <c r="E2018" s="15"/>
      <c r="F2018" s="15"/>
    </row>
    <row r="2019" spans="1:6" ht="18" customHeight="1">
      <c r="A2019" s="12" t="e">
        <f t="shared" si="27"/>
        <v>#N/A</v>
      </c>
      <c r="B2019" s="15" t="e">
        <f>VLOOKUP(D320,[1]국문!$1:$1048576,21,0)</f>
        <v>#N/A</v>
      </c>
      <c r="C2019" s="15"/>
      <c r="D2019" s="15"/>
      <c r="E2019" s="15"/>
      <c r="F2019" s="15"/>
    </row>
    <row r="2020" spans="1:6" ht="18" customHeight="1">
      <c r="A2020" s="12" t="e">
        <f t="shared" si="27"/>
        <v>#N/A</v>
      </c>
      <c r="B2020" s="15" t="e">
        <f>VLOOKUP(D321,[1]국문!$1:$1048576,21,0)</f>
        <v>#N/A</v>
      </c>
      <c r="C2020" s="15"/>
      <c r="D2020" s="15"/>
      <c r="E2020" s="15"/>
      <c r="F2020" s="15"/>
    </row>
    <row r="2021" spans="1:6" ht="18" customHeight="1">
      <c r="A2021" s="12" t="e">
        <f t="shared" si="27"/>
        <v>#N/A</v>
      </c>
      <c r="B2021" s="15" t="e">
        <f>VLOOKUP(D322,[1]국문!$1:$1048576,21,0)</f>
        <v>#N/A</v>
      </c>
      <c r="C2021" s="15"/>
      <c r="D2021" s="15"/>
      <c r="E2021" s="15"/>
      <c r="F2021" s="15"/>
    </row>
    <row r="2022" spans="1:6" ht="18" customHeight="1">
      <c r="A2022" s="12" t="e">
        <f t="shared" si="27"/>
        <v>#N/A</v>
      </c>
      <c r="B2022" s="15" t="e">
        <f>VLOOKUP(D323,[1]국문!$1:$1048576,21,0)</f>
        <v>#N/A</v>
      </c>
      <c r="C2022" s="15"/>
      <c r="D2022" s="15"/>
      <c r="E2022" s="15"/>
      <c r="F2022" s="15"/>
    </row>
    <row r="2023" spans="1:6" ht="18" customHeight="1">
      <c r="A2023" s="12" t="e">
        <f t="shared" si="27"/>
        <v>#N/A</v>
      </c>
      <c r="B2023" s="15" t="e">
        <f>VLOOKUP(D324,[1]국문!$1:$1048576,21,0)</f>
        <v>#N/A</v>
      </c>
      <c r="C2023" s="15"/>
      <c r="D2023" s="15"/>
      <c r="E2023" s="15"/>
      <c r="F2023" s="15"/>
    </row>
    <row r="2024" spans="1:6" ht="18" customHeight="1">
      <c r="A2024" s="12" t="e">
        <f t="shared" si="27"/>
        <v>#N/A</v>
      </c>
      <c r="B2024" s="15" t="e">
        <f>VLOOKUP(D325,[1]국문!$1:$1048576,21,0)</f>
        <v>#N/A</v>
      </c>
      <c r="C2024" s="15"/>
      <c r="D2024" s="15"/>
      <c r="E2024" s="15"/>
      <c r="F2024" s="15"/>
    </row>
    <row r="2025" spans="1:6" ht="18" customHeight="1">
      <c r="A2025" s="12" t="s">
        <v>55</v>
      </c>
      <c r="B2025" s="15"/>
      <c r="C2025" s="15"/>
      <c r="D2025" s="15"/>
      <c r="E2025" s="15"/>
      <c r="F2025" s="15"/>
    </row>
    <row r="2026" spans="1:6" ht="24" customHeight="1">
      <c r="A2026" s="12" t="e">
        <f>A133</f>
        <v>#N/A</v>
      </c>
      <c r="B2026" s="15" t="e">
        <f>VLOOKUP(D95,[1]국문!$1:$1048576,22,0)</f>
        <v>#N/A</v>
      </c>
      <c r="C2026" s="15"/>
      <c r="D2026" s="15"/>
      <c r="E2026" s="15"/>
      <c r="F2026" s="15"/>
    </row>
    <row r="2027" spans="1:6" ht="24" customHeight="1">
      <c r="A2027" s="12" t="e">
        <f t="shared" ref="A2027:A2090" si="28">A134</f>
        <v>#N/A</v>
      </c>
      <c r="B2027" s="15" t="e">
        <f>VLOOKUP(D96,[1]국문!$1:$1048576,22,0)</f>
        <v>#N/A</v>
      </c>
      <c r="C2027" s="15"/>
      <c r="D2027" s="15"/>
      <c r="E2027" s="15"/>
      <c r="F2027" s="15"/>
    </row>
    <row r="2028" spans="1:6" ht="24" customHeight="1">
      <c r="A2028" s="12" t="e">
        <f t="shared" si="28"/>
        <v>#N/A</v>
      </c>
      <c r="B2028" s="15" t="e">
        <f>VLOOKUP(D97,[1]국문!$1:$1048576,22,0)</f>
        <v>#N/A</v>
      </c>
      <c r="C2028" s="15"/>
      <c r="D2028" s="15"/>
      <c r="E2028" s="15"/>
      <c r="F2028" s="15"/>
    </row>
    <row r="2029" spans="1:6" ht="24" customHeight="1">
      <c r="A2029" s="12" t="e">
        <f t="shared" si="28"/>
        <v>#N/A</v>
      </c>
      <c r="B2029" s="15" t="e">
        <f>VLOOKUP(D98,[1]국문!$1:$1048576,22,0)</f>
        <v>#N/A</v>
      </c>
      <c r="C2029" s="15"/>
      <c r="D2029" s="15"/>
      <c r="E2029" s="15"/>
      <c r="F2029" s="15"/>
    </row>
    <row r="2030" spans="1:6" ht="24" customHeight="1">
      <c r="A2030" s="12" t="e">
        <f t="shared" si="28"/>
        <v>#N/A</v>
      </c>
      <c r="B2030" s="15" t="e">
        <f>VLOOKUP(D99,[1]국문!$1:$1048576,22,0)</f>
        <v>#N/A</v>
      </c>
      <c r="C2030" s="15"/>
      <c r="D2030" s="15"/>
      <c r="E2030" s="15"/>
      <c r="F2030" s="15"/>
    </row>
    <row r="2031" spans="1:6" ht="24" customHeight="1">
      <c r="A2031" s="12" t="e">
        <f t="shared" si="28"/>
        <v>#N/A</v>
      </c>
      <c r="B2031" s="15" t="e">
        <f>VLOOKUP(D100,[1]국문!$1:$1048576,22,0)</f>
        <v>#N/A</v>
      </c>
      <c r="C2031" s="15"/>
      <c r="D2031" s="15"/>
      <c r="E2031" s="15"/>
      <c r="F2031" s="15"/>
    </row>
    <row r="2032" spans="1:6" ht="24" customHeight="1">
      <c r="A2032" s="12" t="e">
        <f t="shared" si="28"/>
        <v>#N/A</v>
      </c>
      <c r="B2032" s="15" t="e">
        <f>VLOOKUP(D101,[1]국문!$1:$1048576,22,0)</f>
        <v>#N/A</v>
      </c>
      <c r="C2032" s="15"/>
      <c r="D2032" s="15"/>
      <c r="E2032" s="15"/>
      <c r="F2032" s="15"/>
    </row>
    <row r="2033" spans="1:6" ht="33" customHeight="1">
      <c r="A2033" s="12" t="e">
        <f t="shared" si="28"/>
        <v>#N/A</v>
      </c>
      <c r="B2033" s="15" t="e">
        <f>VLOOKUP(D102,[1]국문!$1:$1048576,22,0)</f>
        <v>#N/A</v>
      </c>
      <c r="C2033" s="15"/>
      <c r="D2033" s="15"/>
      <c r="E2033" s="15"/>
      <c r="F2033" s="15"/>
    </row>
    <row r="2034" spans="1:6" ht="24" customHeight="1">
      <c r="A2034" s="12" t="e">
        <f t="shared" si="28"/>
        <v>#N/A</v>
      </c>
      <c r="B2034" s="15" t="e">
        <f>VLOOKUP(D103,[1]국문!$1:$1048576,22,0)</f>
        <v>#N/A</v>
      </c>
      <c r="C2034" s="15"/>
      <c r="D2034" s="15"/>
      <c r="E2034" s="15"/>
      <c r="F2034" s="15"/>
    </row>
    <row r="2035" spans="1:6" ht="24" customHeight="1">
      <c r="A2035" s="12" t="e">
        <f t="shared" si="28"/>
        <v>#N/A</v>
      </c>
      <c r="B2035" s="15" t="e">
        <f>VLOOKUP(D104,[1]국문!$1:$1048576,22,0)</f>
        <v>#N/A</v>
      </c>
      <c r="C2035" s="15"/>
      <c r="D2035" s="15"/>
      <c r="E2035" s="15"/>
      <c r="F2035" s="15"/>
    </row>
    <row r="2036" spans="1:6" ht="24" customHeight="1">
      <c r="A2036" s="12" t="e">
        <f t="shared" si="28"/>
        <v>#N/A</v>
      </c>
      <c r="B2036" s="15" t="e">
        <f>VLOOKUP(D105,[1]국문!$1:$1048576,22,0)</f>
        <v>#N/A</v>
      </c>
      <c r="C2036" s="15"/>
      <c r="D2036" s="15"/>
      <c r="E2036" s="15"/>
      <c r="F2036" s="15"/>
    </row>
    <row r="2037" spans="1:6" ht="24" customHeight="1">
      <c r="A2037" s="12" t="e">
        <f t="shared" si="28"/>
        <v>#N/A</v>
      </c>
      <c r="B2037" s="15" t="e">
        <f>VLOOKUP(D106,[1]국문!$1:$1048576,22,0)</f>
        <v>#N/A</v>
      </c>
      <c r="C2037" s="15"/>
      <c r="D2037" s="15"/>
      <c r="E2037" s="15"/>
      <c r="F2037" s="15"/>
    </row>
    <row r="2038" spans="1:6" ht="24" customHeight="1">
      <c r="A2038" s="12" t="e">
        <f t="shared" si="28"/>
        <v>#N/A</v>
      </c>
      <c r="B2038" s="15" t="e">
        <f>VLOOKUP(D107,[1]국문!$1:$1048576,22,0)</f>
        <v>#N/A</v>
      </c>
      <c r="C2038" s="15"/>
      <c r="D2038" s="15"/>
      <c r="E2038" s="15"/>
      <c r="F2038" s="15"/>
    </row>
    <row r="2039" spans="1:6" ht="24" customHeight="1">
      <c r="A2039" s="12" t="e">
        <f t="shared" si="28"/>
        <v>#N/A</v>
      </c>
      <c r="B2039" s="15" t="e">
        <f>VLOOKUP(D108,[1]국문!$1:$1048576,22,0)</f>
        <v>#N/A</v>
      </c>
      <c r="C2039" s="15"/>
      <c r="D2039" s="15"/>
      <c r="E2039" s="15"/>
      <c r="F2039" s="15"/>
    </row>
    <row r="2040" spans="1:6" ht="24" customHeight="1">
      <c r="A2040" s="12" t="e">
        <f t="shared" si="28"/>
        <v>#N/A</v>
      </c>
      <c r="B2040" s="15" t="e">
        <f>VLOOKUP(D109,[1]국문!$1:$1048576,22,0)</f>
        <v>#N/A</v>
      </c>
      <c r="C2040" s="15"/>
      <c r="D2040" s="15"/>
      <c r="E2040" s="15"/>
      <c r="F2040" s="15"/>
    </row>
    <row r="2041" spans="1:6" ht="24" customHeight="1">
      <c r="A2041" s="12" t="e">
        <f t="shared" si="28"/>
        <v>#N/A</v>
      </c>
      <c r="B2041" s="15" t="e">
        <f>VLOOKUP(D138,[1]국문!$1:$1048576,22,0)</f>
        <v>#N/A</v>
      </c>
      <c r="C2041" s="15"/>
      <c r="D2041" s="15"/>
      <c r="E2041" s="15"/>
      <c r="F2041" s="15"/>
    </row>
    <row r="2042" spans="1:6" ht="24" customHeight="1">
      <c r="A2042" s="12" t="e">
        <f t="shared" si="28"/>
        <v>#N/A</v>
      </c>
      <c r="B2042" s="15" t="e">
        <f>VLOOKUP(D139,[1]국문!$1:$1048576,22,0)</f>
        <v>#N/A</v>
      </c>
      <c r="C2042" s="15"/>
      <c r="D2042" s="15"/>
      <c r="E2042" s="15"/>
      <c r="F2042" s="15"/>
    </row>
    <row r="2043" spans="1:6" ht="24" customHeight="1">
      <c r="A2043" s="12" t="e">
        <f t="shared" si="28"/>
        <v>#N/A</v>
      </c>
      <c r="B2043" s="15" t="e">
        <f>VLOOKUP(D140,[1]국문!$1:$1048576,22,0)</f>
        <v>#N/A</v>
      </c>
      <c r="C2043" s="15"/>
      <c r="D2043" s="15"/>
      <c r="E2043" s="15"/>
      <c r="F2043" s="15"/>
    </row>
    <row r="2044" spans="1:6" ht="24" customHeight="1">
      <c r="A2044" s="12" t="e">
        <f t="shared" si="28"/>
        <v>#N/A</v>
      </c>
      <c r="B2044" s="15" t="e">
        <f>VLOOKUP(D141,[1]국문!$1:$1048576,22,0)</f>
        <v>#N/A</v>
      </c>
      <c r="C2044" s="15"/>
      <c r="D2044" s="15"/>
      <c r="E2044" s="15"/>
      <c r="F2044" s="15"/>
    </row>
    <row r="2045" spans="1:6" ht="18" customHeight="1">
      <c r="A2045" s="12" t="e">
        <f t="shared" si="28"/>
        <v>#N/A</v>
      </c>
      <c r="B2045" s="15" t="e">
        <f>VLOOKUP(D142,[1]국문!$1:$1048576,22,0)</f>
        <v>#N/A</v>
      </c>
      <c r="C2045" s="15"/>
      <c r="D2045" s="15"/>
      <c r="E2045" s="15"/>
      <c r="F2045" s="15"/>
    </row>
    <row r="2046" spans="1:6" ht="13.5" customHeight="1">
      <c r="A2046" s="12" t="e">
        <f t="shared" si="28"/>
        <v>#N/A</v>
      </c>
      <c r="B2046" s="15" t="e">
        <f>VLOOKUP(D143,[1]국문!$1:$1048576,22,0)</f>
        <v>#N/A</v>
      </c>
      <c r="C2046" s="15"/>
      <c r="D2046" s="15"/>
      <c r="E2046" s="15"/>
      <c r="F2046" s="15"/>
    </row>
    <row r="2047" spans="1:6" ht="18" customHeight="1">
      <c r="A2047" s="12" t="e">
        <f t="shared" si="28"/>
        <v>#N/A</v>
      </c>
      <c r="B2047" s="15" t="e">
        <f>VLOOKUP(D144,[1]국문!$1:$1048576,22,0)</f>
        <v>#N/A</v>
      </c>
      <c r="C2047" s="15"/>
      <c r="D2047" s="15"/>
      <c r="E2047" s="15"/>
      <c r="F2047" s="15"/>
    </row>
    <row r="2048" spans="1:6" ht="18" customHeight="1">
      <c r="A2048" s="12" t="e">
        <f t="shared" si="28"/>
        <v>#N/A</v>
      </c>
      <c r="B2048" s="15" t="e">
        <f>VLOOKUP(D145,[1]국문!$1:$1048576,22,0)</f>
        <v>#N/A</v>
      </c>
      <c r="C2048" s="15"/>
      <c r="D2048" s="15"/>
      <c r="E2048" s="15"/>
      <c r="F2048" s="15"/>
    </row>
    <row r="2049" spans="1:6" ht="18" customHeight="1">
      <c r="A2049" s="12" t="e">
        <f t="shared" si="28"/>
        <v>#N/A</v>
      </c>
      <c r="B2049" s="15" t="e">
        <f>VLOOKUP(D146,[1]국문!$1:$1048576,22,0)</f>
        <v>#N/A</v>
      </c>
      <c r="C2049" s="15"/>
      <c r="D2049" s="15"/>
      <c r="E2049" s="15"/>
      <c r="F2049" s="15"/>
    </row>
    <row r="2050" spans="1:6" ht="18" customHeight="1">
      <c r="A2050" s="12" t="e">
        <f t="shared" si="28"/>
        <v>#N/A</v>
      </c>
      <c r="B2050" s="15" t="e">
        <f>VLOOKUP(D147,[1]국문!$1:$1048576,22,0)</f>
        <v>#N/A</v>
      </c>
      <c r="C2050" s="15"/>
      <c r="D2050" s="15"/>
      <c r="E2050" s="15"/>
      <c r="F2050" s="15"/>
    </row>
    <row r="2051" spans="1:6" ht="13.5" customHeight="1">
      <c r="A2051" s="12" t="e">
        <f t="shared" si="28"/>
        <v>#N/A</v>
      </c>
      <c r="B2051" s="15" t="e">
        <f>VLOOKUP(D148,[1]국문!$1:$1048576,22,0)</f>
        <v>#N/A</v>
      </c>
      <c r="C2051" s="15"/>
      <c r="D2051" s="15"/>
      <c r="E2051" s="15"/>
      <c r="F2051" s="15"/>
    </row>
    <row r="2052" spans="1:6" ht="13.5" customHeight="1">
      <c r="A2052" s="12" t="e">
        <f t="shared" si="28"/>
        <v>#N/A</v>
      </c>
      <c r="B2052" s="15" t="e">
        <f>VLOOKUP(D149,[1]국문!$1:$1048576,22,0)</f>
        <v>#N/A</v>
      </c>
      <c r="C2052" s="15"/>
      <c r="D2052" s="15"/>
      <c r="E2052" s="15"/>
      <c r="F2052" s="15"/>
    </row>
    <row r="2053" spans="1:6" ht="13.5" customHeight="1">
      <c r="A2053" s="12" t="e">
        <f t="shared" si="28"/>
        <v>#N/A</v>
      </c>
      <c r="B2053" s="15" t="e">
        <f>VLOOKUP(D150,[1]국문!$1:$1048576,22,0)</f>
        <v>#N/A</v>
      </c>
      <c r="C2053" s="15"/>
      <c r="D2053" s="15"/>
      <c r="E2053" s="15"/>
      <c r="F2053" s="15"/>
    </row>
    <row r="2054" spans="1:6" ht="18" customHeight="1">
      <c r="A2054" s="12" t="e">
        <f t="shared" si="28"/>
        <v>#N/A</v>
      </c>
      <c r="B2054" s="15" t="e">
        <f>VLOOKUP(D151,[1]국문!$1:$1048576,22,0)</f>
        <v>#N/A</v>
      </c>
      <c r="C2054" s="15"/>
      <c r="D2054" s="15"/>
      <c r="E2054" s="15"/>
      <c r="F2054" s="15"/>
    </row>
    <row r="2055" spans="1:6" ht="18" customHeight="1">
      <c r="A2055" s="12" t="e">
        <f t="shared" si="28"/>
        <v>#N/A</v>
      </c>
      <c r="B2055" s="15" t="e">
        <f>VLOOKUP(D152,[1]국문!$1:$1048576,22,0)</f>
        <v>#N/A</v>
      </c>
      <c r="C2055" s="15"/>
      <c r="D2055" s="15"/>
      <c r="E2055" s="15"/>
      <c r="F2055" s="15"/>
    </row>
    <row r="2056" spans="1:6" ht="18" customHeight="1">
      <c r="A2056" s="12" t="e">
        <f t="shared" si="28"/>
        <v>#N/A</v>
      </c>
      <c r="B2056" s="15" t="e">
        <f>VLOOKUP(D153,[1]국문!$1:$1048576,22,0)</f>
        <v>#N/A</v>
      </c>
      <c r="C2056" s="15"/>
      <c r="D2056" s="15"/>
      <c r="E2056" s="15"/>
      <c r="F2056" s="15"/>
    </row>
    <row r="2057" spans="1:6" ht="18" customHeight="1">
      <c r="A2057" s="12" t="e">
        <f t="shared" si="28"/>
        <v>#N/A</v>
      </c>
      <c r="B2057" s="15" t="e">
        <f>VLOOKUP(D154,[1]국문!$1:$1048576,22,0)</f>
        <v>#N/A</v>
      </c>
      <c r="C2057" s="15"/>
      <c r="D2057" s="15"/>
      <c r="E2057" s="15"/>
      <c r="F2057" s="15"/>
    </row>
    <row r="2058" spans="1:6" ht="18" customHeight="1">
      <c r="A2058" s="12" t="e">
        <f t="shared" si="28"/>
        <v>#N/A</v>
      </c>
      <c r="B2058" s="15" t="e">
        <f>VLOOKUP(D155,[1]국문!$1:$1048576,22,0)</f>
        <v>#N/A</v>
      </c>
      <c r="C2058" s="15"/>
      <c r="D2058" s="15"/>
      <c r="E2058" s="15"/>
      <c r="F2058" s="15"/>
    </row>
    <row r="2059" spans="1:6" ht="24" customHeight="1">
      <c r="A2059" s="12" t="e">
        <f t="shared" si="28"/>
        <v>#N/A</v>
      </c>
      <c r="B2059" s="15" t="e">
        <f>VLOOKUP(D128,[1]국문!$1:$1048576,22,0)</f>
        <v>#N/A</v>
      </c>
      <c r="C2059" s="15"/>
      <c r="D2059" s="15"/>
      <c r="E2059" s="15"/>
      <c r="F2059" s="15"/>
    </row>
    <row r="2060" spans="1:6" ht="24" customHeight="1">
      <c r="A2060" s="12" t="e">
        <f t="shared" si="28"/>
        <v>#N/A</v>
      </c>
      <c r="B2060" s="15" t="e">
        <f>VLOOKUP(D129,[1]국문!$1:$1048576,22,0)</f>
        <v>#N/A</v>
      </c>
      <c r="C2060" s="15"/>
      <c r="D2060" s="15"/>
      <c r="E2060" s="15"/>
      <c r="F2060" s="15"/>
    </row>
    <row r="2061" spans="1:6" ht="24" customHeight="1">
      <c r="A2061" s="12" t="e">
        <f t="shared" si="28"/>
        <v>#N/A</v>
      </c>
      <c r="B2061" s="15" t="e">
        <f>VLOOKUP(D130,[1]국문!$1:$1048576,22,0)</f>
        <v>#N/A</v>
      </c>
      <c r="C2061" s="15"/>
      <c r="D2061" s="15"/>
      <c r="E2061" s="15"/>
      <c r="F2061" s="15"/>
    </row>
    <row r="2062" spans="1:6" ht="24" customHeight="1">
      <c r="A2062" s="12" t="e">
        <f t="shared" si="28"/>
        <v>#N/A</v>
      </c>
      <c r="B2062" s="15" t="e">
        <f>VLOOKUP(D131,[1]국문!$1:$1048576,22,0)</f>
        <v>#N/A</v>
      </c>
      <c r="C2062" s="15"/>
      <c r="D2062" s="15"/>
      <c r="E2062" s="15"/>
      <c r="F2062" s="15"/>
    </row>
    <row r="2063" spans="1:6" ht="24" customHeight="1">
      <c r="A2063" s="12" t="e">
        <f t="shared" si="28"/>
        <v>#N/A</v>
      </c>
      <c r="B2063" s="15" t="e">
        <f>VLOOKUP(D132,[1]국문!$1:$1048576,22,0)</f>
        <v>#N/A</v>
      </c>
      <c r="C2063" s="15"/>
      <c r="D2063" s="15"/>
      <c r="E2063" s="15"/>
      <c r="F2063" s="15"/>
    </row>
    <row r="2064" spans="1:6" ht="24" customHeight="1">
      <c r="A2064" s="12" t="e">
        <f t="shared" si="28"/>
        <v>#N/A</v>
      </c>
      <c r="B2064" s="15" t="e">
        <f>VLOOKUP(D133,[1]국문!$1:$1048576,22,0)</f>
        <v>#N/A</v>
      </c>
      <c r="C2064" s="15"/>
      <c r="D2064" s="15"/>
      <c r="E2064" s="15"/>
      <c r="F2064" s="15"/>
    </row>
    <row r="2065" spans="1:6" ht="24" customHeight="1">
      <c r="A2065" s="12" t="e">
        <f t="shared" si="28"/>
        <v>#N/A</v>
      </c>
      <c r="B2065" s="15" t="e">
        <f>VLOOKUP(D134,[1]국문!$1:$1048576,22,0)</f>
        <v>#N/A</v>
      </c>
      <c r="C2065" s="15"/>
      <c r="D2065" s="15"/>
      <c r="E2065" s="15"/>
      <c r="F2065" s="15"/>
    </row>
    <row r="2066" spans="1:6" ht="33" customHeight="1">
      <c r="A2066" s="12" t="e">
        <f t="shared" si="28"/>
        <v>#N/A</v>
      </c>
      <c r="B2066" s="15" t="e">
        <f>VLOOKUP(D135,[1]국문!$1:$1048576,22,0)</f>
        <v>#N/A</v>
      </c>
      <c r="C2066" s="15"/>
      <c r="D2066" s="15"/>
      <c r="E2066" s="15"/>
      <c r="F2066" s="15"/>
    </row>
    <row r="2067" spans="1:6" ht="24" customHeight="1">
      <c r="A2067" s="12" t="e">
        <f t="shared" si="28"/>
        <v>#N/A</v>
      </c>
      <c r="B2067" s="15" t="e">
        <f>VLOOKUP(D136,[1]국문!$1:$1048576,22,0)</f>
        <v>#N/A</v>
      </c>
      <c r="C2067" s="15"/>
      <c r="D2067" s="15"/>
      <c r="E2067" s="15"/>
      <c r="F2067" s="15"/>
    </row>
    <row r="2068" spans="1:6" ht="24" customHeight="1">
      <c r="A2068" s="12" t="e">
        <f t="shared" si="28"/>
        <v>#N/A</v>
      </c>
      <c r="B2068" s="15" t="e">
        <f>VLOOKUP(D137,[1]국문!$1:$1048576,22,0)</f>
        <v>#N/A</v>
      </c>
      <c r="C2068" s="15"/>
      <c r="D2068" s="15"/>
      <c r="E2068" s="15"/>
      <c r="F2068" s="15"/>
    </row>
    <row r="2069" spans="1:6" ht="24" customHeight="1">
      <c r="A2069" s="12" t="e">
        <f t="shared" si="28"/>
        <v>#N/A</v>
      </c>
      <c r="B2069" s="15" t="e">
        <f>VLOOKUP(D138,[1]국문!$1:$1048576,22,0)</f>
        <v>#N/A</v>
      </c>
      <c r="C2069" s="15"/>
      <c r="D2069" s="15"/>
      <c r="E2069" s="15"/>
      <c r="F2069" s="15"/>
    </row>
    <row r="2070" spans="1:6" ht="24" customHeight="1">
      <c r="A2070" s="12" t="e">
        <f t="shared" si="28"/>
        <v>#N/A</v>
      </c>
      <c r="B2070" s="15" t="e">
        <f>VLOOKUP(D139,[1]국문!$1:$1048576,22,0)</f>
        <v>#N/A</v>
      </c>
      <c r="C2070" s="15"/>
      <c r="D2070" s="15"/>
      <c r="E2070" s="15"/>
      <c r="F2070" s="15"/>
    </row>
    <row r="2071" spans="1:6" ht="24" customHeight="1">
      <c r="A2071" s="12" t="e">
        <f t="shared" si="28"/>
        <v>#N/A</v>
      </c>
      <c r="B2071" s="15" t="e">
        <f>VLOOKUP(D140,[1]국문!$1:$1048576,22,0)</f>
        <v>#N/A</v>
      </c>
      <c r="C2071" s="15"/>
      <c r="D2071" s="15"/>
      <c r="E2071" s="15"/>
      <c r="F2071" s="15"/>
    </row>
    <row r="2072" spans="1:6" ht="24" customHeight="1">
      <c r="A2072" s="12" t="e">
        <f t="shared" si="28"/>
        <v>#N/A</v>
      </c>
      <c r="B2072" s="15" t="e">
        <f>VLOOKUP(D141,[1]국문!$1:$1048576,22,0)</f>
        <v>#N/A</v>
      </c>
      <c r="C2072" s="15"/>
      <c r="D2072" s="15"/>
      <c r="E2072" s="15"/>
      <c r="F2072" s="15"/>
    </row>
    <row r="2073" spans="1:6" ht="24" customHeight="1">
      <c r="A2073" s="12" t="e">
        <f t="shared" si="28"/>
        <v>#N/A</v>
      </c>
      <c r="B2073" s="15" t="e">
        <f>VLOOKUP(D142,[1]국문!$1:$1048576,22,0)</f>
        <v>#N/A</v>
      </c>
      <c r="C2073" s="15"/>
      <c r="D2073" s="15"/>
      <c r="E2073" s="15"/>
      <c r="F2073" s="15"/>
    </row>
    <row r="2074" spans="1:6" ht="24" customHeight="1">
      <c r="A2074" s="12" t="e">
        <f t="shared" si="28"/>
        <v>#N/A</v>
      </c>
      <c r="B2074" s="15" t="e">
        <f>VLOOKUP(D171,[1]국문!$1:$1048576,22,0)</f>
        <v>#N/A</v>
      </c>
      <c r="C2074" s="15"/>
      <c r="D2074" s="15"/>
      <c r="E2074" s="15"/>
      <c r="F2074" s="15"/>
    </row>
    <row r="2075" spans="1:6" ht="24" customHeight="1">
      <c r="A2075" s="12" t="e">
        <f t="shared" si="28"/>
        <v>#N/A</v>
      </c>
      <c r="B2075" s="15" t="e">
        <f>VLOOKUP(D172,[1]국문!$1:$1048576,22,0)</f>
        <v>#N/A</v>
      </c>
      <c r="C2075" s="15"/>
      <c r="D2075" s="15"/>
      <c r="E2075" s="15"/>
      <c r="F2075" s="15"/>
    </row>
    <row r="2076" spans="1:6" ht="24" customHeight="1">
      <c r="A2076" s="12" t="e">
        <f t="shared" si="28"/>
        <v>#N/A</v>
      </c>
      <c r="B2076" s="15" t="e">
        <f>VLOOKUP(D173,[1]국문!$1:$1048576,22,0)</f>
        <v>#N/A</v>
      </c>
      <c r="C2076" s="15"/>
      <c r="D2076" s="15"/>
      <c r="E2076" s="15"/>
      <c r="F2076" s="15"/>
    </row>
    <row r="2077" spans="1:6" ht="24" customHeight="1">
      <c r="A2077" s="12" t="e">
        <f t="shared" si="28"/>
        <v>#N/A</v>
      </c>
      <c r="B2077" s="15" t="e">
        <f>VLOOKUP(D174,[1]국문!$1:$1048576,22,0)</f>
        <v>#N/A</v>
      </c>
      <c r="C2077" s="15"/>
      <c r="D2077" s="15"/>
      <c r="E2077" s="15"/>
      <c r="F2077" s="15"/>
    </row>
    <row r="2078" spans="1:6" ht="18" customHeight="1">
      <c r="A2078" s="12" t="e">
        <f t="shared" si="28"/>
        <v>#N/A</v>
      </c>
      <c r="B2078" s="15" t="e">
        <f>VLOOKUP(D175,[1]국문!$1:$1048576,22,0)</f>
        <v>#N/A</v>
      </c>
      <c r="C2078" s="15"/>
      <c r="D2078" s="15"/>
      <c r="E2078" s="15"/>
      <c r="F2078" s="15"/>
    </row>
    <row r="2079" spans="1:6" ht="13.5" customHeight="1">
      <c r="A2079" s="12" t="e">
        <f t="shared" si="28"/>
        <v>#N/A</v>
      </c>
      <c r="B2079" s="15" t="e">
        <f>VLOOKUP(D176,[1]국문!$1:$1048576,22,0)</f>
        <v>#N/A</v>
      </c>
      <c r="C2079" s="15"/>
      <c r="D2079" s="15"/>
      <c r="E2079" s="15"/>
      <c r="F2079" s="15"/>
    </row>
    <row r="2080" spans="1:6" ht="18" customHeight="1">
      <c r="A2080" s="12" t="e">
        <f t="shared" si="28"/>
        <v>#N/A</v>
      </c>
      <c r="B2080" s="15" t="e">
        <f>VLOOKUP(D177,[1]국문!$1:$1048576,22,0)</f>
        <v>#N/A</v>
      </c>
      <c r="C2080" s="15"/>
      <c r="D2080" s="15"/>
      <c r="E2080" s="15"/>
      <c r="F2080" s="15"/>
    </row>
    <row r="2081" spans="1:6" ht="18" customHeight="1">
      <c r="A2081" s="12" t="e">
        <f t="shared" si="28"/>
        <v>#N/A</v>
      </c>
      <c r="B2081" s="15" t="e">
        <f>VLOOKUP(D178,[1]국문!$1:$1048576,22,0)</f>
        <v>#N/A</v>
      </c>
      <c r="C2081" s="15"/>
      <c r="D2081" s="15"/>
      <c r="E2081" s="15"/>
      <c r="F2081" s="15"/>
    </row>
    <row r="2082" spans="1:6" ht="18" customHeight="1">
      <c r="A2082" s="12" t="e">
        <f t="shared" si="28"/>
        <v>#N/A</v>
      </c>
      <c r="B2082" s="15" t="e">
        <f>VLOOKUP(D179,[1]국문!$1:$1048576,22,0)</f>
        <v>#N/A</v>
      </c>
      <c r="C2082" s="15"/>
      <c r="D2082" s="15"/>
      <c r="E2082" s="15"/>
      <c r="F2082" s="15"/>
    </row>
    <row r="2083" spans="1:6" ht="18" customHeight="1">
      <c r="A2083" s="12" t="e">
        <f t="shared" si="28"/>
        <v>#N/A</v>
      </c>
      <c r="B2083" s="15" t="e">
        <f>VLOOKUP(D180,[1]국문!$1:$1048576,22,0)</f>
        <v>#N/A</v>
      </c>
      <c r="C2083" s="15"/>
      <c r="D2083" s="15"/>
      <c r="E2083" s="15"/>
      <c r="F2083" s="15"/>
    </row>
    <row r="2084" spans="1:6" ht="13.5" customHeight="1">
      <c r="A2084" s="12" t="e">
        <f t="shared" si="28"/>
        <v>#N/A</v>
      </c>
      <c r="B2084" s="15" t="e">
        <f>VLOOKUP(D181,[1]국문!$1:$1048576,22,0)</f>
        <v>#N/A</v>
      </c>
      <c r="C2084" s="15"/>
      <c r="D2084" s="15"/>
      <c r="E2084" s="15"/>
      <c r="F2084" s="15"/>
    </row>
    <row r="2085" spans="1:6" ht="13.5" customHeight="1">
      <c r="A2085" s="12" t="e">
        <f t="shared" si="28"/>
        <v>#N/A</v>
      </c>
      <c r="B2085" s="15" t="e">
        <f>VLOOKUP(D182,[1]국문!$1:$1048576,22,0)</f>
        <v>#N/A</v>
      </c>
      <c r="C2085" s="15"/>
      <c r="D2085" s="15"/>
      <c r="E2085" s="15"/>
      <c r="F2085" s="15"/>
    </row>
    <row r="2086" spans="1:6" ht="13.5" customHeight="1">
      <c r="A2086" s="12" t="e">
        <f t="shared" si="28"/>
        <v>#N/A</v>
      </c>
      <c r="B2086" s="15" t="e">
        <f>VLOOKUP(D183,[1]국문!$1:$1048576,22,0)</f>
        <v>#N/A</v>
      </c>
      <c r="C2086" s="15"/>
      <c r="D2086" s="15"/>
      <c r="E2086" s="15"/>
      <c r="F2086" s="15"/>
    </row>
    <row r="2087" spans="1:6" ht="18" customHeight="1">
      <c r="A2087" s="12" t="e">
        <f t="shared" si="28"/>
        <v>#N/A</v>
      </c>
      <c r="B2087" s="15" t="e">
        <f>VLOOKUP(D184,[1]국문!$1:$1048576,22,0)</f>
        <v>#N/A</v>
      </c>
      <c r="C2087" s="15"/>
      <c r="D2087" s="15"/>
      <c r="E2087" s="15"/>
      <c r="F2087" s="15"/>
    </row>
    <row r="2088" spans="1:6" ht="18" customHeight="1">
      <c r="A2088" s="12" t="e">
        <f t="shared" si="28"/>
        <v>#N/A</v>
      </c>
      <c r="B2088" s="15" t="e">
        <f>VLOOKUP(D185,[1]국문!$1:$1048576,22,0)</f>
        <v>#N/A</v>
      </c>
      <c r="C2088" s="15"/>
      <c r="D2088" s="15"/>
      <c r="E2088" s="15"/>
      <c r="F2088" s="15"/>
    </row>
    <row r="2089" spans="1:6" ht="18" customHeight="1">
      <c r="A2089" s="12" t="e">
        <f t="shared" si="28"/>
        <v>#N/A</v>
      </c>
      <c r="B2089" s="15" t="e">
        <f>VLOOKUP(D186,[1]국문!$1:$1048576,22,0)</f>
        <v>#N/A</v>
      </c>
      <c r="C2089" s="15"/>
      <c r="D2089" s="15"/>
      <c r="E2089" s="15"/>
      <c r="F2089" s="15"/>
    </row>
    <row r="2090" spans="1:6" ht="18" customHeight="1">
      <c r="A2090" s="12" t="e">
        <f t="shared" si="28"/>
        <v>#N/A</v>
      </c>
      <c r="B2090" s="15" t="e">
        <f>VLOOKUP(D187,[1]국문!$1:$1048576,22,0)</f>
        <v>#N/A</v>
      </c>
      <c r="C2090" s="15"/>
      <c r="D2090" s="15"/>
      <c r="E2090" s="15"/>
      <c r="F2090" s="15"/>
    </row>
    <row r="2091" spans="1:6" ht="18" customHeight="1">
      <c r="A2091" s="12" t="e">
        <f t="shared" ref="A2091:A2154" si="29">A198</f>
        <v>#N/A</v>
      </c>
      <c r="B2091" s="15" t="e">
        <f>VLOOKUP(D188,[1]국문!$1:$1048576,22,0)</f>
        <v>#N/A</v>
      </c>
      <c r="C2091" s="15"/>
      <c r="D2091" s="15"/>
      <c r="E2091" s="15"/>
      <c r="F2091" s="15"/>
    </row>
    <row r="2092" spans="1:6" ht="24" customHeight="1">
      <c r="A2092" s="12" t="e">
        <f t="shared" si="29"/>
        <v>#N/A</v>
      </c>
      <c r="B2092" s="15" t="e">
        <f>VLOOKUP(D161,[1]국문!$1:$1048576,22,0)</f>
        <v>#N/A</v>
      </c>
      <c r="C2092" s="15"/>
      <c r="D2092" s="15"/>
      <c r="E2092" s="15"/>
      <c r="F2092" s="15"/>
    </row>
    <row r="2093" spans="1:6" ht="24" customHeight="1">
      <c r="A2093" s="12" t="e">
        <f t="shared" si="29"/>
        <v>#N/A</v>
      </c>
      <c r="B2093" s="15" t="e">
        <f>VLOOKUP(D162,[1]국문!$1:$1048576,22,0)</f>
        <v>#N/A</v>
      </c>
      <c r="C2093" s="15"/>
      <c r="D2093" s="15"/>
      <c r="E2093" s="15"/>
      <c r="F2093" s="15"/>
    </row>
    <row r="2094" spans="1:6" ht="24" customHeight="1">
      <c r="A2094" s="12" t="e">
        <f t="shared" si="29"/>
        <v>#N/A</v>
      </c>
      <c r="B2094" s="15" t="e">
        <f>VLOOKUP(D163,[1]국문!$1:$1048576,22,0)</f>
        <v>#N/A</v>
      </c>
      <c r="C2094" s="15"/>
      <c r="D2094" s="15"/>
      <c r="E2094" s="15"/>
      <c r="F2094" s="15"/>
    </row>
    <row r="2095" spans="1:6" ht="24" customHeight="1">
      <c r="A2095" s="12" t="e">
        <f t="shared" si="29"/>
        <v>#N/A</v>
      </c>
      <c r="B2095" s="15" t="e">
        <f>VLOOKUP(D164,[1]국문!$1:$1048576,22,0)</f>
        <v>#N/A</v>
      </c>
      <c r="C2095" s="15"/>
      <c r="D2095" s="15"/>
      <c r="E2095" s="15"/>
      <c r="F2095" s="15"/>
    </row>
    <row r="2096" spans="1:6" ht="24" customHeight="1">
      <c r="A2096" s="12" t="e">
        <f t="shared" si="29"/>
        <v>#N/A</v>
      </c>
      <c r="B2096" s="15" t="e">
        <f>VLOOKUP(D165,[1]국문!$1:$1048576,22,0)</f>
        <v>#N/A</v>
      </c>
      <c r="C2096" s="15"/>
      <c r="D2096" s="15"/>
      <c r="E2096" s="15"/>
      <c r="F2096" s="15"/>
    </row>
    <row r="2097" spans="1:6" ht="24" customHeight="1">
      <c r="A2097" s="12" t="e">
        <f t="shared" si="29"/>
        <v>#N/A</v>
      </c>
      <c r="B2097" s="15" t="e">
        <f>VLOOKUP(D166,[1]국문!$1:$1048576,22,0)</f>
        <v>#N/A</v>
      </c>
      <c r="C2097" s="15"/>
      <c r="D2097" s="15"/>
      <c r="E2097" s="15"/>
      <c r="F2097" s="15"/>
    </row>
    <row r="2098" spans="1:6" ht="24" customHeight="1">
      <c r="A2098" s="12" t="e">
        <f t="shared" si="29"/>
        <v>#N/A</v>
      </c>
      <c r="B2098" s="15" t="e">
        <f>VLOOKUP(D167,[1]국문!$1:$1048576,22,0)</f>
        <v>#N/A</v>
      </c>
      <c r="C2098" s="15"/>
      <c r="D2098" s="15"/>
      <c r="E2098" s="15"/>
      <c r="F2098" s="15"/>
    </row>
    <row r="2099" spans="1:6" ht="24" customHeight="1">
      <c r="A2099" s="12" t="e">
        <f t="shared" si="29"/>
        <v>#N/A</v>
      </c>
      <c r="B2099" s="15" t="e">
        <f>VLOOKUP(D168,[1]국문!$1:$1048576,22,0)</f>
        <v>#N/A</v>
      </c>
      <c r="C2099" s="15"/>
      <c r="D2099" s="15"/>
      <c r="E2099" s="15"/>
      <c r="F2099" s="15"/>
    </row>
    <row r="2100" spans="1:6" ht="24" customHeight="1">
      <c r="A2100" s="12" t="e">
        <f t="shared" si="29"/>
        <v>#N/A</v>
      </c>
      <c r="B2100" s="15" t="e">
        <f>VLOOKUP(D169,[1]국문!$1:$1048576,22,0)</f>
        <v>#N/A</v>
      </c>
      <c r="C2100" s="15"/>
      <c r="D2100" s="15"/>
      <c r="E2100" s="15"/>
      <c r="F2100" s="15"/>
    </row>
    <row r="2101" spans="1:6" ht="33" customHeight="1">
      <c r="A2101" s="12" t="e">
        <f t="shared" si="29"/>
        <v>#N/A</v>
      </c>
      <c r="B2101" s="15" t="e">
        <f>VLOOKUP(D170,[1]국문!$1:$1048576,22,0)</f>
        <v>#N/A</v>
      </c>
      <c r="C2101" s="15"/>
      <c r="D2101" s="15"/>
      <c r="E2101" s="15"/>
      <c r="F2101" s="15"/>
    </row>
    <row r="2102" spans="1:6" ht="24" customHeight="1">
      <c r="A2102" s="12" t="e">
        <f t="shared" si="29"/>
        <v>#N/A</v>
      </c>
      <c r="B2102" s="15" t="e">
        <f>VLOOKUP(D171,[1]국문!$1:$1048576,22,0)</f>
        <v>#N/A</v>
      </c>
      <c r="C2102" s="15"/>
      <c r="D2102" s="15"/>
      <c r="E2102" s="15"/>
      <c r="F2102" s="15"/>
    </row>
    <row r="2103" spans="1:6" ht="24" customHeight="1">
      <c r="A2103" s="12" t="e">
        <f t="shared" si="29"/>
        <v>#N/A</v>
      </c>
      <c r="B2103" s="15" t="e">
        <f>VLOOKUP(D172,[1]국문!$1:$1048576,22,0)</f>
        <v>#N/A</v>
      </c>
      <c r="C2103" s="15"/>
      <c r="D2103" s="15"/>
      <c r="E2103" s="15"/>
      <c r="F2103" s="15"/>
    </row>
    <row r="2104" spans="1:6" ht="24" customHeight="1">
      <c r="A2104" s="12" t="e">
        <f t="shared" si="29"/>
        <v>#N/A</v>
      </c>
      <c r="B2104" s="15" t="e">
        <f>VLOOKUP(D173,[1]국문!$1:$1048576,22,0)</f>
        <v>#N/A</v>
      </c>
      <c r="C2104" s="15"/>
      <c r="D2104" s="15"/>
      <c r="E2104" s="15"/>
      <c r="F2104" s="15"/>
    </row>
    <row r="2105" spans="1:6" ht="24" customHeight="1">
      <c r="A2105" s="12" t="e">
        <f t="shared" si="29"/>
        <v>#N/A</v>
      </c>
      <c r="B2105" s="15" t="e">
        <f>VLOOKUP(D174,[1]국문!$1:$1048576,22,0)</f>
        <v>#N/A</v>
      </c>
      <c r="C2105" s="15"/>
      <c r="D2105" s="15"/>
      <c r="E2105" s="15"/>
      <c r="F2105" s="15"/>
    </row>
    <row r="2106" spans="1:6" ht="24" customHeight="1">
      <c r="A2106" s="12" t="e">
        <f t="shared" si="29"/>
        <v>#N/A</v>
      </c>
      <c r="B2106" s="15" t="e">
        <f>VLOOKUP(D175,[1]국문!$1:$1048576,22,0)</f>
        <v>#N/A</v>
      </c>
      <c r="C2106" s="15"/>
      <c r="D2106" s="15"/>
      <c r="E2106" s="15"/>
      <c r="F2106" s="15"/>
    </row>
    <row r="2107" spans="1:6" ht="24" customHeight="1">
      <c r="A2107" s="12" t="e">
        <f t="shared" si="29"/>
        <v>#N/A</v>
      </c>
      <c r="B2107" s="15" t="e">
        <f>VLOOKUP(D176,[1]국문!$1:$1048576,22,0)</f>
        <v>#N/A</v>
      </c>
      <c r="C2107" s="15"/>
      <c r="D2107" s="15"/>
      <c r="E2107" s="15"/>
      <c r="F2107" s="15"/>
    </row>
    <row r="2108" spans="1:6" ht="24" customHeight="1">
      <c r="A2108" s="12" t="e">
        <f t="shared" si="29"/>
        <v>#N/A</v>
      </c>
      <c r="B2108" s="15" t="e">
        <f>VLOOKUP(D177,[1]국문!$1:$1048576,22,0)</f>
        <v>#N/A</v>
      </c>
      <c r="C2108" s="15"/>
      <c r="D2108" s="15"/>
      <c r="E2108" s="15"/>
      <c r="F2108" s="15"/>
    </row>
    <row r="2109" spans="1:6" ht="24" customHeight="1">
      <c r="A2109" s="12" t="e">
        <f t="shared" si="29"/>
        <v>#N/A</v>
      </c>
      <c r="B2109" s="15" t="e">
        <f>VLOOKUP(D206,[1]국문!$1:$1048576,22,0)</f>
        <v>#N/A</v>
      </c>
      <c r="C2109" s="15"/>
      <c r="D2109" s="15"/>
      <c r="E2109" s="15"/>
      <c r="F2109" s="15"/>
    </row>
    <row r="2110" spans="1:6" ht="24" customHeight="1">
      <c r="A2110" s="12" t="e">
        <f t="shared" si="29"/>
        <v>#N/A</v>
      </c>
      <c r="B2110" s="15" t="e">
        <f>VLOOKUP(D207,[1]국문!$1:$1048576,22,0)</f>
        <v>#N/A</v>
      </c>
      <c r="C2110" s="15"/>
      <c r="D2110" s="15"/>
      <c r="E2110" s="15"/>
      <c r="F2110" s="15"/>
    </row>
    <row r="2111" spans="1:6" ht="24" customHeight="1">
      <c r="A2111" s="12" t="e">
        <f t="shared" si="29"/>
        <v>#N/A</v>
      </c>
      <c r="B2111" s="15" t="e">
        <f>VLOOKUP(D208,[1]국문!$1:$1048576,22,0)</f>
        <v>#N/A</v>
      </c>
      <c r="C2111" s="15"/>
      <c r="D2111" s="15"/>
      <c r="E2111" s="15"/>
      <c r="F2111" s="15"/>
    </row>
    <row r="2112" spans="1:6" ht="24" customHeight="1">
      <c r="A2112" s="12" t="e">
        <f t="shared" si="29"/>
        <v>#N/A</v>
      </c>
      <c r="B2112" s="15" t="e">
        <f>VLOOKUP(D209,[1]국문!$1:$1048576,22,0)</f>
        <v>#N/A</v>
      </c>
      <c r="C2112" s="15"/>
      <c r="D2112" s="15"/>
      <c r="E2112" s="15"/>
      <c r="F2112" s="15"/>
    </row>
    <row r="2113" spans="1:6" ht="18" customHeight="1">
      <c r="A2113" s="12" t="e">
        <f t="shared" si="29"/>
        <v>#N/A</v>
      </c>
      <c r="B2113" s="15" t="e">
        <f>VLOOKUP(D210,[1]국문!$1:$1048576,22,0)</f>
        <v>#N/A</v>
      </c>
      <c r="C2113" s="15"/>
      <c r="D2113" s="15"/>
      <c r="E2113" s="15"/>
      <c r="F2113" s="15"/>
    </row>
    <row r="2114" spans="1:6" ht="13.5" customHeight="1">
      <c r="A2114" s="12" t="e">
        <f t="shared" si="29"/>
        <v>#N/A</v>
      </c>
      <c r="B2114" s="15" t="e">
        <f>VLOOKUP(D211,[1]국문!$1:$1048576,22,0)</f>
        <v>#N/A</v>
      </c>
      <c r="C2114" s="15"/>
      <c r="D2114" s="15"/>
      <c r="E2114" s="15"/>
      <c r="F2114" s="15"/>
    </row>
    <row r="2115" spans="1:6" ht="18" customHeight="1">
      <c r="A2115" s="12" t="e">
        <f t="shared" si="29"/>
        <v>#N/A</v>
      </c>
      <c r="B2115" s="15" t="e">
        <f>VLOOKUP(D212,[1]국문!$1:$1048576,22,0)</f>
        <v>#N/A</v>
      </c>
      <c r="C2115" s="15"/>
      <c r="D2115" s="15"/>
      <c r="E2115" s="15"/>
      <c r="F2115" s="15"/>
    </row>
    <row r="2116" spans="1:6" ht="18" customHeight="1">
      <c r="A2116" s="12" t="e">
        <f t="shared" si="29"/>
        <v>#N/A</v>
      </c>
      <c r="B2116" s="15" t="e">
        <f>VLOOKUP(D213,[1]국문!$1:$1048576,22,0)</f>
        <v>#N/A</v>
      </c>
      <c r="C2116" s="15"/>
      <c r="D2116" s="15"/>
      <c r="E2116" s="15"/>
      <c r="F2116" s="15"/>
    </row>
    <row r="2117" spans="1:6" ht="18" customHeight="1">
      <c r="A2117" s="12" t="e">
        <f t="shared" si="29"/>
        <v>#N/A</v>
      </c>
      <c r="B2117" s="15" t="e">
        <f>VLOOKUP(D214,[1]국문!$1:$1048576,22,0)</f>
        <v>#N/A</v>
      </c>
      <c r="C2117" s="15"/>
      <c r="D2117" s="15"/>
      <c r="E2117" s="15"/>
      <c r="F2117" s="15"/>
    </row>
    <row r="2118" spans="1:6" ht="18" customHeight="1">
      <c r="A2118" s="12" t="e">
        <f t="shared" si="29"/>
        <v>#N/A</v>
      </c>
      <c r="B2118" s="15" t="e">
        <f>VLOOKUP(D215,[1]국문!$1:$1048576,22,0)</f>
        <v>#N/A</v>
      </c>
      <c r="C2118" s="15"/>
      <c r="D2118" s="15"/>
      <c r="E2118" s="15"/>
      <c r="F2118" s="15"/>
    </row>
    <row r="2119" spans="1:6" ht="13.5" customHeight="1">
      <c r="A2119" s="12" t="e">
        <f t="shared" si="29"/>
        <v>#N/A</v>
      </c>
      <c r="B2119" s="15" t="e">
        <f>VLOOKUP(D216,[1]국문!$1:$1048576,22,0)</f>
        <v>#N/A</v>
      </c>
      <c r="C2119" s="15"/>
      <c r="D2119" s="15"/>
      <c r="E2119" s="15"/>
      <c r="F2119" s="15"/>
    </row>
    <row r="2120" spans="1:6" ht="13.5" customHeight="1">
      <c r="A2120" s="12" t="e">
        <f t="shared" si="29"/>
        <v>#N/A</v>
      </c>
      <c r="B2120" s="15" t="e">
        <f>VLOOKUP(D217,[1]국문!$1:$1048576,22,0)</f>
        <v>#N/A</v>
      </c>
      <c r="C2120" s="15"/>
      <c r="D2120" s="15"/>
      <c r="E2120" s="15"/>
      <c r="F2120" s="15"/>
    </row>
    <row r="2121" spans="1:6" ht="13.5" customHeight="1">
      <c r="A2121" s="12" t="e">
        <f t="shared" si="29"/>
        <v>#N/A</v>
      </c>
      <c r="B2121" s="15" t="e">
        <f>VLOOKUP(D218,[1]국문!$1:$1048576,22,0)</f>
        <v>#N/A</v>
      </c>
      <c r="C2121" s="15"/>
      <c r="D2121" s="15"/>
      <c r="E2121" s="15"/>
      <c r="F2121" s="15"/>
    </row>
    <row r="2122" spans="1:6" ht="18" customHeight="1">
      <c r="A2122" s="12" t="e">
        <f t="shared" si="29"/>
        <v>#N/A</v>
      </c>
      <c r="B2122" s="15" t="e">
        <f>VLOOKUP(D219,[1]국문!$1:$1048576,22,0)</f>
        <v>#N/A</v>
      </c>
      <c r="C2122" s="15"/>
      <c r="D2122" s="15"/>
      <c r="E2122" s="15"/>
      <c r="F2122" s="15"/>
    </row>
    <row r="2123" spans="1:6" ht="18" customHeight="1">
      <c r="A2123" s="12" t="e">
        <f t="shared" si="29"/>
        <v>#N/A</v>
      </c>
      <c r="B2123" s="15" t="e">
        <f>VLOOKUP(D220,[1]국문!$1:$1048576,22,0)</f>
        <v>#N/A</v>
      </c>
      <c r="C2123" s="15"/>
      <c r="D2123" s="15"/>
      <c r="E2123" s="15"/>
      <c r="F2123" s="15"/>
    </row>
    <row r="2124" spans="1:6" ht="18" customHeight="1">
      <c r="A2124" s="12" t="e">
        <f t="shared" si="29"/>
        <v>#N/A</v>
      </c>
      <c r="B2124" s="15" t="e">
        <f>VLOOKUP(D221,[1]국문!$1:$1048576,22,0)</f>
        <v>#N/A</v>
      </c>
      <c r="C2124" s="15"/>
      <c r="D2124" s="15"/>
      <c r="E2124" s="15"/>
      <c r="F2124" s="15"/>
    </row>
    <row r="2125" spans="1:6" ht="18" customHeight="1">
      <c r="A2125" s="12" t="e">
        <f t="shared" si="29"/>
        <v>#N/A</v>
      </c>
      <c r="B2125" s="15" t="e">
        <f>VLOOKUP(D222,[1]국문!$1:$1048576,22,0)</f>
        <v>#N/A</v>
      </c>
      <c r="C2125" s="15"/>
      <c r="D2125" s="15"/>
      <c r="E2125" s="15"/>
      <c r="F2125" s="15"/>
    </row>
    <row r="2126" spans="1:6" ht="18" customHeight="1">
      <c r="A2126" s="12" t="e">
        <f t="shared" si="29"/>
        <v>#N/A</v>
      </c>
      <c r="B2126" s="15" t="e">
        <f>VLOOKUP(D223,[1]국문!$1:$1048576,22,0)</f>
        <v>#N/A</v>
      </c>
      <c r="C2126" s="15"/>
      <c r="D2126" s="15"/>
      <c r="E2126" s="15"/>
      <c r="F2126" s="15"/>
    </row>
    <row r="2127" spans="1:6" ht="24" customHeight="1">
      <c r="A2127" s="12" t="e">
        <f t="shared" si="29"/>
        <v>#N/A</v>
      </c>
      <c r="B2127" s="15" t="e">
        <f>VLOOKUP(D196,[1]국문!$1:$1048576,22,0)</f>
        <v>#N/A</v>
      </c>
      <c r="C2127" s="15"/>
      <c r="D2127" s="15"/>
      <c r="E2127" s="15"/>
      <c r="F2127" s="15"/>
    </row>
    <row r="2128" spans="1:6" ht="24" customHeight="1">
      <c r="A2128" s="12" t="e">
        <f t="shared" si="29"/>
        <v>#N/A</v>
      </c>
      <c r="B2128" s="15" t="e">
        <f>VLOOKUP(D197,[1]국문!$1:$1048576,22,0)</f>
        <v>#N/A</v>
      </c>
      <c r="C2128" s="15"/>
      <c r="D2128" s="15"/>
      <c r="E2128" s="15"/>
      <c r="F2128" s="15"/>
    </row>
    <row r="2129" spans="1:6" ht="24" customHeight="1">
      <c r="A2129" s="12" t="e">
        <f t="shared" si="29"/>
        <v>#N/A</v>
      </c>
      <c r="B2129" s="15" t="e">
        <f>VLOOKUP(D198,[1]국문!$1:$1048576,22,0)</f>
        <v>#N/A</v>
      </c>
      <c r="C2129" s="15"/>
      <c r="D2129" s="15"/>
      <c r="E2129" s="15"/>
      <c r="F2129" s="15"/>
    </row>
    <row r="2130" spans="1:6" ht="24" customHeight="1">
      <c r="A2130" s="12" t="e">
        <f t="shared" si="29"/>
        <v>#N/A</v>
      </c>
      <c r="B2130" s="15" t="e">
        <f>VLOOKUP(D199,[1]국문!$1:$1048576,22,0)</f>
        <v>#N/A</v>
      </c>
      <c r="C2130" s="15"/>
      <c r="D2130" s="15"/>
      <c r="E2130" s="15"/>
      <c r="F2130" s="15"/>
    </row>
    <row r="2131" spans="1:6" ht="24" customHeight="1">
      <c r="A2131" s="12" t="e">
        <f t="shared" si="29"/>
        <v>#N/A</v>
      </c>
      <c r="B2131" s="15" t="e">
        <f>VLOOKUP(D200,[1]국문!$1:$1048576,22,0)</f>
        <v>#N/A</v>
      </c>
      <c r="C2131" s="15"/>
      <c r="D2131" s="15"/>
      <c r="E2131" s="15"/>
      <c r="F2131" s="15"/>
    </row>
    <row r="2132" spans="1:6" ht="24" customHeight="1">
      <c r="A2132" s="12" t="e">
        <f t="shared" si="29"/>
        <v>#N/A</v>
      </c>
      <c r="B2132" s="15" t="e">
        <f>VLOOKUP(D201,[1]국문!$1:$1048576,22,0)</f>
        <v>#N/A</v>
      </c>
      <c r="C2132" s="15"/>
      <c r="D2132" s="15"/>
      <c r="E2132" s="15"/>
      <c r="F2132" s="15"/>
    </row>
    <row r="2133" spans="1:6" ht="24" customHeight="1">
      <c r="A2133" s="12" t="e">
        <f t="shared" si="29"/>
        <v>#N/A</v>
      </c>
      <c r="B2133" s="15" t="e">
        <f>VLOOKUP(D202,[1]국문!$1:$1048576,22,0)</f>
        <v>#N/A</v>
      </c>
      <c r="C2133" s="15"/>
      <c r="D2133" s="15"/>
      <c r="E2133" s="15"/>
      <c r="F2133" s="15"/>
    </row>
    <row r="2134" spans="1:6" ht="33" customHeight="1">
      <c r="A2134" s="12" t="e">
        <f t="shared" si="29"/>
        <v>#N/A</v>
      </c>
      <c r="B2134" s="15" t="e">
        <f>VLOOKUP(D203,[1]국문!$1:$1048576,22,0)</f>
        <v>#N/A</v>
      </c>
      <c r="C2134" s="15"/>
      <c r="D2134" s="15"/>
      <c r="E2134" s="15"/>
      <c r="F2134" s="15"/>
    </row>
    <row r="2135" spans="1:6" ht="24" customHeight="1">
      <c r="A2135" s="12" t="e">
        <f t="shared" si="29"/>
        <v>#N/A</v>
      </c>
      <c r="B2135" s="15" t="e">
        <f>VLOOKUP(D204,[1]국문!$1:$1048576,22,0)</f>
        <v>#N/A</v>
      </c>
      <c r="C2135" s="15"/>
      <c r="D2135" s="15"/>
      <c r="E2135" s="15"/>
      <c r="F2135" s="15"/>
    </row>
    <row r="2136" spans="1:6" ht="24" customHeight="1">
      <c r="A2136" s="12" t="e">
        <f t="shared" si="29"/>
        <v>#N/A</v>
      </c>
      <c r="B2136" s="15" t="e">
        <f>VLOOKUP(D205,[1]국문!$1:$1048576,22,0)</f>
        <v>#N/A</v>
      </c>
      <c r="C2136" s="15"/>
      <c r="D2136" s="15"/>
      <c r="E2136" s="15"/>
      <c r="F2136" s="15"/>
    </row>
    <row r="2137" spans="1:6" ht="24" customHeight="1">
      <c r="A2137" s="12" t="e">
        <f t="shared" si="29"/>
        <v>#N/A</v>
      </c>
      <c r="B2137" s="15" t="e">
        <f>VLOOKUP(D206,[1]국문!$1:$1048576,22,0)</f>
        <v>#N/A</v>
      </c>
      <c r="C2137" s="15"/>
      <c r="D2137" s="15"/>
      <c r="E2137" s="15"/>
      <c r="F2137" s="15"/>
    </row>
    <row r="2138" spans="1:6" ht="24" customHeight="1">
      <c r="A2138" s="12" t="e">
        <f t="shared" si="29"/>
        <v>#N/A</v>
      </c>
      <c r="B2138" s="15" t="e">
        <f>VLOOKUP(D207,[1]국문!$1:$1048576,22,0)</f>
        <v>#N/A</v>
      </c>
      <c r="C2138" s="15"/>
      <c r="D2138" s="15"/>
      <c r="E2138" s="15"/>
      <c r="F2138" s="15"/>
    </row>
    <row r="2139" spans="1:6" ht="24" customHeight="1">
      <c r="A2139" s="12" t="e">
        <f t="shared" si="29"/>
        <v>#N/A</v>
      </c>
      <c r="B2139" s="15" t="e">
        <f>VLOOKUP(D208,[1]국문!$1:$1048576,22,0)</f>
        <v>#N/A</v>
      </c>
      <c r="C2139" s="15"/>
      <c r="D2139" s="15"/>
      <c r="E2139" s="15"/>
      <c r="F2139" s="15"/>
    </row>
    <row r="2140" spans="1:6" ht="24" customHeight="1">
      <c r="A2140" s="12" t="e">
        <f t="shared" si="29"/>
        <v>#N/A</v>
      </c>
      <c r="B2140" s="15" t="e">
        <f>VLOOKUP(D209,[1]국문!$1:$1048576,22,0)</f>
        <v>#N/A</v>
      </c>
      <c r="C2140" s="15"/>
      <c r="D2140" s="15"/>
      <c r="E2140" s="15"/>
      <c r="F2140" s="15"/>
    </row>
    <row r="2141" spans="1:6" ht="24" customHeight="1">
      <c r="A2141" s="12" t="e">
        <f t="shared" si="29"/>
        <v>#N/A</v>
      </c>
      <c r="B2141" s="15" t="e">
        <f>VLOOKUP(D210,[1]국문!$1:$1048576,22,0)</f>
        <v>#N/A</v>
      </c>
      <c r="C2141" s="15"/>
      <c r="D2141" s="15"/>
      <c r="E2141" s="15"/>
      <c r="F2141" s="15"/>
    </row>
    <row r="2142" spans="1:6" ht="24" customHeight="1">
      <c r="A2142" s="12" t="e">
        <f t="shared" si="29"/>
        <v>#N/A</v>
      </c>
      <c r="B2142" s="15" t="e">
        <f>VLOOKUP(D239,[1]국문!$1:$1048576,22,0)</f>
        <v>#N/A</v>
      </c>
      <c r="C2142" s="15"/>
      <c r="D2142" s="15"/>
      <c r="E2142" s="15"/>
      <c r="F2142" s="15"/>
    </row>
    <row r="2143" spans="1:6" ht="24" customHeight="1">
      <c r="A2143" s="12" t="e">
        <f t="shared" si="29"/>
        <v>#N/A</v>
      </c>
      <c r="B2143" s="15" t="e">
        <f>VLOOKUP(D240,[1]국문!$1:$1048576,22,0)</f>
        <v>#N/A</v>
      </c>
      <c r="C2143" s="15"/>
      <c r="D2143" s="15"/>
      <c r="E2143" s="15"/>
      <c r="F2143" s="15"/>
    </row>
    <row r="2144" spans="1:6" ht="24" customHeight="1">
      <c r="A2144" s="12" t="e">
        <f t="shared" si="29"/>
        <v>#N/A</v>
      </c>
      <c r="B2144" s="15" t="e">
        <f>VLOOKUP(D241,[1]국문!$1:$1048576,22,0)</f>
        <v>#N/A</v>
      </c>
      <c r="C2144" s="15"/>
      <c r="D2144" s="15"/>
      <c r="E2144" s="15"/>
      <c r="F2144" s="15"/>
    </row>
    <row r="2145" spans="1:6" ht="24" customHeight="1">
      <c r="A2145" s="12" t="e">
        <f t="shared" si="29"/>
        <v>#N/A</v>
      </c>
      <c r="B2145" s="15" t="e">
        <f>VLOOKUP(D242,[1]국문!$1:$1048576,22,0)</f>
        <v>#N/A</v>
      </c>
      <c r="C2145" s="15"/>
      <c r="D2145" s="15"/>
      <c r="E2145" s="15"/>
      <c r="F2145" s="15"/>
    </row>
    <row r="2146" spans="1:6" ht="18" customHeight="1">
      <c r="A2146" s="12" t="e">
        <f t="shared" si="29"/>
        <v>#N/A</v>
      </c>
      <c r="B2146" s="15" t="e">
        <f>VLOOKUP(D243,[1]국문!$1:$1048576,22,0)</f>
        <v>#N/A</v>
      </c>
      <c r="C2146" s="15"/>
      <c r="D2146" s="15"/>
      <c r="E2146" s="15"/>
      <c r="F2146" s="15"/>
    </row>
    <row r="2147" spans="1:6" ht="13.5" customHeight="1">
      <c r="A2147" s="12" t="e">
        <f t="shared" si="29"/>
        <v>#N/A</v>
      </c>
      <c r="B2147" s="15" t="e">
        <f>VLOOKUP(D244,[1]국문!$1:$1048576,22,0)</f>
        <v>#N/A</v>
      </c>
      <c r="C2147" s="15"/>
      <c r="D2147" s="15"/>
      <c r="E2147" s="15"/>
      <c r="F2147" s="15"/>
    </row>
    <row r="2148" spans="1:6" ht="18" customHeight="1">
      <c r="A2148" s="12" t="e">
        <f t="shared" si="29"/>
        <v>#N/A</v>
      </c>
      <c r="B2148" s="15" t="e">
        <f>VLOOKUP(D245,[1]국문!$1:$1048576,22,0)</f>
        <v>#N/A</v>
      </c>
      <c r="C2148" s="15"/>
      <c r="D2148" s="15"/>
      <c r="E2148" s="15"/>
      <c r="F2148" s="15"/>
    </row>
    <row r="2149" spans="1:6" ht="18" customHeight="1">
      <c r="A2149" s="12" t="e">
        <f t="shared" si="29"/>
        <v>#N/A</v>
      </c>
      <c r="B2149" s="15" t="e">
        <f>VLOOKUP(D246,[1]국문!$1:$1048576,22,0)</f>
        <v>#N/A</v>
      </c>
      <c r="C2149" s="15"/>
      <c r="D2149" s="15"/>
      <c r="E2149" s="15"/>
      <c r="F2149" s="15"/>
    </row>
    <row r="2150" spans="1:6" ht="18" customHeight="1">
      <c r="A2150" s="12" t="e">
        <f t="shared" si="29"/>
        <v>#N/A</v>
      </c>
      <c r="B2150" s="15" t="e">
        <f>VLOOKUP(D247,[1]국문!$1:$1048576,22,0)</f>
        <v>#N/A</v>
      </c>
      <c r="C2150" s="15"/>
      <c r="D2150" s="15"/>
      <c r="E2150" s="15"/>
      <c r="F2150" s="15"/>
    </row>
    <row r="2151" spans="1:6" ht="18" customHeight="1">
      <c r="A2151" s="12" t="e">
        <f t="shared" si="29"/>
        <v>#N/A</v>
      </c>
      <c r="B2151" s="15" t="e">
        <f>VLOOKUP(D248,[1]국문!$1:$1048576,22,0)</f>
        <v>#N/A</v>
      </c>
      <c r="C2151" s="15"/>
      <c r="D2151" s="15"/>
      <c r="E2151" s="15"/>
      <c r="F2151" s="15"/>
    </row>
    <row r="2152" spans="1:6" ht="13.5" customHeight="1">
      <c r="A2152" s="12" t="e">
        <f t="shared" si="29"/>
        <v>#N/A</v>
      </c>
      <c r="B2152" s="15" t="e">
        <f>VLOOKUP(D249,[1]국문!$1:$1048576,22,0)</f>
        <v>#N/A</v>
      </c>
      <c r="C2152" s="15"/>
      <c r="D2152" s="15"/>
      <c r="E2152" s="15"/>
      <c r="F2152" s="15"/>
    </row>
    <row r="2153" spans="1:6" ht="13.5" customHeight="1">
      <c r="A2153" s="12" t="e">
        <f t="shared" si="29"/>
        <v>#N/A</v>
      </c>
      <c r="B2153" s="15" t="e">
        <f>VLOOKUP(D250,[1]국문!$1:$1048576,22,0)</f>
        <v>#N/A</v>
      </c>
      <c r="C2153" s="15"/>
      <c r="D2153" s="15"/>
      <c r="E2153" s="15"/>
      <c r="F2153" s="15"/>
    </row>
    <row r="2154" spans="1:6" ht="13.5" customHeight="1">
      <c r="A2154" s="12" t="e">
        <f t="shared" si="29"/>
        <v>#N/A</v>
      </c>
      <c r="B2154" s="15" t="e">
        <f>VLOOKUP(D251,[1]국문!$1:$1048576,22,0)</f>
        <v>#N/A</v>
      </c>
      <c r="C2154" s="15"/>
      <c r="D2154" s="15"/>
      <c r="E2154" s="15"/>
      <c r="F2154" s="15"/>
    </row>
    <row r="2155" spans="1:6" ht="18" customHeight="1">
      <c r="A2155" s="12" t="e">
        <f t="shared" ref="A2155:A2218" si="30">A262</f>
        <v>#N/A</v>
      </c>
      <c r="B2155" s="15" t="e">
        <f>VLOOKUP(D252,[1]국문!$1:$1048576,22,0)</f>
        <v>#N/A</v>
      </c>
      <c r="C2155" s="15"/>
      <c r="D2155" s="15"/>
      <c r="E2155" s="15"/>
      <c r="F2155" s="15"/>
    </row>
    <row r="2156" spans="1:6" ht="18" customHeight="1">
      <c r="A2156" s="12" t="e">
        <f t="shared" si="30"/>
        <v>#N/A</v>
      </c>
      <c r="B2156" s="15" t="e">
        <f>VLOOKUP(D253,[1]국문!$1:$1048576,22,0)</f>
        <v>#N/A</v>
      </c>
      <c r="C2156" s="15"/>
      <c r="D2156" s="15"/>
      <c r="E2156" s="15"/>
      <c r="F2156" s="15"/>
    </row>
    <row r="2157" spans="1:6" ht="18" customHeight="1">
      <c r="A2157" s="12" t="e">
        <f t="shared" si="30"/>
        <v>#N/A</v>
      </c>
      <c r="B2157" s="15" t="e">
        <f>VLOOKUP(D254,[1]국문!$1:$1048576,22,0)</f>
        <v>#N/A</v>
      </c>
      <c r="C2157" s="15"/>
      <c r="D2157" s="15"/>
      <c r="E2157" s="15"/>
      <c r="F2157" s="15"/>
    </row>
    <row r="2158" spans="1:6" ht="18" customHeight="1">
      <c r="A2158" s="12" t="e">
        <f t="shared" si="30"/>
        <v>#N/A</v>
      </c>
      <c r="B2158" s="15" t="e">
        <f>VLOOKUP(D255,[1]국문!$1:$1048576,22,0)</f>
        <v>#N/A</v>
      </c>
      <c r="C2158" s="15"/>
      <c r="D2158" s="15"/>
      <c r="E2158" s="15"/>
      <c r="F2158" s="15"/>
    </row>
    <row r="2159" spans="1:6" ht="18" customHeight="1">
      <c r="A2159" s="12" t="e">
        <f t="shared" si="30"/>
        <v>#N/A</v>
      </c>
      <c r="B2159" s="15" t="e">
        <f>VLOOKUP(D256,[1]국문!$1:$1048576,22,0)</f>
        <v>#N/A</v>
      </c>
      <c r="C2159" s="15"/>
      <c r="D2159" s="15"/>
      <c r="E2159" s="15"/>
      <c r="F2159" s="15"/>
    </row>
    <row r="2160" spans="1:6" ht="24" customHeight="1">
      <c r="A2160" s="12" t="e">
        <f t="shared" si="30"/>
        <v>#N/A</v>
      </c>
      <c r="B2160" s="15" t="e">
        <f>VLOOKUP(D229,[1]국문!$1:$1048576,22,0)</f>
        <v>#N/A</v>
      </c>
      <c r="C2160" s="15"/>
      <c r="D2160" s="15"/>
      <c r="E2160" s="15"/>
      <c r="F2160" s="15"/>
    </row>
    <row r="2161" spans="1:6" ht="24" customHeight="1">
      <c r="A2161" s="12" t="e">
        <f t="shared" si="30"/>
        <v>#N/A</v>
      </c>
      <c r="B2161" s="15" t="e">
        <f>VLOOKUP(D230,[1]국문!$1:$1048576,22,0)</f>
        <v>#N/A</v>
      </c>
      <c r="C2161" s="15"/>
      <c r="D2161" s="15"/>
      <c r="E2161" s="15"/>
      <c r="F2161" s="15"/>
    </row>
    <row r="2162" spans="1:6" ht="24" customHeight="1">
      <c r="A2162" s="12" t="e">
        <f t="shared" si="30"/>
        <v>#N/A</v>
      </c>
      <c r="B2162" s="15" t="e">
        <f>VLOOKUP(D231,[1]국문!$1:$1048576,22,0)</f>
        <v>#N/A</v>
      </c>
      <c r="C2162" s="15"/>
      <c r="D2162" s="15"/>
      <c r="E2162" s="15"/>
      <c r="F2162" s="15"/>
    </row>
    <row r="2163" spans="1:6" ht="24" customHeight="1">
      <c r="A2163" s="12" t="e">
        <f t="shared" si="30"/>
        <v>#N/A</v>
      </c>
      <c r="B2163" s="15" t="e">
        <f>VLOOKUP(D232,[1]국문!$1:$1048576,22,0)</f>
        <v>#N/A</v>
      </c>
      <c r="C2163" s="15"/>
      <c r="D2163" s="15"/>
      <c r="E2163" s="15"/>
      <c r="F2163" s="15"/>
    </row>
    <row r="2164" spans="1:6" ht="24" customHeight="1">
      <c r="A2164" s="12" t="e">
        <f t="shared" si="30"/>
        <v>#N/A</v>
      </c>
      <c r="B2164" s="15" t="e">
        <f>VLOOKUP(D233,[1]국문!$1:$1048576,22,0)</f>
        <v>#N/A</v>
      </c>
      <c r="C2164" s="15"/>
      <c r="D2164" s="15"/>
      <c r="E2164" s="15"/>
      <c r="F2164" s="15"/>
    </row>
    <row r="2165" spans="1:6" ht="24" customHeight="1">
      <c r="A2165" s="12" t="e">
        <f t="shared" si="30"/>
        <v>#N/A</v>
      </c>
      <c r="B2165" s="15" t="e">
        <f>VLOOKUP(D234,[1]국문!$1:$1048576,22,0)</f>
        <v>#N/A</v>
      </c>
      <c r="C2165" s="15"/>
      <c r="D2165" s="15"/>
      <c r="E2165" s="15"/>
      <c r="F2165" s="15"/>
    </row>
    <row r="2166" spans="1:6" ht="24" customHeight="1">
      <c r="A2166" s="12" t="e">
        <f t="shared" si="30"/>
        <v>#N/A</v>
      </c>
      <c r="B2166" s="15" t="e">
        <f>VLOOKUP(D235,[1]국문!$1:$1048576,22,0)</f>
        <v>#N/A</v>
      </c>
      <c r="C2166" s="15"/>
      <c r="D2166" s="15"/>
      <c r="E2166" s="15"/>
      <c r="F2166" s="15"/>
    </row>
    <row r="2167" spans="1:6" ht="33" customHeight="1">
      <c r="A2167" s="12" t="e">
        <f t="shared" si="30"/>
        <v>#N/A</v>
      </c>
      <c r="B2167" s="15" t="e">
        <f>VLOOKUP(D236,[1]국문!$1:$1048576,22,0)</f>
        <v>#N/A</v>
      </c>
      <c r="C2167" s="15"/>
      <c r="D2167" s="15"/>
      <c r="E2167" s="15"/>
      <c r="F2167" s="15"/>
    </row>
    <row r="2168" spans="1:6" ht="24" customHeight="1">
      <c r="A2168" s="12" t="e">
        <f t="shared" si="30"/>
        <v>#N/A</v>
      </c>
      <c r="B2168" s="15" t="e">
        <f>VLOOKUP(D237,[1]국문!$1:$1048576,22,0)</f>
        <v>#N/A</v>
      </c>
      <c r="C2168" s="15"/>
      <c r="D2168" s="15"/>
      <c r="E2168" s="15"/>
      <c r="F2168" s="15"/>
    </row>
    <row r="2169" spans="1:6" ht="24" customHeight="1">
      <c r="A2169" s="12" t="e">
        <f t="shared" si="30"/>
        <v>#N/A</v>
      </c>
      <c r="B2169" s="15" t="e">
        <f>VLOOKUP(D238,[1]국문!$1:$1048576,22,0)</f>
        <v>#N/A</v>
      </c>
      <c r="C2169" s="15"/>
      <c r="D2169" s="15"/>
      <c r="E2169" s="15"/>
      <c r="F2169" s="15"/>
    </row>
    <row r="2170" spans="1:6" ht="24" customHeight="1">
      <c r="A2170" s="12" t="e">
        <f t="shared" si="30"/>
        <v>#N/A</v>
      </c>
      <c r="B2170" s="15" t="e">
        <f>VLOOKUP(D239,[1]국문!$1:$1048576,22,0)</f>
        <v>#N/A</v>
      </c>
      <c r="C2170" s="15"/>
      <c r="D2170" s="15"/>
      <c r="E2170" s="15"/>
      <c r="F2170" s="15"/>
    </row>
    <row r="2171" spans="1:6" ht="24" customHeight="1">
      <c r="A2171" s="12" t="e">
        <f t="shared" si="30"/>
        <v>#N/A</v>
      </c>
      <c r="B2171" s="15" t="e">
        <f>VLOOKUP(D240,[1]국문!$1:$1048576,22,0)</f>
        <v>#N/A</v>
      </c>
      <c r="C2171" s="15"/>
      <c r="D2171" s="15"/>
      <c r="E2171" s="15"/>
      <c r="F2171" s="15"/>
    </row>
    <row r="2172" spans="1:6" ht="24" customHeight="1">
      <c r="A2172" s="12" t="e">
        <f t="shared" si="30"/>
        <v>#N/A</v>
      </c>
      <c r="B2172" s="15" t="e">
        <f>VLOOKUP(D241,[1]국문!$1:$1048576,22,0)</f>
        <v>#N/A</v>
      </c>
      <c r="C2172" s="15"/>
      <c r="D2172" s="15"/>
      <c r="E2172" s="15"/>
      <c r="F2172" s="15"/>
    </row>
    <row r="2173" spans="1:6" ht="24" customHeight="1">
      <c r="A2173" s="12" t="e">
        <f t="shared" si="30"/>
        <v>#N/A</v>
      </c>
      <c r="B2173" s="15" t="e">
        <f>VLOOKUP(D242,[1]국문!$1:$1048576,22,0)</f>
        <v>#N/A</v>
      </c>
      <c r="C2173" s="15"/>
      <c r="D2173" s="15"/>
      <c r="E2173" s="15"/>
      <c r="F2173" s="15"/>
    </row>
    <row r="2174" spans="1:6" ht="24" customHeight="1">
      <c r="A2174" s="12" t="e">
        <f t="shared" si="30"/>
        <v>#N/A</v>
      </c>
      <c r="B2174" s="15" t="e">
        <f>VLOOKUP(D243,[1]국문!$1:$1048576,22,0)</f>
        <v>#N/A</v>
      </c>
      <c r="C2174" s="15"/>
      <c r="D2174" s="15"/>
      <c r="E2174" s="15"/>
      <c r="F2174" s="15"/>
    </row>
    <row r="2175" spans="1:6" ht="24" customHeight="1">
      <c r="A2175" s="12" t="e">
        <f t="shared" si="30"/>
        <v>#N/A</v>
      </c>
      <c r="B2175" s="15" t="e">
        <f>VLOOKUP(D272,[1]국문!$1:$1048576,22,0)</f>
        <v>#N/A</v>
      </c>
      <c r="C2175" s="15"/>
      <c r="D2175" s="15"/>
      <c r="E2175" s="15"/>
      <c r="F2175" s="15"/>
    </row>
    <row r="2176" spans="1:6" ht="24" customHeight="1">
      <c r="A2176" s="12" t="e">
        <f t="shared" si="30"/>
        <v>#N/A</v>
      </c>
      <c r="B2176" s="15" t="e">
        <f>VLOOKUP(D273,[1]국문!$1:$1048576,22,0)</f>
        <v>#N/A</v>
      </c>
      <c r="C2176" s="15"/>
      <c r="D2176" s="15"/>
      <c r="E2176" s="15"/>
      <c r="F2176" s="15"/>
    </row>
    <row r="2177" spans="1:6" ht="24" customHeight="1">
      <c r="A2177" s="12" t="e">
        <f t="shared" si="30"/>
        <v>#N/A</v>
      </c>
      <c r="B2177" s="15" t="e">
        <f>VLOOKUP(D274,[1]국문!$1:$1048576,22,0)</f>
        <v>#N/A</v>
      </c>
      <c r="C2177" s="15"/>
      <c r="D2177" s="15"/>
      <c r="E2177" s="15"/>
      <c r="F2177" s="15"/>
    </row>
    <row r="2178" spans="1:6" ht="24" customHeight="1">
      <c r="A2178" s="12" t="e">
        <f t="shared" si="30"/>
        <v>#N/A</v>
      </c>
      <c r="B2178" s="15" t="e">
        <f>VLOOKUP(D275,[1]국문!$1:$1048576,22,0)</f>
        <v>#N/A</v>
      </c>
      <c r="C2178" s="15"/>
      <c r="D2178" s="15"/>
      <c r="E2178" s="15"/>
      <c r="F2178" s="15"/>
    </row>
    <row r="2179" spans="1:6" ht="18" customHeight="1">
      <c r="A2179" s="12" t="e">
        <f t="shared" si="30"/>
        <v>#N/A</v>
      </c>
      <c r="B2179" s="15" t="e">
        <f>VLOOKUP(D276,[1]국문!$1:$1048576,22,0)</f>
        <v>#N/A</v>
      </c>
      <c r="C2179" s="15"/>
      <c r="D2179" s="15"/>
      <c r="E2179" s="15"/>
      <c r="F2179" s="15"/>
    </row>
    <row r="2180" spans="1:6" ht="13.5" customHeight="1">
      <c r="A2180" s="12" t="e">
        <f t="shared" si="30"/>
        <v>#N/A</v>
      </c>
      <c r="B2180" s="15" t="e">
        <f>VLOOKUP(D277,[1]국문!$1:$1048576,22,0)</f>
        <v>#N/A</v>
      </c>
      <c r="C2180" s="15"/>
      <c r="D2180" s="15"/>
      <c r="E2180" s="15"/>
      <c r="F2180" s="15"/>
    </row>
    <row r="2181" spans="1:6" ht="18" customHeight="1">
      <c r="A2181" s="12" t="e">
        <f t="shared" si="30"/>
        <v>#N/A</v>
      </c>
      <c r="B2181" s="15" t="e">
        <f>VLOOKUP(D278,[1]국문!$1:$1048576,22,0)</f>
        <v>#N/A</v>
      </c>
      <c r="C2181" s="15"/>
      <c r="D2181" s="15"/>
      <c r="E2181" s="15"/>
      <c r="F2181" s="15"/>
    </row>
    <row r="2182" spans="1:6" ht="18" customHeight="1">
      <c r="A2182" s="12" t="e">
        <f t="shared" si="30"/>
        <v>#N/A</v>
      </c>
      <c r="B2182" s="15" t="e">
        <f>VLOOKUP(D279,[1]국문!$1:$1048576,22,0)</f>
        <v>#N/A</v>
      </c>
      <c r="C2182" s="15"/>
      <c r="D2182" s="15"/>
      <c r="E2182" s="15"/>
      <c r="F2182" s="15"/>
    </row>
    <row r="2183" spans="1:6" ht="18" customHeight="1">
      <c r="A2183" s="12" t="e">
        <f t="shared" si="30"/>
        <v>#N/A</v>
      </c>
      <c r="B2183" s="15" t="e">
        <f>VLOOKUP(D280,[1]국문!$1:$1048576,22,0)</f>
        <v>#N/A</v>
      </c>
      <c r="C2183" s="15"/>
      <c r="D2183" s="15"/>
      <c r="E2183" s="15"/>
      <c r="F2183" s="15"/>
    </row>
    <row r="2184" spans="1:6" ht="18" customHeight="1">
      <c r="A2184" s="12" t="e">
        <f t="shared" si="30"/>
        <v>#N/A</v>
      </c>
      <c r="B2184" s="15" t="e">
        <f>VLOOKUP(D281,[1]국문!$1:$1048576,22,0)</f>
        <v>#N/A</v>
      </c>
      <c r="C2184" s="15"/>
      <c r="D2184" s="15"/>
      <c r="E2184" s="15"/>
      <c r="F2184" s="15"/>
    </row>
    <row r="2185" spans="1:6" ht="13.5" customHeight="1">
      <c r="A2185" s="12" t="e">
        <f t="shared" si="30"/>
        <v>#N/A</v>
      </c>
      <c r="B2185" s="15" t="e">
        <f>VLOOKUP(D282,[1]국문!$1:$1048576,22,0)</f>
        <v>#N/A</v>
      </c>
      <c r="C2185" s="15"/>
      <c r="D2185" s="15"/>
      <c r="E2185" s="15"/>
      <c r="F2185" s="15"/>
    </row>
    <row r="2186" spans="1:6" ht="13.5" customHeight="1">
      <c r="A2186" s="12" t="e">
        <f t="shared" si="30"/>
        <v>#N/A</v>
      </c>
      <c r="B2186" s="15" t="e">
        <f>VLOOKUP(D283,[1]국문!$1:$1048576,22,0)</f>
        <v>#N/A</v>
      </c>
      <c r="C2186" s="15"/>
      <c r="D2186" s="15"/>
      <c r="E2186" s="15"/>
      <c r="F2186" s="15"/>
    </row>
    <row r="2187" spans="1:6" ht="13.5" customHeight="1">
      <c r="A2187" s="12" t="e">
        <f t="shared" si="30"/>
        <v>#N/A</v>
      </c>
      <c r="B2187" s="15" t="e">
        <f>VLOOKUP(D284,[1]국문!$1:$1048576,22,0)</f>
        <v>#N/A</v>
      </c>
      <c r="C2187" s="15"/>
      <c r="D2187" s="15"/>
      <c r="E2187" s="15"/>
      <c r="F2187" s="15"/>
    </row>
    <row r="2188" spans="1:6" ht="18" customHeight="1">
      <c r="A2188" s="12" t="e">
        <f t="shared" si="30"/>
        <v>#N/A</v>
      </c>
      <c r="B2188" s="15" t="e">
        <f>VLOOKUP(D285,[1]국문!$1:$1048576,22,0)</f>
        <v>#N/A</v>
      </c>
      <c r="C2188" s="15"/>
      <c r="D2188" s="15"/>
      <c r="E2188" s="15"/>
      <c r="F2188" s="15"/>
    </row>
    <row r="2189" spans="1:6" ht="18" customHeight="1">
      <c r="A2189" s="12" t="e">
        <f t="shared" si="30"/>
        <v>#N/A</v>
      </c>
      <c r="B2189" s="15" t="e">
        <f>VLOOKUP(D286,[1]국문!$1:$1048576,22,0)</f>
        <v>#N/A</v>
      </c>
      <c r="C2189" s="15"/>
      <c r="D2189" s="15"/>
      <c r="E2189" s="15"/>
      <c r="F2189" s="15"/>
    </row>
    <row r="2190" spans="1:6" ht="18" customHeight="1">
      <c r="A2190" s="12" t="e">
        <f t="shared" si="30"/>
        <v>#N/A</v>
      </c>
      <c r="B2190" s="15" t="e">
        <f>VLOOKUP(D287,[1]국문!$1:$1048576,22,0)</f>
        <v>#N/A</v>
      </c>
      <c r="C2190" s="15"/>
      <c r="D2190" s="15"/>
      <c r="E2190" s="15"/>
      <c r="F2190" s="15"/>
    </row>
    <row r="2191" spans="1:6" ht="18" customHeight="1">
      <c r="A2191" s="12" t="e">
        <f t="shared" si="30"/>
        <v>#N/A</v>
      </c>
      <c r="B2191" s="15" t="e">
        <f>VLOOKUP(D288,[1]국문!$1:$1048576,22,0)</f>
        <v>#N/A</v>
      </c>
      <c r="C2191" s="15"/>
      <c r="D2191" s="15"/>
      <c r="E2191" s="15"/>
      <c r="F2191" s="15"/>
    </row>
    <row r="2192" spans="1:6" ht="18" customHeight="1">
      <c r="A2192" s="12" t="e">
        <f t="shared" si="30"/>
        <v>#N/A</v>
      </c>
      <c r="B2192" s="15" t="e">
        <f>VLOOKUP(D289,[1]국문!$1:$1048576,22,0)</f>
        <v>#N/A</v>
      </c>
      <c r="C2192" s="15"/>
      <c r="D2192" s="15"/>
      <c r="E2192" s="15"/>
      <c r="F2192" s="15"/>
    </row>
    <row r="2193" spans="1:6" ht="24" customHeight="1">
      <c r="A2193" s="12" t="e">
        <f t="shared" si="30"/>
        <v>#N/A</v>
      </c>
      <c r="B2193" s="15" t="e">
        <f>VLOOKUP(D262,[1]국문!$1:$1048576,22,0)</f>
        <v>#N/A</v>
      </c>
      <c r="C2193" s="15"/>
      <c r="D2193" s="15"/>
      <c r="E2193" s="15"/>
      <c r="F2193" s="15"/>
    </row>
    <row r="2194" spans="1:6" ht="24" customHeight="1">
      <c r="A2194" s="12" t="e">
        <f t="shared" si="30"/>
        <v>#N/A</v>
      </c>
      <c r="B2194" s="15" t="e">
        <f>VLOOKUP(D263,[1]국문!$1:$1048576,22,0)</f>
        <v>#N/A</v>
      </c>
      <c r="C2194" s="15"/>
      <c r="D2194" s="15"/>
      <c r="E2194" s="15"/>
      <c r="F2194" s="15"/>
    </row>
    <row r="2195" spans="1:6" ht="24" customHeight="1">
      <c r="A2195" s="12" t="e">
        <f t="shared" si="30"/>
        <v>#N/A</v>
      </c>
      <c r="B2195" s="15" t="e">
        <f>VLOOKUP(D264,[1]국문!$1:$1048576,22,0)</f>
        <v>#N/A</v>
      </c>
      <c r="C2195" s="15"/>
      <c r="D2195" s="15"/>
      <c r="E2195" s="15"/>
      <c r="F2195" s="15"/>
    </row>
    <row r="2196" spans="1:6" ht="24" customHeight="1">
      <c r="A2196" s="12" t="e">
        <f t="shared" si="30"/>
        <v>#N/A</v>
      </c>
      <c r="B2196" s="15" t="e">
        <f>VLOOKUP(D265,[1]국문!$1:$1048576,22,0)</f>
        <v>#N/A</v>
      </c>
      <c r="C2196" s="15"/>
      <c r="D2196" s="15"/>
      <c r="E2196" s="15"/>
      <c r="F2196" s="15"/>
    </row>
    <row r="2197" spans="1:6" ht="24" customHeight="1">
      <c r="A2197" s="12" t="e">
        <f t="shared" si="30"/>
        <v>#N/A</v>
      </c>
      <c r="B2197" s="15" t="e">
        <f>VLOOKUP(D266,[1]국문!$1:$1048576,22,0)</f>
        <v>#N/A</v>
      </c>
      <c r="C2197" s="15"/>
      <c r="D2197" s="15"/>
      <c r="E2197" s="15"/>
      <c r="F2197" s="15"/>
    </row>
    <row r="2198" spans="1:6" ht="24" customHeight="1">
      <c r="A2198" s="12" t="e">
        <f t="shared" si="30"/>
        <v>#N/A</v>
      </c>
      <c r="B2198" s="15" t="e">
        <f>VLOOKUP(D267,[1]국문!$1:$1048576,22,0)</f>
        <v>#N/A</v>
      </c>
      <c r="C2198" s="15"/>
      <c r="D2198" s="15"/>
      <c r="E2198" s="15"/>
      <c r="F2198" s="15"/>
    </row>
    <row r="2199" spans="1:6" ht="24" customHeight="1">
      <c r="A2199" s="12" t="e">
        <f t="shared" si="30"/>
        <v>#N/A</v>
      </c>
      <c r="B2199" s="15" t="e">
        <f>VLOOKUP(D268,[1]국문!$1:$1048576,22,0)</f>
        <v>#N/A</v>
      </c>
      <c r="C2199" s="15"/>
      <c r="D2199" s="15"/>
      <c r="E2199" s="15"/>
      <c r="F2199" s="15"/>
    </row>
    <row r="2200" spans="1:6" ht="33" customHeight="1">
      <c r="A2200" s="12" t="e">
        <f t="shared" si="30"/>
        <v>#N/A</v>
      </c>
      <c r="B2200" s="15" t="e">
        <f>VLOOKUP(D269,[1]국문!$1:$1048576,22,0)</f>
        <v>#N/A</v>
      </c>
      <c r="C2200" s="15"/>
      <c r="D2200" s="15"/>
      <c r="E2200" s="15"/>
      <c r="F2200" s="15"/>
    </row>
    <row r="2201" spans="1:6" ht="24" customHeight="1">
      <c r="A2201" s="12" t="e">
        <f t="shared" si="30"/>
        <v>#N/A</v>
      </c>
      <c r="B2201" s="15" t="e">
        <f>VLOOKUP(D270,[1]국문!$1:$1048576,22,0)</f>
        <v>#N/A</v>
      </c>
      <c r="C2201" s="15"/>
      <c r="D2201" s="15"/>
      <c r="E2201" s="15"/>
      <c r="F2201" s="15"/>
    </row>
    <row r="2202" spans="1:6" ht="24" customHeight="1">
      <c r="A2202" s="12" t="e">
        <f t="shared" si="30"/>
        <v>#N/A</v>
      </c>
      <c r="B2202" s="15" t="e">
        <f>VLOOKUP(D271,[1]국문!$1:$1048576,22,0)</f>
        <v>#N/A</v>
      </c>
      <c r="C2202" s="15"/>
      <c r="D2202" s="15"/>
      <c r="E2202" s="15"/>
      <c r="F2202" s="15"/>
    </row>
    <row r="2203" spans="1:6" ht="24" customHeight="1">
      <c r="A2203" s="12" t="e">
        <f t="shared" si="30"/>
        <v>#N/A</v>
      </c>
      <c r="B2203" s="15" t="e">
        <f>VLOOKUP(D272,[1]국문!$1:$1048576,22,0)</f>
        <v>#N/A</v>
      </c>
      <c r="C2203" s="15"/>
      <c r="D2203" s="15"/>
      <c r="E2203" s="15"/>
      <c r="F2203" s="15"/>
    </row>
    <row r="2204" spans="1:6" ht="24" customHeight="1">
      <c r="A2204" s="12" t="e">
        <f t="shared" si="30"/>
        <v>#N/A</v>
      </c>
      <c r="B2204" s="15" t="e">
        <f>VLOOKUP(D273,[1]국문!$1:$1048576,22,0)</f>
        <v>#N/A</v>
      </c>
      <c r="C2204" s="15"/>
      <c r="D2204" s="15"/>
      <c r="E2204" s="15"/>
      <c r="F2204" s="15"/>
    </row>
    <row r="2205" spans="1:6" ht="24" customHeight="1">
      <c r="A2205" s="12" t="e">
        <f t="shared" si="30"/>
        <v>#N/A</v>
      </c>
      <c r="B2205" s="15" t="e">
        <f>VLOOKUP(D274,[1]국문!$1:$1048576,22,0)</f>
        <v>#N/A</v>
      </c>
      <c r="C2205" s="15"/>
      <c r="D2205" s="15"/>
      <c r="E2205" s="15"/>
      <c r="F2205" s="15"/>
    </row>
    <row r="2206" spans="1:6" ht="24" customHeight="1">
      <c r="A2206" s="12" t="e">
        <f t="shared" si="30"/>
        <v>#N/A</v>
      </c>
      <c r="B2206" s="15" t="e">
        <f>VLOOKUP(D275,[1]국문!$1:$1048576,22,0)</f>
        <v>#N/A</v>
      </c>
      <c r="C2206" s="15"/>
      <c r="D2206" s="15"/>
      <c r="E2206" s="15"/>
      <c r="F2206" s="15"/>
    </row>
    <row r="2207" spans="1:6" ht="24" customHeight="1">
      <c r="A2207" s="12" t="e">
        <f t="shared" si="30"/>
        <v>#N/A</v>
      </c>
      <c r="B2207" s="15" t="e">
        <f>VLOOKUP(D276,[1]국문!$1:$1048576,22,0)</f>
        <v>#N/A</v>
      </c>
      <c r="C2207" s="15"/>
      <c r="D2207" s="15"/>
      <c r="E2207" s="15"/>
      <c r="F2207" s="15"/>
    </row>
    <row r="2208" spans="1:6" ht="24" customHeight="1">
      <c r="A2208" s="12" t="e">
        <f t="shared" si="30"/>
        <v>#N/A</v>
      </c>
      <c r="B2208" s="15" t="e">
        <f>VLOOKUP(D305,[1]국문!$1:$1048576,22,0)</f>
        <v>#N/A</v>
      </c>
      <c r="C2208" s="15"/>
      <c r="D2208" s="15"/>
      <c r="E2208" s="15"/>
      <c r="F2208" s="15"/>
    </row>
    <row r="2209" spans="1:6" ht="24" customHeight="1">
      <c r="A2209" s="12" t="e">
        <f t="shared" si="30"/>
        <v>#N/A</v>
      </c>
      <c r="B2209" s="15" t="e">
        <f>VLOOKUP(D306,[1]국문!$1:$1048576,22,0)</f>
        <v>#N/A</v>
      </c>
      <c r="C2209" s="15"/>
      <c r="D2209" s="15"/>
      <c r="E2209" s="15"/>
      <c r="F2209" s="15"/>
    </row>
    <row r="2210" spans="1:6" ht="24" customHeight="1">
      <c r="A2210" s="12" t="e">
        <f t="shared" si="30"/>
        <v>#N/A</v>
      </c>
      <c r="B2210" s="15" t="e">
        <f>VLOOKUP(D307,[1]국문!$1:$1048576,22,0)</f>
        <v>#N/A</v>
      </c>
      <c r="C2210" s="15"/>
      <c r="D2210" s="15"/>
      <c r="E2210" s="15"/>
      <c r="F2210" s="15"/>
    </row>
    <row r="2211" spans="1:6" ht="24" customHeight="1">
      <c r="A2211" s="12" t="e">
        <f t="shared" si="30"/>
        <v>#N/A</v>
      </c>
      <c r="B2211" s="15" t="e">
        <f>VLOOKUP(D308,[1]국문!$1:$1048576,22,0)</f>
        <v>#N/A</v>
      </c>
      <c r="C2211" s="15"/>
      <c r="D2211" s="15"/>
      <c r="E2211" s="15"/>
      <c r="F2211" s="15"/>
    </row>
    <row r="2212" spans="1:6" ht="18" customHeight="1">
      <c r="A2212" s="12" t="e">
        <f t="shared" si="30"/>
        <v>#N/A</v>
      </c>
      <c r="B2212" s="15" t="e">
        <f>VLOOKUP(D309,[1]국문!$1:$1048576,22,0)</f>
        <v>#N/A</v>
      </c>
      <c r="C2212" s="15"/>
      <c r="D2212" s="15"/>
      <c r="E2212" s="15"/>
      <c r="F2212" s="15"/>
    </row>
    <row r="2213" spans="1:6" ht="13.5" customHeight="1">
      <c r="A2213" s="12" t="e">
        <f t="shared" si="30"/>
        <v>#N/A</v>
      </c>
      <c r="B2213" s="15" t="e">
        <f>VLOOKUP(D310,[1]국문!$1:$1048576,22,0)</f>
        <v>#N/A</v>
      </c>
      <c r="C2213" s="15"/>
      <c r="D2213" s="15"/>
      <c r="E2213" s="15"/>
      <c r="F2213" s="15"/>
    </row>
    <row r="2214" spans="1:6" ht="18" customHeight="1">
      <c r="A2214" s="12" t="e">
        <f t="shared" si="30"/>
        <v>#N/A</v>
      </c>
      <c r="B2214" s="15" t="e">
        <f>VLOOKUP(D311,[1]국문!$1:$1048576,22,0)</f>
        <v>#N/A</v>
      </c>
      <c r="C2214" s="15"/>
      <c r="D2214" s="15"/>
      <c r="E2214" s="15"/>
      <c r="F2214" s="15"/>
    </row>
    <row r="2215" spans="1:6" ht="18" customHeight="1">
      <c r="A2215" s="12" t="e">
        <f t="shared" si="30"/>
        <v>#N/A</v>
      </c>
      <c r="B2215" s="15" t="e">
        <f>VLOOKUP(D312,[1]국문!$1:$1048576,22,0)</f>
        <v>#N/A</v>
      </c>
      <c r="C2215" s="15"/>
      <c r="D2215" s="15"/>
      <c r="E2215" s="15"/>
      <c r="F2215" s="15"/>
    </row>
    <row r="2216" spans="1:6" ht="18" customHeight="1">
      <c r="A2216" s="12" t="e">
        <f t="shared" si="30"/>
        <v>#N/A</v>
      </c>
      <c r="B2216" s="15" t="e">
        <f>VLOOKUP(D313,[1]국문!$1:$1048576,22,0)</f>
        <v>#N/A</v>
      </c>
      <c r="C2216" s="15"/>
      <c r="D2216" s="15"/>
      <c r="E2216" s="15"/>
      <c r="F2216" s="15"/>
    </row>
    <row r="2217" spans="1:6" ht="18" customHeight="1">
      <c r="A2217" s="12" t="e">
        <f t="shared" si="30"/>
        <v>#N/A</v>
      </c>
      <c r="B2217" s="15" t="e">
        <f>VLOOKUP(D314,[1]국문!$1:$1048576,22,0)</f>
        <v>#N/A</v>
      </c>
      <c r="C2217" s="15"/>
      <c r="D2217" s="15"/>
      <c r="E2217" s="15"/>
      <c r="F2217" s="15"/>
    </row>
    <row r="2218" spans="1:6" ht="13.5" customHeight="1">
      <c r="A2218" s="12" t="e">
        <f t="shared" si="30"/>
        <v>#N/A</v>
      </c>
      <c r="B2218" s="15" t="e">
        <f>VLOOKUP(D315,[1]국문!$1:$1048576,22,0)</f>
        <v>#N/A</v>
      </c>
      <c r="C2218" s="15"/>
      <c r="D2218" s="15"/>
      <c r="E2218" s="15"/>
      <c r="F2218" s="15"/>
    </row>
    <row r="2219" spans="1:6" ht="13.5" customHeight="1">
      <c r="A2219" s="12" t="e">
        <f t="shared" ref="A2219:A2224" si="31">A326</f>
        <v>#N/A</v>
      </c>
      <c r="B2219" s="15" t="e">
        <f>VLOOKUP(D316,[1]국문!$1:$1048576,22,0)</f>
        <v>#N/A</v>
      </c>
      <c r="C2219" s="15"/>
      <c r="D2219" s="15"/>
      <c r="E2219" s="15"/>
      <c r="F2219" s="15"/>
    </row>
    <row r="2220" spans="1:6" ht="13.5" customHeight="1">
      <c r="A2220" s="12" t="e">
        <f t="shared" si="31"/>
        <v>#N/A</v>
      </c>
      <c r="B2220" s="15" t="e">
        <f>VLOOKUP(D317,[1]국문!$1:$1048576,22,0)</f>
        <v>#N/A</v>
      </c>
      <c r="C2220" s="15"/>
      <c r="D2220" s="15"/>
      <c r="E2220" s="15"/>
      <c r="F2220" s="15"/>
    </row>
    <row r="2221" spans="1:6" ht="18" customHeight="1">
      <c r="A2221" s="12" t="e">
        <f t="shared" si="31"/>
        <v>#N/A</v>
      </c>
      <c r="B2221" s="15" t="e">
        <f>VLOOKUP(D318,[1]국문!$1:$1048576,22,0)</f>
        <v>#N/A</v>
      </c>
      <c r="C2221" s="15"/>
      <c r="D2221" s="15"/>
      <c r="E2221" s="15"/>
      <c r="F2221" s="15"/>
    </row>
    <row r="2222" spans="1:6" ht="18" customHeight="1">
      <c r="A2222" s="12" t="e">
        <f t="shared" si="31"/>
        <v>#N/A</v>
      </c>
      <c r="B2222" s="15" t="e">
        <f>VLOOKUP(D319,[1]국문!$1:$1048576,22,0)</f>
        <v>#N/A</v>
      </c>
      <c r="C2222" s="15"/>
      <c r="D2222" s="15"/>
      <c r="E2222" s="15"/>
      <c r="F2222" s="15"/>
    </row>
    <row r="2223" spans="1:6" ht="18" customHeight="1">
      <c r="A2223" s="12" t="e">
        <f t="shared" si="31"/>
        <v>#N/A</v>
      </c>
      <c r="B2223" s="15" t="e">
        <f>VLOOKUP(D320,[1]국문!$1:$1048576,22,0)</f>
        <v>#N/A</v>
      </c>
      <c r="C2223" s="15"/>
      <c r="D2223" s="15"/>
      <c r="E2223" s="15"/>
      <c r="F2223" s="15"/>
    </row>
    <row r="2224" spans="1:6" ht="18" customHeight="1">
      <c r="A2224" s="12" t="e">
        <f t="shared" si="31"/>
        <v>#N/A</v>
      </c>
      <c r="B2224" s="15" t="e">
        <f>VLOOKUP(D321,[1]국문!$1:$1048576,22,0)</f>
        <v>#N/A</v>
      </c>
      <c r="C2224" s="15"/>
      <c r="D2224" s="15"/>
      <c r="E2224" s="15"/>
      <c r="F2224" s="15"/>
    </row>
    <row r="2225" spans="1:6" ht="18" customHeight="1">
      <c r="A2225" s="12" t="e">
        <f>A332</f>
        <v>#N/A</v>
      </c>
      <c r="B2225" s="15" t="e">
        <f>VLOOKUP(D322,[1]국문!$1:$1048576,22,0)</f>
        <v>#N/A</v>
      </c>
      <c r="C2225" s="15"/>
      <c r="D2225" s="15"/>
      <c r="E2225" s="15"/>
      <c r="F2225" s="15"/>
    </row>
    <row r="2226" spans="1:6" ht="18" customHeight="1">
      <c r="A2226" s="8" t="s">
        <v>127</v>
      </c>
      <c r="B2226" s="15"/>
      <c r="C2226" s="15"/>
      <c r="D2226" s="15"/>
      <c r="E2226" s="15"/>
      <c r="F2226" s="15"/>
    </row>
    <row r="2227" spans="1:6" ht="18" customHeight="1">
      <c r="A2227" s="8" t="s">
        <v>82</v>
      </c>
      <c r="B2227" s="15" t="s">
        <v>1</v>
      </c>
      <c r="C2227" s="15"/>
      <c r="D2227" s="15"/>
      <c r="E2227" s="15"/>
      <c r="F2227" s="15"/>
    </row>
    <row r="2228" spans="1:6" ht="18" customHeight="1">
      <c r="A2228" s="8" t="s">
        <v>83</v>
      </c>
      <c r="B2228" s="15" t="s">
        <v>1</v>
      </c>
      <c r="C2228" s="15"/>
      <c r="D2228" s="15"/>
      <c r="E2228" s="15"/>
      <c r="F2228" s="15"/>
    </row>
    <row r="2229" spans="1:6" ht="18" customHeight="1">
      <c r="A2229" s="8" t="s">
        <v>128</v>
      </c>
      <c r="B2229" s="15"/>
      <c r="C2229" s="15"/>
      <c r="D2229" s="15"/>
      <c r="E2229" s="15"/>
      <c r="F2229" s="15"/>
    </row>
    <row r="2230" spans="1:6" ht="18" customHeight="1">
      <c r="A2230" s="8" t="s">
        <v>84</v>
      </c>
      <c r="B2230" s="15" t="s">
        <v>1</v>
      </c>
      <c r="C2230" s="15"/>
      <c r="D2230" s="15"/>
      <c r="E2230" s="15"/>
      <c r="F2230" s="15"/>
    </row>
    <row r="2231" spans="1:6" ht="18" customHeight="1">
      <c r="A2231" s="8" t="s">
        <v>85</v>
      </c>
      <c r="B2231" s="15" t="s">
        <v>175</v>
      </c>
      <c r="C2231" s="15"/>
      <c r="D2231" s="15"/>
      <c r="E2231" s="15"/>
      <c r="F2231" s="15"/>
    </row>
    <row r="2232" spans="1:6" ht="18" customHeight="1">
      <c r="A2232" s="8" t="s">
        <v>129</v>
      </c>
      <c r="B2232" s="15" t="s">
        <v>1</v>
      </c>
      <c r="C2232" s="15"/>
      <c r="D2232" s="15"/>
      <c r="E2232" s="15"/>
      <c r="F2232" s="15"/>
    </row>
    <row r="2233" spans="1:6" ht="18" customHeight="1">
      <c r="A2233" s="8" t="s">
        <v>130</v>
      </c>
      <c r="B2233" s="15" t="s">
        <v>1</v>
      </c>
      <c r="C2233" s="15"/>
      <c r="D2233" s="15"/>
      <c r="E2233" s="15"/>
      <c r="F2233" s="15"/>
    </row>
    <row r="2234" spans="1:6" ht="8.25" customHeight="1">
      <c r="A2234" s="18"/>
      <c r="B2234" s="18"/>
      <c r="C2234" s="18"/>
      <c r="D2234" s="18"/>
      <c r="E2234" s="18"/>
      <c r="F2234" s="18"/>
    </row>
    <row r="2235" spans="1:6" ht="20.25" customHeight="1">
      <c r="A2235" s="9" t="s">
        <v>15</v>
      </c>
      <c r="B2235" s="19"/>
      <c r="C2235" s="19"/>
      <c r="D2235" s="7"/>
      <c r="E2235" s="7"/>
      <c r="F2235" s="7"/>
    </row>
    <row r="2236" spans="1:6" ht="18" customHeight="1">
      <c r="A2236" s="8" t="s">
        <v>131</v>
      </c>
      <c r="B2236" s="15" t="s">
        <v>36</v>
      </c>
      <c r="C2236" s="15"/>
      <c r="D2236" s="15"/>
      <c r="E2236" s="15"/>
      <c r="F2236" s="15"/>
    </row>
    <row r="2237" spans="1:6" ht="18" customHeight="1">
      <c r="A2237" s="8" t="s">
        <v>132</v>
      </c>
      <c r="B2237" s="15" t="s">
        <v>37</v>
      </c>
      <c r="C2237" s="15"/>
      <c r="D2237" s="15"/>
      <c r="E2237" s="15"/>
      <c r="F2237" s="15"/>
    </row>
    <row r="2238" spans="1:6" ht="8.25" customHeight="1">
      <c r="A2238" s="18"/>
      <c r="B2238" s="18"/>
      <c r="C2238" s="18"/>
      <c r="D2238" s="18"/>
      <c r="E2238" s="18"/>
      <c r="F2238" s="18"/>
    </row>
    <row r="2239" spans="1:6" ht="20.25" customHeight="1">
      <c r="A2239" s="9" t="s">
        <v>44</v>
      </c>
      <c r="B2239" s="19"/>
      <c r="C2239" s="19"/>
      <c r="D2239" s="7"/>
      <c r="E2239" s="7"/>
      <c r="F2239" s="7"/>
    </row>
    <row r="2240" spans="1:6" ht="18" customHeight="1">
      <c r="A2240" s="8" t="s">
        <v>133</v>
      </c>
      <c r="B2240" s="15">
        <v>1760</v>
      </c>
      <c r="C2240" s="15"/>
      <c r="D2240" s="15"/>
      <c r="E2240" s="15"/>
      <c r="F2240" s="15"/>
    </row>
    <row r="2241" spans="1:6" ht="18" customHeight="1">
      <c r="A2241" s="8" t="s">
        <v>134</v>
      </c>
      <c r="B2241" s="15" t="s">
        <v>207</v>
      </c>
      <c r="C2241" s="15"/>
      <c r="D2241" s="15"/>
      <c r="E2241" s="15"/>
      <c r="F2241" s="15"/>
    </row>
    <row r="2242" spans="1:6" ht="18" customHeight="1">
      <c r="A2242" s="8" t="s">
        <v>135</v>
      </c>
      <c r="B2242" s="15">
        <v>8</v>
      </c>
      <c r="C2242" s="15"/>
      <c r="D2242" s="15"/>
      <c r="E2242" s="15"/>
      <c r="F2242" s="15"/>
    </row>
    <row r="2243" spans="1:6" ht="18" customHeight="1">
      <c r="A2243" s="8" t="s">
        <v>136</v>
      </c>
      <c r="B2243" s="15"/>
      <c r="C2243" s="15"/>
      <c r="D2243" s="15"/>
      <c r="E2243" s="15"/>
      <c r="F2243" s="15"/>
    </row>
    <row r="2244" spans="1:6" ht="18" customHeight="1">
      <c r="A2244" s="8" t="s">
        <v>137</v>
      </c>
      <c r="B2244" s="15"/>
      <c r="C2244" s="15"/>
      <c r="D2244" s="15"/>
      <c r="E2244" s="15"/>
      <c r="F2244" s="15"/>
    </row>
    <row r="2245" spans="1:6" ht="8.25" customHeight="1">
      <c r="A2245" s="18"/>
      <c r="B2245" s="18"/>
      <c r="C2245" s="18"/>
      <c r="D2245" s="18"/>
      <c r="E2245" s="18"/>
      <c r="F2245" s="18"/>
    </row>
    <row r="2246" spans="1:6" ht="20.25" customHeight="1">
      <c r="A2246" s="9" t="s">
        <v>17</v>
      </c>
      <c r="B2246" s="19"/>
      <c r="C2246" s="19"/>
      <c r="D2246" s="7"/>
      <c r="E2246" s="7"/>
      <c r="F2246" s="7"/>
    </row>
    <row r="2247" spans="1:6" ht="18" customHeight="1">
      <c r="A2247" s="8" t="s">
        <v>138</v>
      </c>
      <c r="B2247" s="15" t="s">
        <v>16</v>
      </c>
      <c r="C2247" s="15"/>
      <c r="D2247" s="15"/>
      <c r="E2247" s="15"/>
      <c r="F2247" s="15"/>
    </row>
    <row r="2248" spans="1:6" ht="18" customHeight="1">
      <c r="A2248" s="8" t="s">
        <v>139</v>
      </c>
      <c r="B2248" s="15" t="s">
        <v>47</v>
      </c>
      <c r="C2248" s="15"/>
      <c r="D2248" s="15"/>
      <c r="E2248" s="15"/>
      <c r="F2248" s="15"/>
    </row>
    <row r="2249" spans="1:6" ht="18" customHeight="1">
      <c r="A2249" s="8" t="s">
        <v>215</v>
      </c>
      <c r="B2249" s="15" t="s">
        <v>180</v>
      </c>
      <c r="C2249" s="15"/>
      <c r="D2249" s="15"/>
      <c r="E2249" s="15"/>
      <c r="F2249" s="15"/>
    </row>
    <row r="2250" spans="1:6" ht="18" customHeight="1">
      <c r="A2250" s="8" t="s">
        <v>140</v>
      </c>
      <c r="B2250" s="15" t="s">
        <v>48</v>
      </c>
      <c r="C2250" s="15"/>
      <c r="D2250" s="15"/>
      <c r="E2250" s="15"/>
      <c r="F2250" s="15"/>
    </row>
    <row r="2251" spans="1:6" ht="18" customHeight="1">
      <c r="A2251" s="8" t="s">
        <v>141</v>
      </c>
      <c r="B2251" s="15"/>
      <c r="C2251" s="15"/>
      <c r="D2251" s="15"/>
      <c r="E2251" s="15"/>
      <c r="F2251" s="15"/>
    </row>
    <row r="2252" spans="1:6" ht="18" customHeight="1">
      <c r="A2252" s="8" t="s">
        <v>86</v>
      </c>
      <c r="B2252" s="15"/>
      <c r="C2252" s="15"/>
      <c r="D2252" s="15"/>
      <c r="E2252" s="15"/>
      <c r="F2252" s="15"/>
    </row>
    <row r="2253" spans="1:6" ht="18" customHeight="1">
      <c r="A2253" s="8" t="s">
        <v>142</v>
      </c>
      <c r="B2253" s="15" t="s">
        <v>16</v>
      </c>
      <c r="C2253" s="15"/>
      <c r="D2253" s="15"/>
      <c r="E2253" s="15"/>
      <c r="F2253" s="15"/>
    </row>
    <row r="2254" spans="1:6" ht="18" customHeight="1">
      <c r="A2254" s="8" t="s">
        <v>87</v>
      </c>
      <c r="B2254" s="15"/>
      <c r="C2254" s="15"/>
      <c r="D2254" s="15"/>
      <c r="E2254" s="15"/>
      <c r="F2254" s="15"/>
    </row>
    <row r="2255" spans="1:6" ht="18" customHeight="1">
      <c r="A2255" s="8" t="s">
        <v>143</v>
      </c>
      <c r="B2255" s="15" t="s">
        <v>16</v>
      </c>
      <c r="C2255" s="15"/>
      <c r="D2255" s="15"/>
      <c r="E2255" s="15"/>
      <c r="F2255" s="15"/>
    </row>
    <row r="2256" spans="1:6" ht="18" customHeight="1">
      <c r="A2256" s="8" t="s">
        <v>144</v>
      </c>
      <c r="B2256" s="15" t="s">
        <v>16</v>
      </c>
      <c r="C2256" s="15"/>
      <c r="D2256" s="15"/>
      <c r="E2256" s="15"/>
      <c r="F2256" s="15"/>
    </row>
    <row r="2257" spans="1:6" ht="18" customHeight="1">
      <c r="A2257" s="8" t="s">
        <v>145</v>
      </c>
      <c r="B2257" s="15" t="s">
        <v>16</v>
      </c>
      <c r="C2257" s="15"/>
      <c r="D2257" s="15"/>
      <c r="E2257" s="15"/>
      <c r="F2257" s="15"/>
    </row>
    <row r="2258" spans="1:6" ht="18" customHeight="1">
      <c r="A2258" s="8" t="s">
        <v>146</v>
      </c>
      <c r="B2258" s="15" t="s">
        <v>16</v>
      </c>
      <c r="C2258" s="15"/>
      <c r="D2258" s="15"/>
      <c r="E2258" s="15"/>
      <c r="F2258" s="15"/>
    </row>
    <row r="2259" spans="1:6" ht="18" customHeight="1">
      <c r="A2259" s="8" t="s">
        <v>147</v>
      </c>
      <c r="B2259" s="15" t="s">
        <v>16</v>
      </c>
      <c r="C2259" s="15"/>
      <c r="D2259" s="15"/>
      <c r="E2259" s="15"/>
      <c r="F2259" s="15"/>
    </row>
    <row r="2260" spans="1:6" ht="18" customHeight="1">
      <c r="A2260" s="8" t="s">
        <v>148</v>
      </c>
      <c r="B2260" s="15" t="s">
        <v>16</v>
      </c>
      <c r="C2260" s="15"/>
      <c r="D2260" s="15"/>
      <c r="E2260" s="15"/>
      <c r="F2260" s="15"/>
    </row>
    <row r="2261" spans="1:6" ht="18" customHeight="1">
      <c r="A2261" s="8" t="s">
        <v>149</v>
      </c>
      <c r="B2261" s="15" t="s">
        <v>16</v>
      </c>
      <c r="C2261" s="15"/>
      <c r="D2261" s="15"/>
      <c r="E2261" s="15"/>
      <c r="F2261" s="15"/>
    </row>
    <row r="2262" spans="1:6" ht="18" customHeight="1">
      <c r="A2262" s="8" t="s">
        <v>150</v>
      </c>
      <c r="B2262" s="15" t="s">
        <v>16</v>
      </c>
      <c r="C2262" s="15"/>
      <c r="D2262" s="15"/>
      <c r="E2262" s="15"/>
      <c r="F2262" s="15"/>
    </row>
    <row r="2263" spans="1:6" ht="18" customHeight="1">
      <c r="A2263" s="8" t="s">
        <v>151</v>
      </c>
      <c r="B2263" s="15" t="s">
        <v>16</v>
      </c>
      <c r="C2263" s="15"/>
      <c r="D2263" s="15"/>
      <c r="E2263" s="15"/>
      <c r="F2263" s="15"/>
    </row>
    <row r="2264" spans="1:6" ht="18" customHeight="1">
      <c r="A2264" s="8" t="s">
        <v>152</v>
      </c>
      <c r="B2264" s="15" t="s">
        <v>16</v>
      </c>
      <c r="C2264" s="15"/>
      <c r="D2264" s="15"/>
      <c r="E2264" s="15"/>
      <c r="F2264" s="15"/>
    </row>
    <row r="2265" spans="1:6" ht="18" customHeight="1">
      <c r="A2265" s="8" t="s">
        <v>153</v>
      </c>
      <c r="B2265" s="15" t="s">
        <v>16</v>
      </c>
      <c r="C2265" s="15"/>
      <c r="D2265" s="15"/>
      <c r="E2265" s="15"/>
      <c r="F2265" s="15"/>
    </row>
    <row r="2266" spans="1:6" ht="8.25" customHeight="1">
      <c r="A2266" s="18"/>
      <c r="B2266" s="18"/>
      <c r="C2266" s="18"/>
      <c r="D2266" s="18"/>
      <c r="E2266" s="18"/>
      <c r="F2266" s="18"/>
    </row>
    <row r="2267" spans="1:6" ht="20.25" customHeight="1">
      <c r="A2267" s="9" t="s">
        <v>18</v>
      </c>
      <c r="B2267" s="19"/>
      <c r="C2267" s="19"/>
      <c r="D2267" s="19"/>
      <c r="E2267" s="19"/>
      <c r="F2267" s="19"/>
    </row>
    <row r="2268" spans="1:6" ht="18" customHeight="1">
      <c r="A2268" s="8" t="s">
        <v>19</v>
      </c>
      <c r="B2268" s="26"/>
      <c r="C2268" s="26"/>
      <c r="D2268" s="26"/>
      <c r="E2268" s="26"/>
      <c r="F2268" s="26"/>
    </row>
    <row r="2269" spans="1:6" ht="37.5" customHeight="1">
      <c r="A2269" s="31" t="s">
        <v>182</v>
      </c>
      <c r="B2269" s="31"/>
      <c r="C2269" s="31"/>
      <c r="D2269" s="31"/>
      <c r="E2269" s="31"/>
      <c r="F2269" s="31"/>
    </row>
    <row r="2270" spans="1:6" ht="18" customHeight="1">
      <c r="A2270" s="8" t="s">
        <v>20</v>
      </c>
      <c r="B2270" s="32" t="s">
        <v>209</v>
      </c>
      <c r="C2270" s="15"/>
      <c r="D2270" s="15"/>
      <c r="E2270" s="15"/>
      <c r="F2270" s="15"/>
    </row>
    <row r="2271" spans="1:6" ht="18" customHeight="1">
      <c r="A2271" s="8" t="s">
        <v>21</v>
      </c>
      <c r="B2271" s="26"/>
      <c r="C2271" s="26"/>
      <c r="D2271" s="26"/>
      <c r="E2271" s="26"/>
      <c r="F2271" s="26"/>
    </row>
    <row r="2272" spans="1:6" ht="18" customHeight="1">
      <c r="A2272" s="8" t="s">
        <v>88</v>
      </c>
      <c r="B2272" s="15" t="s">
        <v>31</v>
      </c>
      <c r="C2272" s="15"/>
      <c r="D2272" s="15"/>
      <c r="E2272" s="15"/>
      <c r="F2272" s="15"/>
    </row>
    <row r="2273" spans="1:6" ht="18" customHeight="1">
      <c r="A2273" s="8" t="s">
        <v>89</v>
      </c>
      <c r="B2273" s="33"/>
      <c r="C2273" s="33"/>
      <c r="D2273" s="33"/>
      <c r="E2273" s="33"/>
      <c r="F2273" s="33"/>
    </row>
    <row r="2274" spans="1:6" ht="26.25" customHeight="1">
      <c r="A2274" s="8" t="s">
        <v>22</v>
      </c>
      <c r="B2274" s="15" t="s">
        <v>32</v>
      </c>
      <c r="C2274" s="15"/>
      <c r="D2274" s="15"/>
      <c r="E2274" s="15"/>
      <c r="F2274" s="15"/>
    </row>
    <row r="2275" spans="1:6" ht="15" customHeight="1" thickBot="1">
      <c r="A2275" s="27"/>
      <c r="B2275" s="27"/>
      <c r="C2275" s="27"/>
      <c r="D2275" s="27"/>
      <c r="E2275" s="27"/>
      <c r="F2275" s="27"/>
    </row>
    <row r="2276" spans="1:6" ht="45" customHeight="1" thickTop="1" thickBot="1">
      <c r="A2276" s="28" t="s">
        <v>42</v>
      </c>
      <c r="B2276" s="29"/>
      <c r="C2276" s="29"/>
      <c r="D2276" s="29"/>
      <c r="E2276" s="29"/>
      <c r="F2276" s="30"/>
    </row>
    <row r="2277" spans="1:6" ht="15" customHeight="1" thickTop="1"/>
    <row r="2278" spans="1:6" ht="15" customHeight="1"/>
    <row r="2279" spans="1:6" ht="15" customHeight="1"/>
    <row r="2280" spans="1:6" ht="15" customHeight="1"/>
    <row r="2281" spans="1:6" ht="15" customHeight="1"/>
    <row r="2282" spans="1:6" ht="15" customHeight="1"/>
    <row r="2283" spans="1:6" ht="15" customHeight="1"/>
    <row r="2284" spans="1:6" ht="15" customHeight="1"/>
    <row r="2285" spans="1:6" ht="15" customHeight="1"/>
    <row r="2286" spans="1:6" ht="15" customHeight="1"/>
    <row r="2287" spans="1:6" ht="15" customHeight="1"/>
    <row r="2288" spans="1:6" ht="15" customHeight="1"/>
    <row r="2289" ht="15" customHeight="1"/>
    <row r="2290" ht="15" customHeight="1"/>
    <row r="2291" ht="18.75" customHeight="1"/>
  </sheetData>
  <mergeCells count="2371">
    <mergeCell ref="B555:F555"/>
    <mergeCell ref="B556:F556"/>
    <mergeCell ref="B546:F546"/>
    <mergeCell ref="B547:F547"/>
    <mergeCell ref="B548:F548"/>
    <mergeCell ref="B549:F549"/>
    <mergeCell ref="B550:F550"/>
    <mergeCell ref="B551:F551"/>
    <mergeCell ref="B552:F552"/>
    <mergeCell ref="B553:F553"/>
    <mergeCell ref="B554:F554"/>
    <mergeCell ref="B537:F537"/>
    <mergeCell ref="B538:F538"/>
    <mergeCell ref="B539:F539"/>
    <mergeCell ref="B540:F540"/>
    <mergeCell ref="B541:F541"/>
    <mergeCell ref="B542:F542"/>
    <mergeCell ref="B543:F543"/>
    <mergeCell ref="B544:F544"/>
    <mergeCell ref="B545:F545"/>
    <mergeCell ref="B528:F528"/>
    <mergeCell ref="B529:F529"/>
    <mergeCell ref="B530:F530"/>
    <mergeCell ref="B531:F531"/>
    <mergeCell ref="B532:F532"/>
    <mergeCell ref="B533:F533"/>
    <mergeCell ref="B534:F534"/>
    <mergeCell ref="B535:F535"/>
    <mergeCell ref="B536:F536"/>
    <mergeCell ref="B519:F519"/>
    <mergeCell ref="B520:F520"/>
    <mergeCell ref="B521:F521"/>
    <mergeCell ref="B522:F522"/>
    <mergeCell ref="B523:F523"/>
    <mergeCell ref="B524:F524"/>
    <mergeCell ref="B525:F525"/>
    <mergeCell ref="B526:F526"/>
    <mergeCell ref="B527:F527"/>
    <mergeCell ref="B510:F510"/>
    <mergeCell ref="B511:F511"/>
    <mergeCell ref="B512:F512"/>
    <mergeCell ref="B513:F513"/>
    <mergeCell ref="B514:F514"/>
    <mergeCell ref="B515:F515"/>
    <mergeCell ref="B516:F516"/>
    <mergeCell ref="B517:F517"/>
    <mergeCell ref="B518:F518"/>
    <mergeCell ref="B501:F501"/>
    <mergeCell ref="B502:F502"/>
    <mergeCell ref="B503:F503"/>
    <mergeCell ref="B504:F504"/>
    <mergeCell ref="B505:F505"/>
    <mergeCell ref="B506:F506"/>
    <mergeCell ref="B507:F507"/>
    <mergeCell ref="B508:F508"/>
    <mergeCell ref="B509:F509"/>
    <mergeCell ref="B493:F493"/>
    <mergeCell ref="B494:F494"/>
    <mergeCell ref="B495:F495"/>
    <mergeCell ref="B496:F496"/>
    <mergeCell ref="B497:F497"/>
    <mergeCell ref="B498:F498"/>
    <mergeCell ref="B499:F499"/>
    <mergeCell ref="B500:F500"/>
    <mergeCell ref="B483:F483"/>
    <mergeCell ref="B484:F484"/>
    <mergeCell ref="B485:F485"/>
    <mergeCell ref="B486:F486"/>
    <mergeCell ref="B487:F487"/>
    <mergeCell ref="B488:F488"/>
    <mergeCell ref="B489:F489"/>
    <mergeCell ref="B490:F490"/>
    <mergeCell ref="B491:F491"/>
    <mergeCell ref="B476:F476"/>
    <mergeCell ref="B477:F477"/>
    <mergeCell ref="B478:F478"/>
    <mergeCell ref="B479:F479"/>
    <mergeCell ref="B480:F480"/>
    <mergeCell ref="B481:F481"/>
    <mergeCell ref="B482:F482"/>
    <mergeCell ref="B416:F416"/>
    <mergeCell ref="B417:F417"/>
    <mergeCell ref="B418:F418"/>
    <mergeCell ref="B419:F419"/>
    <mergeCell ref="B420:F420"/>
    <mergeCell ref="B421:F421"/>
    <mergeCell ref="B422:F422"/>
    <mergeCell ref="B459:F459"/>
    <mergeCell ref="B460:F460"/>
    <mergeCell ref="B492:F492"/>
    <mergeCell ref="B409:F409"/>
    <mergeCell ref="B410:F410"/>
    <mergeCell ref="B411:F411"/>
    <mergeCell ref="B412:F412"/>
    <mergeCell ref="B413:F413"/>
    <mergeCell ref="B414:F414"/>
    <mergeCell ref="B415:F415"/>
    <mergeCell ref="B386:F386"/>
    <mergeCell ref="B387:F387"/>
    <mergeCell ref="B423:F423"/>
    <mergeCell ref="B424:F424"/>
    <mergeCell ref="B425:F425"/>
    <mergeCell ref="B388:F388"/>
    <mergeCell ref="B389:F389"/>
    <mergeCell ref="B390:F390"/>
    <mergeCell ref="B391:F391"/>
    <mergeCell ref="B392:F392"/>
    <mergeCell ref="B393:F393"/>
    <mergeCell ref="B394:F394"/>
    <mergeCell ref="B395:F395"/>
    <mergeCell ref="B396:F396"/>
    <mergeCell ref="B397:F397"/>
    <mergeCell ref="B398:F398"/>
    <mergeCell ref="B399:F399"/>
    <mergeCell ref="B400:F400"/>
    <mergeCell ref="B401:F401"/>
    <mergeCell ref="B402:F402"/>
    <mergeCell ref="B403:F403"/>
    <mergeCell ref="B404:F404"/>
    <mergeCell ref="B405:F405"/>
    <mergeCell ref="B380:F380"/>
    <mergeCell ref="B381:F381"/>
    <mergeCell ref="B382:F382"/>
    <mergeCell ref="B383:F383"/>
    <mergeCell ref="B384:F384"/>
    <mergeCell ref="B385:F385"/>
    <mergeCell ref="B368:F368"/>
    <mergeCell ref="B369:F369"/>
    <mergeCell ref="B370:F370"/>
    <mergeCell ref="B371:F371"/>
    <mergeCell ref="B372:F372"/>
    <mergeCell ref="B373:F373"/>
    <mergeCell ref="B374:F374"/>
    <mergeCell ref="B375:F375"/>
    <mergeCell ref="B376:F376"/>
    <mergeCell ref="B407:F407"/>
    <mergeCell ref="B408:F408"/>
    <mergeCell ref="B359:F359"/>
    <mergeCell ref="B360:F360"/>
    <mergeCell ref="B361:F361"/>
    <mergeCell ref="B362:F362"/>
    <mergeCell ref="B363:F363"/>
    <mergeCell ref="B364:F364"/>
    <mergeCell ref="B365:F365"/>
    <mergeCell ref="B366:F366"/>
    <mergeCell ref="B367:F367"/>
    <mergeCell ref="B447:F447"/>
    <mergeCell ref="B448:F448"/>
    <mergeCell ref="B449:F449"/>
    <mergeCell ref="B426:F426"/>
    <mergeCell ref="B427:F427"/>
    <mergeCell ref="B428:F428"/>
    <mergeCell ref="B429:F429"/>
    <mergeCell ref="B430:F430"/>
    <mergeCell ref="B431:F431"/>
    <mergeCell ref="B432:F432"/>
    <mergeCell ref="B433:F433"/>
    <mergeCell ref="B434:F434"/>
    <mergeCell ref="B435:F435"/>
    <mergeCell ref="B436:F436"/>
    <mergeCell ref="B437:F437"/>
    <mergeCell ref="B438:F438"/>
    <mergeCell ref="B439:F439"/>
    <mergeCell ref="B440:F440"/>
    <mergeCell ref="B441:F441"/>
    <mergeCell ref="B406:F406"/>
    <mergeCell ref="B377:F377"/>
    <mergeCell ref="B378:F378"/>
    <mergeCell ref="B379:F379"/>
    <mergeCell ref="B2092:F2092"/>
    <mergeCell ref="B2093:F2093"/>
    <mergeCell ref="B456:F456"/>
    <mergeCell ref="B454:F454"/>
    <mergeCell ref="B455:F455"/>
    <mergeCell ref="B450:F450"/>
    <mergeCell ref="B451:F451"/>
    <mergeCell ref="B452:F452"/>
    <mergeCell ref="B453:F453"/>
    <mergeCell ref="B461:F461"/>
    <mergeCell ref="B462:F462"/>
    <mergeCell ref="B463:F463"/>
    <mergeCell ref="B464:F464"/>
    <mergeCell ref="B465:F465"/>
    <mergeCell ref="B466:F466"/>
    <mergeCell ref="B467:F467"/>
    <mergeCell ref="B468:F468"/>
    <mergeCell ref="B469:F469"/>
    <mergeCell ref="B470:F470"/>
    <mergeCell ref="B471:F471"/>
    <mergeCell ref="B472:F472"/>
    <mergeCell ref="B473:F473"/>
    <mergeCell ref="B2081:F2081"/>
    <mergeCell ref="B2082:F2082"/>
    <mergeCell ref="B2083:F2083"/>
    <mergeCell ref="B2084:F2084"/>
    <mergeCell ref="B2085:F2085"/>
    <mergeCell ref="B2086:F2086"/>
    <mergeCell ref="B2087:F2087"/>
    <mergeCell ref="B2088:F2088"/>
    <mergeCell ref="B474:F474"/>
    <mergeCell ref="B475:F475"/>
    <mergeCell ref="B2075:F2075"/>
    <mergeCell ref="B2076:F2076"/>
    <mergeCell ref="B2077:F2077"/>
    <mergeCell ref="B2078:F2078"/>
    <mergeCell ref="B2079:F2079"/>
    <mergeCell ref="B2080:F2080"/>
    <mergeCell ref="B2063:F2063"/>
    <mergeCell ref="B2064:F2064"/>
    <mergeCell ref="B2065:F2065"/>
    <mergeCell ref="B2066:F2066"/>
    <mergeCell ref="B2067:F2067"/>
    <mergeCell ref="B2068:F2068"/>
    <mergeCell ref="B2069:F2069"/>
    <mergeCell ref="B2070:F2070"/>
    <mergeCell ref="B2071:F2071"/>
    <mergeCell ref="B2090:F2090"/>
    <mergeCell ref="B2091:F2091"/>
    <mergeCell ref="B2043:F2043"/>
    <mergeCell ref="B2044:F2044"/>
    <mergeCell ref="B2146:F2146"/>
    <mergeCell ref="B2147:F2147"/>
    <mergeCell ref="B2148:F2148"/>
    <mergeCell ref="B2149:F2149"/>
    <mergeCell ref="B2150:F2150"/>
    <mergeCell ref="B2151:F2151"/>
    <mergeCell ref="B2152:F2152"/>
    <mergeCell ref="B2153:F2153"/>
    <mergeCell ref="B2054:F2054"/>
    <mergeCell ref="B2055:F2055"/>
    <mergeCell ref="B2056:F2056"/>
    <mergeCell ref="B2057:F2057"/>
    <mergeCell ref="B2058:F2058"/>
    <mergeCell ref="B2059:F2059"/>
    <mergeCell ref="B2060:F2060"/>
    <mergeCell ref="B2061:F2061"/>
    <mergeCell ref="B2062:F2062"/>
    <mergeCell ref="B2045:F2045"/>
    <mergeCell ref="B2046:F2046"/>
    <mergeCell ref="B2047:F2047"/>
    <mergeCell ref="B2048:F2048"/>
    <mergeCell ref="B2049:F2049"/>
    <mergeCell ref="B2050:F2050"/>
    <mergeCell ref="B2051:F2051"/>
    <mergeCell ref="B2052:F2052"/>
    <mergeCell ref="B2053:F2053"/>
    <mergeCell ref="B2089:F2089"/>
    <mergeCell ref="B2072:F2072"/>
    <mergeCell ref="B2073:F2073"/>
    <mergeCell ref="B2074:F2074"/>
    <mergeCell ref="B2026:F2026"/>
    <mergeCell ref="B2027:F2027"/>
    <mergeCell ref="B2028:F2028"/>
    <mergeCell ref="B2029:F2029"/>
    <mergeCell ref="B2030:F2030"/>
    <mergeCell ref="B2031:F2031"/>
    <mergeCell ref="B2032:F2032"/>
    <mergeCell ref="B2033:F2033"/>
    <mergeCell ref="B2034:F2034"/>
    <mergeCell ref="B2035:F2035"/>
    <mergeCell ref="B2036:F2036"/>
    <mergeCell ref="B2037:F2037"/>
    <mergeCell ref="B2038:F2038"/>
    <mergeCell ref="B2039:F2039"/>
    <mergeCell ref="B2040:F2040"/>
    <mergeCell ref="B2041:F2041"/>
    <mergeCell ref="B2042:F2042"/>
    <mergeCell ref="B2192:F2192"/>
    <mergeCell ref="B2094:F2094"/>
    <mergeCell ref="B2095:F2095"/>
    <mergeCell ref="B2096:F2096"/>
    <mergeCell ref="B2097:F2097"/>
    <mergeCell ref="B2098:F2098"/>
    <mergeCell ref="B2099:F2099"/>
    <mergeCell ref="B2100:F2100"/>
    <mergeCell ref="B2101:F2101"/>
    <mergeCell ref="B2102:F2102"/>
    <mergeCell ref="B2103:F2103"/>
    <mergeCell ref="B2104:F2104"/>
    <mergeCell ref="B2105:F2105"/>
    <mergeCell ref="B2106:F2106"/>
    <mergeCell ref="B2107:F2107"/>
    <mergeCell ref="B2108:F2108"/>
    <mergeCell ref="B2109:F2109"/>
    <mergeCell ref="B2110:F2110"/>
    <mergeCell ref="B2111:F2111"/>
    <mergeCell ref="B2112:F2112"/>
    <mergeCell ref="B2179:F2179"/>
    <mergeCell ref="B2180:F2180"/>
    <mergeCell ref="B2181:F2181"/>
    <mergeCell ref="B2182:F2182"/>
    <mergeCell ref="B2183:F2183"/>
    <mergeCell ref="B2184:F2184"/>
    <mergeCell ref="B2185:F2185"/>
    <mergeCell ref="B2186:F2186"/>
    <mergeCell ref="B2154:F2154"/>
    <mergeCell ref="B2137:F2137"/>
    <mergeCell ref="B2138:F2138"/>
    <mergeCell ref="B2139:F2139"/>
    <mergeCell ref="B1878:F1878"/>
    <mergeCell ref="B1879:F1879"/>
    <mergeCell ref="B1880:F1880"/>
    <mergeCell ref="B2160:F2160"/>
    <mergeCell ref="B2161:F2161"/>
    <mergeCell ref="B2162:F2162"/>
    <mergeCell ref="B2163:F2163"/>
    <mergeCell ref="B2164:F2164"/>
    <mergeCell ref="B2165:F2165"/>
    <mergeCell ref="B2113:F2113"/>
    <mergeCell ref="B2114:F2114"/>
    <mergeCell ref="B2115:F2115"/>
    <mergeCell ref="B2116:F2116"/>
    <mergeCell ref="B2117:F2117"/>
    <mergeCell ref="B2118:F2118"/>
    <mergeCell ref="B2119:F2119"/>
    <mergeCell ref="B2120:F2120"/>
    <mergeCell ref="B2121:F2121"/>
    <mergeCell ref="B2122:F2122"/>
    <mergeCell ref="B2123:F2123"/>
    <mergeCell ref="B2124:F2124"/>
    <mergeCell ref="B2125:F2125"/>
    <mergeCell ref="B2140:F2140"/>
    <mergeCell ref="B2141:F2141"/>
    <mergeCell ref="B2142:F2142"/>
    <mergeCell ref="B2143:F2143"/>
    <mergeCell ref="B2144:F2144"/>
    <mergeCell ref="B2145:F2145"/>
    <mergeCell ref="B2128:F2128"/>
    <mergeCell ref="B2129:F2129"/>
    <mergeCell ref="B2130:F2130"/>
    <mergeCell ref="B2131:F2131"/>
    <mergeCell ref="B1946:F1946"/>
    <mergeCell ref="B1947:F1947"/>
    <mergeCell ref="B1948:F1948"/>
    <mergeCell ref="B1949:F1949"/>
    <mergeCell ref="B1950:F1950"/>
    <mergeCell ref="B1951:F1951"/>
    <mergeCell ref="B1952:F1952"/>
    <mergeCell ref="B1937:F1937"/>
    <mergeCell ref="B1938:F1938"/>
    <mergeCell ref="B1939:F1939"/>
    <mergeCell ref="B1940:F1940"/>
    <mergeCell ref="B1941:F1941"/>
    <mergeCell ref="B2187:F2187"/>
    <mergeCell ref="B2170:F2170"/>
    <mergeCell ref="B2171:F2171"/>
    <mergeCell ref="B2172:F2172"/>
    <mergeCell ref="B2173:F2173"/>
    <mergeCell ref="B2174:F2174"/>
    <mergeCell ref="B2175:F2175"/>
    <mergeCell ref="B2176:F2176"/>
    <mergeCell ref="B2177:F2177"/>
    <mergeCell ref="B2178:F2178"/>
    <mergeCell ref="B2132:F2132"/>
    <mergeCell ref="B2133:F2133"/>
    <mergeCell ref="B2134:F2134"/>
    <mergeCell ref="B2135:F2135"/>
    <mergeCell ref="B2136:F2136"/>
    <mergeCell ref="B2155:F2155"/>
    <mergeCell ref="B2156:F2156"/>
    <mergeCell ref="B2157:F2157"/>
    <mergeCell ref="B2158:F2158"/>
    <mergeCell ref="B2159:F2159"/>
    <mergeCell ref="B1869:F1869"/>
    <mergeCell ref="B1870:F1870"/>
    <mergeCell ref="B1871:F1871"/>
    <mergeCell ref="B1872:F1872"/>
    <mergeCell ref="B1873:F1873"/>
    <mergeCell ref="B1874:F1874"/>
    <mergeCell ref="B1875:F1875"/>
    <mergeCell ref="B1876:F1876"/>
    <mergeCell ref="B1877:F1877"/>
    <mergeCell ref="B1860:F1860"/>
    <mergeCell ref="B1861:F1861"/>
    <mergeCell ref="B1862:F1862"/>
    <mergeCell ref="B1863:F1863"/>
    <mergeCell ref="B1864:F1864"/>
    <mergeCell ref="B1865:F1865"/>
    <mergeCell ref="B1866:F1866"/>
    <mergeCell ref="B1867:F1867"/>
    <mergeCell ref="B1868:F1868"/>
    <mergeCell ref="B1851:F1851"/>
    <mergeCell ref="B1852:F1852"/>
    <mergeCell ref="B1853:F1853"/>
    <mergeCell ref="B1854:F1854"/>
    <mergeCell ref="B1855:F1855"/>
    <mergeCell ref="B1856:F1856"/>
    <mergeCell ref="B1857:F1857"/>
    <mergeCell ref="B1858:F1858"/>
    <mergeCell ref="B1859:F1859"/>
    <mergeCell ref="B1842:F1842"/>
    <mergeCell ref="B1843:F1843"/>
    <mergeCell ref="B1844:F1844"/>
    <mergeCell ref="B1845:F1845"/>
    <mergeCell ref="B1846:F1846"/>
    <mergeCell ref="B1847:F1847"/>
    <mergeCell ref="B1848:F1848"/>
    <mergeCell ref="B1849:F1849"/>
    <mergeCell ref="B1850:F1850"/>
    <mergeCell ref="B1825:F1825"/>
    <mergeCell ref="B1826:F1826"/>
    <mergeCell ref="B1827:F1827"/>
    <mergeCell ref="B1828:F1828"/>
    <mergeCell ref="B1829:F1829"/>
    <mergeCell ref="B1830:F1830"/>
    <mergeCell ref="B1831:F1831"/>
    <mergeCell ref="B1832:F1832"/>
    <mergeCell ref="B1833:F1833"/>
    <mergeCell ref="B1834:F1834"/>
    <mergeCell ref="B1835:F1835"/>
    <mergeCell ref="B1836:F1836"/>
    <mergeCell ref="B1837:F1837"/>
    <mergeCell ref="B1838:F1838"/>
    <mergeCell ref="B1839:F1839"/>
    <mergeCell ref="B1840:F1840"/>
    <mergeCell ref="B1841:F1841"/>
    <mergeCell ref="B1942:F1942"/>
    <mergeCell ref="B1943:F1943"/>
    <mergeCell ref="B1944:F1944"/>
    <mergeCell ref="B1945:F1945"/>
    <mergeCell ref="B1928:F1928"/>
    <mergeCell ref="B1929:F1929"/>
    <mergeCell ref="B1930:F1930"/>
    <mergeCell ref="B1931:F1931"/>
    <mergeCell ref="B1932:F1932"/>
    <mergeCell ref="B1933:F1933"/>
    <mergeCell ref="B1934:F1934"/>
    <mergeCell ref="B1935:F1935"/>
    <mergeCell ref="B1936:F1936"/>
    <mergeCell ref="B1919:F1919"/>
    <mergeCell ref="B1920:F1920"/>
    <mergeCell ref="B1921:F1921"/>
    <mergeCell ref="B1922:F1922"/>
    <mergeCell ref="B1923:F1923"/>
    <mergeCell ref="B1924:F1924"/>
    <mergeCell ref="B1925:F1925"/>
    <mergeCell ref="B1926:F1926"/>
    <mergeCell ref="B1927:F1927"/>
    <mergeCell ref="B1988:F1988"/>
    <mergeCell ref="B1881:F1881"/>
    <mergeCell ref="B1882:F1882"/>
    <mergeCell ref="B1883:F1883"/>
    <mergeCell ref="B1884:F1884"/>
    <mergeCell ref="B1885:F1885"/>
    <mergeCell ref="B1886:F1886"/>
    <mergeCell ref="B1887:F1887"/>
    <mergeCell ref="B1888:F1888"/>
    <mergeCell ref="B1889:F1889"/>
    <mergeCell ref="B1890:F1890"/>
    <mergeCell ref="B1891:F1891"/>
    <mergeCell ref="B1892:F1892"/>
    <mergeCell ref="B1893:F1893"/>
    <mergeCell ref="B1894:F1894"/>
    <mergeCell ref="B1895:F1895"/>
    <mergeCell ref="B1896:F1896"/>
    <mergeCell ref="B1897:F1897"/>
    <mergeCell ref="B1898:F1898"/>
    <mergeCell ref="B1899:F1899"/>
    <mergeCell ref="B1900:F1900"/>
    <mergeCell ref="B1901:F1901"/>
    <mergeCell ref="B1902:F1902"/>
    <mergeCell ref="B1903:F1903"/>
    <mergeCell ref="B1979:F1979"/>
    <mergeCell ref="B1980:F1980"/>
    <mergeCell ref="B1981:F1981"/>
    <mergeCell ref="B1982:F1982"/>
    <mergeCell ref="B1983:F1983"/>
    <mergeCell ref="B1984:F1984"/>
    <mergeCell ref="B1985:F1985"/>
    <mergeCell ref="B1986:F1986"/>
    <mergeCell ref="B1987:F1987"/>
    <mergeCell ref="B1970:F1970"/>
    <mergeCell ref="B1971:F1971"/>
    <mergeCell ref="B1972:F1972"/>
    <mergeCell ref="B1973:F1973"/>
    <mergeCell ref="B1974:F1974"/>
    <mergeCell ref="B1975:F1975"/>
    <mergeCell ref="B1976:F1976"/>
    <mergeCell ref="B1977:F1977"/>
    <mergeCell ref="B1978:F1978"/>
    <mergeCell ref="B1961:F1961"/>
    <mergeCell ref="B1962:F1962"/>
    <mergeCell ref="B1963:F1963"/>
    <mergeCell ref="B1964:F1964"/>
    <mergeCell ref="B1965:F1965"/>
    <mergeCell ref="B1966:F1966"/>
    <mergeCell ref="B1967:F1967"/>
    <mergeCell ref="B1968:F1968"/>
    <mergeCell ref="B1969:F1969"/>
    <mergeCell ref="B1683:F1683"/>
    <mergeCell ref="B1953:F1953"/>
    <mergeCell ref="B1954:F1954"/>
    <mergeCell ref="B1955:F1955"/>
    <mergeCell ref="B1956:F1956"/>
    <mergeCell ref="B1957:F1957"/>
    <mergeCell ref="B1958:F1958"/>
    <mergeCell ref="B1959:F1959"/>
    <mergeCell ref="B1960:F1960"/>
    <mergeCell ref="B1904:F1904"/>
    <mergeCell ref="B1905:F1905"/>
    <mergeCell ref="B1906:F1906"/>
    <mergeCell ref="B1907:F1907"/>
    <mergeCell ref="B1908:F1908"/>
    <mergeCell ref="B1909:F1909"/>
    <mergeCell ref="B1910:F1910"/>
    <mergeCell ref="B1911:F1911"/>
    <mergeCell ref="B1912:F1912"/>
    <mergeCell ref="B1913:F1913"/>
    <mergeCell ref="B1914:F1914"/>
    <mergeCell ref="B1915:F1915"/>
    <mergeCell ref="B1916:F1916"/>
    <mergeCell ref="B1917:F1917"/>
    <mergeCell ref="B1918:F1918"/>
    <mergeCell ref="B1753:F1753"/>
    <mergeCell ref="B1734:F1734"/>
    <mergeCell ref="B1717:F1717"/>
    <mergeCell ref="B1718:F1718"/>
    <mergeCell ref="B1719:F1719"/>
    <mergeCell ref="B1720:F1720"/>
    <mergeCell ref="B1721:F1721"/>
    <mergeCell ref="B1722:F1722"/>
    <mergeCell ref="B1674:F1674"/>
    <mergeCell ref="B1675:F1675"/>
    <mergeCell ref="B1676:F1676"/>
    <mergeCell ref="B1677:F1677"/>
    <mergeCell ref="B1678:F1678"/>
    <mergeCell ref="B1679:F1679"/>
    <mergeCell ref="B1680:F1680"/>
    <mergeCell ref="B1681:F1681"/>
    <mergeCell ref="B1682:F1682"/>
    <mergeCell ref="B1665:F1665"/>
    <mergeCell ref="B1666:F1666"/>
    <mergeCell ref="B1667:F1667"/>
    <mergeCell ref="B1668:F1668"/>
    <mergeCell ref="B1669:F1669"/>
    <mergeCell ref="B1670:F1670"/>
    <mergeCell ref="B1671:F1671"/>
    <mergeCell ref="B1672:F1672"/>
    <mergeCell ref="B1673:F1673"/>
    <mergeCell ref="B1656:F1656"/>
    <mergeCell ref="B1657:F1657"/>
    <mergeCell ref="B1658:F1658"/>
    <mergeCell ref="B1659:F1659"/>
    <mergeCell ref="B1660:F1660"/>
    <mergeCell ref="B1661:F1661"/>
    <mergeCell ref="B1662:F1662"/>
    <mergeCell ref="B1663:F1663"/>
    <mergeCell ref="B1664:F1664"/>
    <mergeCell ref="B1647:F1647"/>
    <mergeCell ref="B1648:F1648"/>
    <mergeCell ref="B1649:F1649"/>
    <mergeCell ref="B1650:F1650"/>
    <mergeCell ref="B1651:F1651"/>
    <mergeCell ref="B1652:F1652"/>
    <mergeCell ref="B1653:F1653"/>
    <mergeCell ref="B1654:F1654"/>
    <mergeCell ref="B1655:F1655"/>
    <mergeCell ref="B1624:F1624"/>
    <mergeCell ref="B1625:F1625"/>
    <mergeCell ref="B1626:F1626"/>
    <mergeCell ref="B1627:F1627"/>
    <mergeCell ref="B1628:F1628"/>
    <mergeCell ref="B1629:F1629"/>
    <mergeCell ref="B1630:F1630"/>
    <mergeCell ref="B1631:F1631"/>
    <mergeCell ref="B1632:F1632"/>
    <mergeCell ref="B1633:F1633"/>
    <mergeCell ref="B1634:F1634"/>
    <mergeCell ref="B1635:F1635"/>
    <mergeCell ref="B1636:F1636"/>
    <mergeCell ref="B1637:F1637"/>
    <mergeCell ref="B1638:F1638"/>
    <mergeCell ref="B1639:F1639"/>
    <mergeCell ref="B1640:F1640"/>
    <mergeCell ref="B1641:F1641"/>
    <mergeCell ref="B1642:F1642"/>
    <mergeCell ref="B1643:F1643"/>
    <mergeCell ref="B1644:F1644"/>
    <mergeCell ref="B1645:F1645"/>
    <mergeCell ref="B1646:F1646"/>
    <mergeCell ref="B1744:F1744"/>
    <mergeCell ref="B1745:F1745"/>
    <mergeCell ref="B1746:F1746"/>
    <mergeCell ref="B1747:F1747"/>
    <mergeCell ref="B1748:F1748"/>
    <mergeCell ref="B1749:F1749"/>
    <mergeCell ref="B1750:F1750"/>
    <mergeCell ref="B1751:F1751"/>
    <mergeCell ref="B1752:F1752"/>
    <mergeCell ref="B1735:F1735"/>
    <mergeCell ref="B1736:F1736"/>
    <mergeCell ref="B1737:F1737"/>
    <mergeCell ref="B1738:F1738"/>
    <mergeCell ref="B1739:F1739"/>
    <mergeCell ref="B1740:F1740"/>
    <mergeCell ref="B1741:F1741"/>
    <mergeCell ref="B1742:F1742"/>
    <mergeCell ref="B1743:F1743"/>
    <mergeCell ref="B1726:F1726"/>
    <mergeCell ref="B1727:F1727"/>
    <mergeCell ref="B1728:F1728"/>
    <mergeCell ref="B1729:F1729"/>
    <mergeCell ref="B1730:F1730"/>
    <mergeCell ref="B1731:F1731"/>
    <mergeCell ref="B1732:F1732"/>
    <mergeCell ref="B1733:F1733"/>
    <mergeCell ref="B1723:F1723"/>
    <mergeCell ref="B1724:F1724"/>
    <mergeCell ref="B1725:F1725"/>
    <mergeCell ref="B1708:F1708"/>
    <mergeCell ref="B1709:F1709"/>
    <mergeCell ref="B1710:F1710"/>
    <mergeCell ref="B1711:F1711"/>
    <mergeCell ref="B1712:F1712"/>
    <mergeCell ref="B1713:F1713"/>
    <mergeCell ref="B1714:F1714"/>
    <mergeCell ref="B1715:F1715"/>
    <mergeCell ref="B1716:F1716"/>
    <mergeCell ref="B1699:F1699"/>
    <mergeCell ref="B1700:F1700"/>
    <mergeCell ref="B1701:F1701"/>
    <mergeCell ref="B1702:F1702"/>
    <mergeCell ref="B1703:F1703"/>
    <mergeCell ref="B1704:F1704"/>
    <mergeCell ref="B1705:F1705"/>
    <mergeCell ref="B1706:F1706"/>
    <mergeCell ref="B1707:F1707"/>
    <mergeCell ref="B1780:F1780"/>
    <mergeCell ref="B1781:F1781"/>
    <mergeCell ref="B1782:F1782"/>
    <mergeCell ref="B1783:F1783"/>
    <mergeCell ref="B1784:F1784"/>
    <mergeCell ref="B1785:F1785"/>
    <mergeCell ref="B1786:F1786"/>
    <mergeCell ref="B1787:F1787"/>
    <mergeCell ref="B1788:F1788"/>
    <mergeCell ref="B1771:F1771"/>
    <mergeCell ref="B1772:F1772"/>
    <mergeCell ref="B1773:F1773"/>
    <mergeCell ref="B1774:F1774"/>
    <mergeCell ref="B1775:F1775"/>
    <mergeCell ref="B1776:F1776"/>
    <mergeCell ref="B1777:F1777"/>
    <mergeCell ref="B1778:F1778"/>
    <mergeCell ref="B1779:F1779"/>
    <mergeCell ref="B1762:F1762"/>
    <mergeCell ref="B1763:F1763"/>
    <mergeCell ref="B1764:F1764"/>
    <mergeCell ref="B1765:F1765"/>
    <mergeCell ref="B1766:F1766"/>
    <mergeCell ref="B1767:F1767"/>
    <mergeCell ref="B1768:F1768"/>
    <mergeCell ref="B1769:F1769"/>
    <mergeCell ref="B1770:F1770"/>
    <mergeCell ref="B1482:F1482"/>
    <mergeCell ref="B1754:F1754"/>
    <mergeCell ref="B1755:F1755"/>
    <mergeCell ref="B1756:F1756"/>
    <mergeCell ref="B1757:F1757"/>
    <mergeCell ref="B1758:F1758"/>
    <mergeCell ref="B1759:F1759"/>
    <mergeCell ref="B1760:F1760"/>
    <mergeCell ref="B1761:F1761"/>
    <mergeCell ref="B1684:F1684"/>
    <mergeCell ref="B1685:F1685"/>
    <mergeCell ref="B1686:F1686"/>
    <mergeCell ref="B1687:F1687"/>
    <mergeCell ref="B1688:F1688"/>
    <mergeCell ref="B1689:F1689"/>
    <mergeCell ref="B1690:F1690"/>
    <mergeCell ref="B1691:F1691"/>
    <mergeCell ref="B1692:F1692"/>
    <mergeCell ref="B1693:F1693"/>
    <mergeCell ref="B1694:F1694"/>
    <mergeCell ref="B1695:F1695"/>
    <mergeCell ref="B1696:F1696"/>
    <mergeCell ref="B1697:F1697"/>
    <mergeCell ref="B1698:F1698"/>
    <mergeCell ref="B1473:F1473"/>
    <mergeCell ref="B1474:F1474"/>
    <mergeCell ref="B1475:F1475"/>
    <mergeCell ref="B1476:F1476"/>
    <mergeCell ref="B1477:F1477"/>
    <mergeCell ref="B1478:F1478"/>
    <mergeCell ref="B1479:F1479"/>
    <mergeCell ref="B1480:F1480"/>
    <mergeCell ref="B1481:F1481"/>
    <mergeCell ref="B1464:F1464"/>
    <mergeCell ref="B1465:F1465"/>
    <mergeCell ref="B1466:F1466"/>
    <mergeCell ref="B1467:F1467"/>
    <mergeCell ref="B1468:F1468"/>
    <mergeCell ref="B1469:F1469"/>
    <mergeCell ref="B1470:F1470"/>
    <mergeCell ref="B1471:F1471"/>
    <mergeCell ref="B1472:F1472"/>
    <mergeCell ref="B1581:F1581"/>
    <mergeCell ref="B1582:F1582"/>
    <mergeCell ref="B1583:F1583"/>
    <mergeCell ref="B1584:F1584"/>
    <mergeCell ref="B1487:F1487"/>
    <mergeCell ref="B1488:F1488"/>
    <mergeCell ref="B1489:F1489"/>
    <mergeCell ref="B1490:F1490"/>
    <mergeCell ref="B1491:F1491"/>
    <mergeCell ref="B1492:F1492"/>
    <mergeCell ref="B1493:F1493"/>
    <mergeCell ref="B1494:F1494"/>
    <mergeCell ref="B1495:F1495"/>
    <mergeCell ref="B1545:F1545"/>
    <mergeCell ref="B1546:F1546"/>
    <mergeCell ref="B1547:F1547"/>
    <mergeCell ref="B1548:F1548"/>
    <mergeCell ref="B1549:F1549"/>
    <mergeCell ref="B1550:F1550"/>
    <mergeCell ref="B1419:F1419"/>
    <mergeCell ref="B1420:F1420"/>
    <mergeCell ref="B1421:F1421"/>
    <mergeCell ref="B1422:F1422"/>
    <mergeCell ref="B1423:F1423"/>
    <mergeCell ref="B1424:F1424"/>
    <mergeCell ref="B1425:F1425"/>
    <mergeCell ref="B1426:F1426"/>
    <mergeCell ref="B1427:F1427"/>
    <mergeCell ref="B1428:F1428"/>
    <mergeCell ref="B1429:F1429"/>
    <mergeCell ref="B1430:F1430"/>
    <mergeCell ref="B1431:F1431"/>
    <mergeCell ref="B1432:F1432"/>
    <mergeCell ref="B1433:F1433"/>
    <mergeCell ref="B1434:F1434"/>
    <mergeCell ref="B1435:F1435"/>
    <mergeCell ref="B1455:F1455"/>
    <mergeCell ref="B1456:F1456"/>
    <mergeCell ref="B1457:F1457"/>
    <mergeCell ref="B1458:F1458"/>
    <mergeCell ref="B1459:F1459"/>
    <mergeCell ref="B1460:F1460"/>
    <mergeCell ref="B1461:F1461"/>
    <mergeCell ref="B1462:F1462"/>
    <mergeCell ref="B1463:F1463"/>
    <mergeCell ref="B1535:F1535"/>
    <mergeCell ref="B1518:F1518"/>
    <mergeCell ref="B1519:F1519"/>
    <mergeCell ref="B1520:F1520"/>
    <mergeCell ref="B1521:F1521"/>
    <mergeCell ref="B1522:F1522"/>
    <mergeCell ref="B1523:F1523"/>
    <mergeCell ref="B1524:F1524"/>
    <mergeCell ref="B1525:F1525"/>
    <mergeCell ref="B1526:F1526"/>
    <mergeCell ref="B1483:F1483"/>
    <mergeCell ref="B1484:F1484"/>
    <mergeCell ref="B1485:F1485"/>
    <mergeCell ref="B1486:F1486"/>
    <mergeCell ref="B1437:F1437"/>
    <mergeCell ref="B1438:F1438"/>
    <mergeCell ref="B1439:F1439"/>
    <mergeCell ref="B1440:F1440"/>
    <mergeCell ref="B1441:F1441"/>
    <mergeCell ref="B1442:F1442"/>
    <mergeCell ref="B1443:F1443"/>
    <mergeCell ref="B1444:F1444"/>
    <mergeCell ref="B1445:F1445"/>
    <mergeCell ref="B1446:F1446"/>
    <mergeCell ref="B1447:F1447"/>
    <mergeCell ref="B1448:F1448"/>
    <mergeCell ref="B1449:F1449"/>
    <mergeCell ref="B1450:F1450"/>
    <mergeCell ref="B1451:F1451"/>
    <mergeCell ref="B1452:F1452"/>
    <mergeCell ref="B1453:F1453"/>
    <mergeCell ref="B1454:F1454"/>
    <mergeCell ref="B1565:F1565"/>
    <mergeCell ref="B1566:F1566"/>
    <mergeCell ref="B1567:F1567"/>
    <mergeCell ref="B1568:F1568"/>
    <mergeCell ref="B1569:F1569"/>
    <mergeCell ref="B1570:F1570"/>
    <mergeCell ref="B1571:F1571"/>
    <mergeCell ref="B1554:F1554"/>
    <mergeCell ref="B1555:F1555"/>
    <mergeCell ref="B1556:F1556"/>
    <mergeCell ref="B1557:F1557"/>
    <mergeCell ref="B1558:F1558"/>
    <mergeCell ref="B1559:F1559"/>
    <mergeCell ref="B1560:F1560"/>
    <mergeCell ref="B1436:F1436"/>
    <mergeCell ref="B1536:F1536"/>
    <mergeCell ref="B1537:F1537"/>
    <mergeCell ref="B1538:F1538"/>
    <mergeCell ref="B1539:F1539"/>
    <mergeCell ref="B1540:F1540"/>
    <mergeCell ref="B1541:F1541"/>
    <mergeCell ref="B1542:F1542"/>
    <mergeCell ref="B1543:F1543"/>
    <mergeCell ref="B1544:F1544"/>
    <mergeCell ref="B1527:F1527"/>
    <mergeCell ref="B1528:F1528"/>
    <mergeCell ref="B1529:F1529"/>
    <mergeCell ref="B1530:F1530"/>
    <mergeCell ref="B1531:F1531"/>
    <mergeCell ref="B1532:F1532"/>
    <mergeCell ref="B1533:F1533"/>
    <mergeCell ref="B1534:F1534"/>
    <mergeCell ref="B1272:F1272"/>
    <mergeCell ref="B1273:F1273"/>
    <mergeCell ref="B1551:F1551"/>
    <mergeCell ref="B1552:F1552"/>
    <mergeCell ref="B1553:F1553"/>
    <mergeCell ref="B1503:F1503"/>
    <mergeCell ref="B1504:F1504"/>
    <mergeCell ref="B1505:F1505"/>
    <mergeCell ref="B1506:F1506"/>
    <mergeCell ref="B1507:F1507"/>
    <mergeCell ref="B1508:F1508"/>
    <mergeCell ref="B1509:F1509"/>
    <mergeCell ref="B1510:F1510"/>
    <mergeCell ref="B1511:F1511"/>
    <mergeCell ref="B1512:F1512"/>
    <mergeCell ref="B1513:F1513"/>
    <mergeCell ref="B1514:F1514"/>
    <mergeCell ref="B1515:F1515"/>
    <mergeCell ref="B1516:F1516"/>
    <mergeCell ref="B1517:F1517"/>
    <mergeCell ref="B1313:F1313"/>
    <mergeCell ref="B1314:F1314"/>
    <mergeCell ref="B1315:F1315"/>
    <mergeCell ref="B1316:F1316"/>
    <mergeCell ref="B1317:F1317"/>
    <mergeCell ref="B1378:F1378"/>
    <mergeCell ref="B1496:F1496"/>
    <mergeCell ref="B1497:F1497"/>
    <mergeCell ref="B1498:F1498"/>
    <mergeCell ref="B1499:F1499"/>
    <mergeCell ref="B1500:F1500"/>
    <mergeCell ref="B1501:F1501"/>
    <mergeCell ref="B1345:F1345"/>
    <mergeCell ref="B1218:F1218"/>
    <mergeCell ref="B1219:F1219"/>
    <mergeCell ref="B1220:F1220"/>
    <mergeCell ref="B1221:F1221"/>
    <mergeCell ref="B1222:F1222"/>
    <mergeCell ref="B1223:F1223"/>
    <mergeCell ref="B1224:F1224"/>
    <mergeCell ref="B1225:F1225"/>
    <mergeCell ref="B1226:F1226"/>
    <mergeCell ref="B1227:F1227"/>
    <mergeCell ref="B1228:F1228"/>
    <mergeCell ref="B1229:F1229"/>
    <mergeCell ref="B1230:F1230"/>
    <mergeCell ref="B1231:F1231"/>
    <mergeCell ref="B1232:F1232"/>
    <mergeCell ref="B1233:F1233"/>
    <mergeCell ref="B1234:F1234"/>
    <mergeCell ref="B1235:F1235"/>
    <mergeCell ref="B1236:F1236"/>
    <mergeCell ref="B1237:F1237"/>
    <mergeCell ref="B1238:F1238"/>
    <mergeCell ref="B1239:F1239"/>
    <mergeCell ref="B1259:F1259"/>
    <mergeCell ref="B1260:F1260"/>
    <mergeCell ref="B1261:F1261"/>
    <mergeCell ref="B1262:F1262"/>
    <mergeCell ref="B1263:F1263"/>
    <mergeCell ref="B1264:F1264"/>
    <mergeCell ref="B1265:F1265"/>
    <mergeCell ref="B1266:F1266"/>
    <mergeCell ref="B1267:F1267"/>
    <mergeCell ref="B1321:F1321"/>
    <mergeCell ref="B1322:F1322"/>
    <mergeCell ref="B1323:F1323"/>
    <mergeCell ref="B1324:F1324"/>
    <mergeCell ref="B1325:F1325"/>
    <mergeCell ref="B1326:F1326"/>
    <mergeCell ref="B1309:F1309"/>
    <mergeCell ref="B1310:F1310"/>
    <mergeCell ref="B1311:F1311"/>
    <mergeCell ref="B1312:F1312"/>
    <mergeCell ref="B1241:F1241"/>
    <mergeCell ref="B1242:F1242"/>
    <mergeCell ref="B1243:F1243"/>
    <mergeCell ref="B1244:F1244"/>
    <mergeCell ref="B1245:F1245"/>
    <mergeCell ref="B1246:F1246"/>
    <mergeCell ref="B1247:F1247"/>
    <mergeCell ref="B1248:F1248"/>
    <mergeCell ref="B1249:F1249"/>
    <mergeCell ref="B1250:F1250"/>
    <mergeCell ref="B1251:F1251"/>
    <mergeCell ref="B1252:F1252"/>
    <mergeCell ref="B1253:F1253"/>
    <mergeCell ref="B1254:F1254"/>
    <mergeCell ref="B1255:F1255"/>
    <mergeCell ref="B1256:F1256"/>
    <mergeCell ref="B1257:F1257"/>
    <mergeCell ref="B1258:F1258"/>
    <mergeCell ref="B1268:F1268"/>
    <mergeCell ref="B1269:F1269"/>
    <mergeCell ref="B1270:F1270"/>
    <mergeCell ref="B1271:F1271"/>
    <mergeCell ref="B1293:F1293"/>
    <mergeCell ref="B1369:F1369"/>
    <mergeCell ref="B1370:F1370"/>
    <mergeCell ref="B1371:F1371"/>
    <mergeCell ref="B1372:F1372"/>
    <mergeCell ref="B1373:F1373"/>
    <mergeCell ref="B1374:F1374"/>
    <mergeCell ref="B1375:F1375"/>
    <mergeCell ref="B1376:F1376"/>
    <mergeCell ref="B1377:F1377"/>
    <mergeCell ref="B1240:F1240"/>
    <mergeCell ref="B1336:F1336"/>
    <mergeCell ref="B1337:F1337"/>
    <mergeCell ref="B1338:F1338"/>
    <mergeCell ref="B1339:F1339"/>
    <mergeCell ref="B1340:F1340"/>
    <mergeCell ref="B1341:F1341"/>
    <mergeCell ref="B1342:F1342"/>
    <mergeCell ref="B1343:F1343"/>
    <mergeCell ref="B1344:F1344"/>
    <mergeCell ref="B1327:F1327"/>
    <mergeCell ref="B1328:F1328"/>
    <mergeCell ref="B1329:F1329"/>
    <mergeCell ref="B1330:F1330"/>
    <mergeCell ref="B1331:F1331"/>
    <mergeCell ref="B1332:F1332"/>
    <mergeCell ref="B1333:F1333"/>
    <mergeCell ref="B1334:F1334"/>
    <mergeCell ref="B1335:F1335"/>
    <mergeCell ref="B1318:F1318"/>
    <mergeCell ref="B1319:F1319"/>
    <mergeCell ref="B1320:F1320"/>
    <mergeCell ref="B1368:F1368"/>
    <mergeCell ref="B1351:F1351"/>
    <mergeCell ref="B1352:F1352"/>
    <mergeCell ref="B1353:F1353"/>
    <mergeCell ref="B1354:F1354"/>
    <mergeCell ref="B1355:F1355"/>
    <mergeCell ref="B1356:F1356"/>
    <mergeCell ref="B1357:F1357"/>
    <mergeCell ref="B1358:F1358"/>
    <mergeCell ref="B1359:F1359"/>
    <mergeCell ref="B1379:F1379"/>
    <mergeCell ref="B1380:F1380"/>
    <mergeCell ref="B1381:F1381"/>
    <mergeCell ref="B1274:F1274"/>
    <mergeCell ref="B1275:F1275"/>
    <mergeCell ref="B1276:F1276"/>
    <mergeCell ref="B1277:F1277"/>
    <mergeCell ref="B1278:F1278"/>
    <mergeCell ref="B1279:F1279"/>
    <mergeCell ref="B1280:F1280"/>
    <mergeCell ref="B1281:F1281"/>
    <mergeCell ref="B1282:F1282"/>
    <mergeCell ref="B1283:F1283"/>
    <mergeCell ref="B1284:F1284"/>
    <mergeCell ref="B1285:F1285"/>
    <mergeCell ref="B1286:F1286"/>
    <mergeCell ref="B1287:F1287"/>
    <mergeCell ref="B1288:F1288"/>
    <mergeCell ref="B1289:F1289"/>
    <mergeCell ref="B1290:F1290"/>
    <mergeCell ref="B1291:F1291"/>
    <mergeCell ref="B1292:F1292"/>
    <mergeCell ref="B1071:F1071"/>
    <mergeCell ref="B1072:F1072"/>
    <mergeCell ref="B1073:F1073"/>
    <mergeCell ref="B1074:F1074"/>
    <mergeCell ref="B1346:F1346"/>
    <mergeCell ref="B1347:F1347"/>
    <mergeCell ref="B1348:F1348"/>
    <mergeCell ref="B1349:F1349"/>
    <mergeCell ref="B1350:F1350"/>
    <mergeCell ref="B1294:F1294"/>
    <mergeCell ref="B1295:F1295"/>
    <mergeCell ref="B1296:F1296"/>
    <mergeCell ref="B1297:F1297"/>
    <mergeCell ref="B1298:F1298"/>
    <mergeCell ref="B1299:F1299"/>
    <mergeCell ref="B1300:F1300"/>
    <mergeCell ref="B1301:F1301"/>
    <mergeCell ref="B1302:F1302"/>
    <mergeCell ref="B1303:F1303"/>
    <mergeCell ref="B1304:F1304"/>
    <mergeCell ref="B1305:F1305"/>
    <mergeCell ref="B1306:F1306"/>
    <mergeCell ref="B1307:F1307"/>
    <mergeCell ref="B1308:F1308"/>
    <mergeCell ref="B1168:F1168"/>
    <mergeCell ref="B1169:F1169"/>
    <mergeCell ref="B1170:F1170"/>
    <mergeCell ref="B1079:F1079"/>
    <mergeCell ref="B1080:F1080"/>
    <mergeCell ref="B1081:F1081"/>
    <mergeCell ref="B1082:F1082"/>
    <mergeCell ref="B1083:F1083"/>
    <mergeCell ref="B1062:F1062"/>
    <mergeCell ref="B1063:F1063"/>
    <mergeCell ref="B1064:F1064"/>
    <mergeCell ref="B1065:F1065"/>
    <mergeCell ref="B1066:F1066"/>
    <mergeCell ref="B1067:F1067"/>
    <mergeCell ref="B1068:F1068"/>
    <mergeCell ref="B1069:F1069"/>
    <mergeCell ref="B1070:F1070"/>
    <mergeCell ref="B1053:F1053"/>
    <mergeCell ref="B1054:F1054"/>
    <mergeCell ref="B1055:F1055"/>
    <mergeCell ref="B1056:F1056"/>
    <mergeCell ref="B1057:F1057"/>
    <mergeCell ref="B1058:F1058"/>
    <mergeCell ref="B1059:F1059"/>
    <mergeCell ref="B1060:F1060"/>
    <mergeCell ref="B1061:F1061"/>
    <mergeCell ref="B1044:F1044"/>
    <mergeCell ref="B1045:F1045"/>
    <mergeCell ref="B1046:F1046"/>
    <mergeCell ref="B1047:F1047"/>
    <mergeCell ref="B1048:F1048"/>
    <mergeCell ref="B1049:F1049"/>
    <mergeCell ref="B1050:F1050"/>
    <mergeCell ref="B1051:F1051"/>
    <mergeCell ref="B1052:F1052"/>
    <mergeCell ref="B1035:F1035"/>
    <mergeCell ref="B1036:F1036"/>
    <mergeCell ref="B1037:F1037"/>
    <mergeCell ref="B1038:F1038"/>
    <mergeCell ref="B1039:F1039"/>
    <mergeCell ref="B1040:F1040"/>
    <mergeCell ref="B1041:F1041"/>
    <mergeCell ref="B1042:F1042"/>
    <mergeCell ref="B1043:F1043"/>
    <mergeCell ref="B1026:F1026"/>
    <mergeCell ref="B1027:F1027"/>
    <mergeCell ref="B1028:F1028"/>
    <mergeCell ref="B1029:F1029"/>
    <mergeCell ref="B1030:F1030"/>
    <mergeCell ref="B1031:F1031"/>
    <mergeCell ref="B1032:F1032"/>
    <mergeCell ref="B1033:F1033"/>
    <mergeCell ref="B1034:F1034"/>
    <mergeCell ref="B1138:F1138"/>
    <mergeCell ref="B1003:F1003"/>
    <mergeCell ref="B1004:F1004"/>
    <mergeCell ref="B1005:F1005"/>
    <mergeCell ref="B1006:F1006"/>
    <mergeCell ref="B1007:F1007"/>
    <mergeCell ref="B1008:F1008"/>
    <mergeCell ref="B1009:F1009"/>
    <mergeCell ref="B1010:F1010"/>
    <mergeCell ref="B1011:F1011"/>
    <mergeCell ref="B1012:F1012"/>
    <mergeCell ref="B1013:F1013"/>
    <mergeCell ref="B1014:F1014"/>
    <mergeCell ref="B1015:F1015"/>
    <mergeCell ref="B1016:F1016"/>
    <mergeCell ref="B1017:F1017"/>
    <mergeCell ref="B1018:F1018"/>
    <mergeCell ref="B1019:F1019"/>
    <mergeCell ref="B1020:F1020"/>
    <mergeCell ref="B1021:F1021"/>
    <mergeCell ref="B1022:F1022"/>
    <mergeCell ref="B1023:F1023"/>
    <mergeCell ref="B1024:F1024"/>
    <mergeCell ref="B1025:F1025"/>
    <mergeCell ref="B1129:F1129"/>
    <mergeCell ref="B1130:F1130"/>
    <mergeCell ref="B1131:F1131"/>
    <mergeCell ref="B1132:F1132"/>
    <mergeCell ref="B1133:F1133"/>
    <mergeCell ref="B1134:F1134"/>
    <mergeCell ref="B1135:F1135"/>
    <mergeCell ref="B1136:F1136"/>
    <mergeCell ref="B1137:F1137"/>
    <mergeCell ref="B1120:F1120"/>
    <mergeCell ref="B1121:F1121"/>
    <mergeCell ref="B1122:F1122"/>
    <mergeCell ref="B1123:F1123"/>
    <mergeCell ref="B1124:F1124"/>
    <mergeCell ref="B1125:F1125"/>
    <mergeCell ref="B1126:F1126"/>
    <mergeCell ref="B1127:F1127"/>
    <mergeCell ref="B1128:F1128"/>
    <mergeCell ref="B1111:F1111"/>
    <mergeCell ref="B1112:F1112"/>
    <mergeCell ref="B1113:F1113"/>
    <mergeCell ref="B1114:F1114"/>
    <mergeCell ref="B1115:F1115"/>
    <mergeCell ref="B1116:F1116"/>
    <mergeCell ref="B1117:F1117"/>
    <mergeCell ref="B1118:F1118"/>
    <mergeCell ref="B1119:F1119"/>
    <mergeCell ref="B1075:F1075"/>
    <mergeCell ref="B1076:F1076"/>
    <mergeCell ref="B1077:F1077"/>
    <mergeCell ref="B1078:F1078"/>
    <mergeCell ref="B1084:F1084"/>
    <mergeCell ref="B1085:F1085"/>
    <mergeCell ref="B1086:F1086"/>
    <mergeCell ref="B1087:F1087"/>
    <mergeCell ref="B1088:F1088"/>
    <mergeCell ref="B1089:F1089"/>
    <mergeCell ref="B1090:F1090"/>
    <mergeCell ref="B1091:F1091"/>
    <mergeCell ref="B1092:F1092"/>
    <mergeCell ref="B1093:F1093"/>
    <mergeCell ref="B1094:F1094"/>
    <mergeCell ref="B1095:F1095"/>
    <mergeCell ref="B1159:F1159"/>
    <mergeCell ref="B1160:F1160"/>
    <mergeCell ref="B1161:F1161"/>
    <mergeCell ref="B1162:F1162"/>
    <mergeCell ref="B1163:F1163"/>
    <mergeCell ref="B1164:F1164"/>
    <mergeCell ref="B1165:F1165"/>
    <mergeCell ref="B1166:F1166"/>
    <mergeCell ref="B1167:F1167"/>
    <mergeCell ref="B1150:F1150"/>
    <mergeCell ref="B1151:F1151"/>
    <mergeCell ref="B1152:F1152"/>
    <mergeCell ref="B1153:F1153"/>
    <mergeCell ref="B1154:F1154"/>
    <mergeCell ref="B1155:F1155"/>
    <mergeCell ref="B1156:F1156"/>
    <mergeCell ref="B1157:F1157"/>
    <mergeCell ref="B1158:F1158"/>
    <mergeCell ref="B1141:F1141"/>
    <mergeCell ref="B1142:F1142"/>
    <mergeCell ref="B1143:F1143"/>
    <mergeCell ref="B1144:F1144"/>
    <mergeCell ref="B1145:F1145"/>
    <mergeCell ref="B1146:F1146"/>
    <mergeCell ref="B1147:F1147"/>
    <mergeCell ref="B1148:F1148"/>
    <mergeCell ref="B1149:F1149"/>
    <mergeCell ref="B834:F834"/>
    <mergeCell ref="B835:F835"/>
    <mergeCell ref="B836:F836"/>
    <mergeCell ref="B837:F837"/>
    <mergeCell ref="B838:F838"/>
    <mergeCell ref="B839:F839"/>
    <mergeCell ref="B840:F840"/>
    <mergeCell ref="B841:F841"/>
    <mergeCell ref="B1139:F1139"/>
    <mergeCell ref="B1096:F1096"/>
    <mergeCell ref="B1097:F1097"/>
    <mergeCell ref="B1098:F1098"/>
    <mergeCell ref="B1099:F1099"/>
    <mergeCell ref="B1100:F1100"/>
    <mergeCell ref="B1101:F1101"/>
    <mergeCell ref="B1102:F1102"/>
    <mergeCell ref="B1103:F1103"/>
    <mergeCell ref="B1104:F1104"/>
    <mergeCell ref="B1105:F1105"/>
    <mergeCell ref="B1106:F1106"/>
    <mergeCell ref="B1107:F1107"/>
    <mergeCell ref="B1108:F1108"/>
    <mergeCell ref="B1109:F1109"/>
    <mergeCell ref="B1110:F1110"/>
    <mergeCell ref="B889:F889"/>
    <mergeCell ref="B890:F890"/>
    <mergeCell ref="B891:F891"/>
    <mergeCell ref="B892:F892"/>
    <mergeCell ref="B893:F893"/>
    <mergeCell ref="B876:F876"/>
    <mergeCell ref="B877:F877"/>
    <mergeCell ref="B878:F878"/>
    <mergeCell ref="B825:F825"/>
    <mergeCell ref="B826:F826"/>
    <mergeCell ref="B827:F827"/>
    <mergeCell ref="B828:F828"/>
    <mergeCell ref="B829:F829"/>
    <mergeCell ref="B830:F830"/>
    <mergeCell ref="B831:F831"/>
    <mergeCell ref="B832:F832"/>
    <mergeCell ref="B833:F833"/>
    <mergeCell ref="B921:F921"/>
    <mergeCell ref="B802:F802"/>
    <mergeCell ref="B803:F803"/>
    <mergeCell ref="B804:F804"/>
    <mergeCell ref="B805:F805"/>
    <mergeCell ref="B806:F806"/>
    <mergeCell ref="B807:F807"/>
    <mergeCell ref="B808:F808"/>
    <mergeCell ref="B809:F809"/>
    <mergeCell ref="B810:F810"/>
    <mergeCell ref="B811:F811"/>
    <mergeCell ref="B812:F812"/>
    <mergeCell ref="B813:F813"/>
    <mergeCell ref="B814:F814"/>
    <mergeCell ref="B815:F815"/>
    <mergeCell ref="B816:F816"/>
    <mergeCell ref="B817:F817"/>
    <mergeCell ref="B818:F818"/>
    <mergeCell ref="B819:F819"/>
    <mergeCell ref="B820:F820"/>
    <mergeCell ref="B821:F821"/>
    <mergeCell ref="B822:F822"/>
    <mergeCell ref="B823:F823"/>
    <mergeCell ref="B824:F824"/>
    <mergeCell ref="B912:F912"/>
    <mergeCell ref="B913:F913"/>
    <mergeCell ref="B914:F914"/>
    <mergeCell ref="B915:F915"/>
    <mergeCell ref="B916:F916"/>
    <mergeCell ref="B917:F917"/>
    <mergeCell ref="B918:F918"/>
    <mergeCell ref="B919:F919"/>
    <mergeCell ref="B920:F920"/>
    <mergeCell ref="B903:F903"/>
    <mergeCell ref="B904:F904"/>
    <mergeCell ref="B905:F905"/>
    <mergeCell ref="B906:F906"/>
    <mergeCell ref="B907:F907"/>
    <mergeCell ref="B908:F908"/>
    <mergeCell ref="B909:F909"/>
    <mergeCell ref="B910:F910"/>
    <mergeCell ref="B911:F911"/>
    <mergeCell ref="B894:F894"/>
    <mergeCell ref="B895:F895"/>
    <mergeCell ref="B896:F896"/>
    <mergeCell ref="B897:F897"/>
    <mergeCell ref="B898:F898"/>
    <mergeCell ref="B899:F899"/>
    <mergeCell ref="B900:F900"/>
    <mergeCell ref="B901:F901"/>
    <mergeCell ref="B902:F902"/>
    <mergeCell ref="B885:F885"/>
    <mergeCell ref="B886:F886"/>
    <mergeCell ref="B887:F887"/>
    <mergeCell ref="B888:F888"/>
    <mergeCell ref="B879:F879"/>
    <mergeCell ref="B880:F880"/>
    <mergeCell ref="B881:F881"/>
    <mergeCell ref="B882:F882"/>
    <mergeCell ref="B883:F883"/>
    <mergeCell ref="B884:F884"/>
    <mergeCell ref="B957:F957"/>
    <mergeCell ref="B958:F958"/>
    <mergeCell ref="B959:F959"/>
    <mergeCell ref="B960:F960"/>
    <mergeCell ref="B961:F961"/>
    <mergeCell ref="B842:F842"/>
    <mergeCell ref="B843:F843"/>
    <mergeCell ref="B844:F844"/>
    <mergeCell ref="B845:F845"/>
    <mergeCell ref="B846:F846"/>
    <mergeCell ref="B847:F847"/>
    <mergeCell ref="B848:F848"/>
    <mergeCell ref="B849:F849"/>
    <mergeCell ref="B850:F850"/>
    <mergeCell ref="B851:F851"/>
    <mergeCell ref="B852:F852"/>
    <mergeCell ref="B853:F853"/>
    <mergeCell ref="B854:F854"/>
    <mergeCell ref="B855:F855"/>
    <mergeCell ref="B856:F856"/>
    <mergeCell ref="B857:F857"/>
    <mergeCell ref="B858:F858"/>
    <mergeCell ref="B859:F859"/>
    <mergeCell ref="B860:F860"/>
    <mergeCell ref="B948:F948"/>
    <mergeCell ref="B949:F949"/>
    <mergeCell ref="B950:F950"/>
    <mergeCell ref="B951:F951"/>
    <mergeCell ref="B952:F952"/>
    <mergeCell ref="B953:F953"/>
    <mergeCell ref="B954:F954"/>
    <mergeCell ref="B955:F955"/>
    <mergeCell ref="B956:F956"/>
    <mergeCell ref="B939:F939"/>
    <mergeCell ref="B940:F940"/>
    <mergeCell ref="B941:F941"/>
    <mergeCell ref="B942:F942"/>
    <mergeCell ref="B943:F943"/>
    <mergeCell ref="B944:F944"/>
    <mergeCell ref="B945:F945"/>
    <mergeCell ref="B946:F946"/>
    <mergeCell ref="B947:F947"/>
    <mergeCell ref="B930:F930"/>
    <mergeCell ref="B931:F931"/>
    <mergeCell ref="B932:F932"/>
    <mergeCell ref="B933:F933"/>
    <mergeCell ref="B934:F934"/>
    <mergeCell ref="B935:F935"/>
    <mergeCell ref="B936:F936"/>
    <mergeCell ref="B937:F937"/>
    <mergeCell ref="B938:F938"/>
    <mergeCell ref="B688:F688"/>
    <mergeCell ref="B922:F922"/>
    <mergeCell ref="B923:F923"/>
    <mergeCell ref="B924:F924"/>
    <mergeCell ref="B925:F925"/>
    <mergeCell ref="B926:F926"/>
    <mergeCell ref="B927:F927"/>
    <mergeCell ref="B928:F928"/>
    <mergeCell ref="B929:F929"/>
    <mergeCell ref="B861:F861"/>
    <mergeCell ref="B862:F862"/>
    <mergeCell ref="B863:F863"/>
    <mergeCell ref="B864:F864"/>
    <mergeCell ref="B865:F865"/>
    <mergeCell ref="B866:F866"/>
    <mergeCell ref="B867:F867"/>
    <mergeCell ref="B868:F868"/>
    <mergeCell ref="B869:F869"/>
    <mergeCell ref="B870:F870"/>
    <mergeCell ref="B871:F871"/>
    <mergeCell ref="B872:F872"/>
    <mergeCell ref="B873:F873"/>
    <mergeCell ref="B874:F874"/>
    <mergeCell ref="B875:F875"/>
    <mergeCell ref="B711:F711"/>
    <mergeCell ref="B712:F712"/>
    <mergeCell ref="B713:F713"/>
    <mergeCell ref="B714:F714"/>
    <mergeCell ref="B715:F715"/>
    <mergeCell ref="B698:F698"/>
    <mergeCell ref="B699:F699"/>
    <mergeCell ref="B700:F700"/>
    <mergeCell ref="B679:F679"/>
    <mergeCell ref="B680:F680"/>
    <mergeCell ref="B681:F681"/>
    <mergeCell ref="B682:F682"/>
    <mergeCell ref="B683:F683"/>
    <mergeCell ref="B684:F684"/>
    <mergeCell ref="B685:F685"/>
    <mergeCell ref="B686:F686"/>
    <mergeCell ref="B687:F687"/>
    <mergeCell ref="B619:F619"/>
    <mergeCell ref="B620:F620"/>
    <mergeCell ref="B621:F621"/>
    <mergeCell ref="B673:F673"/>
    <mergeCell ref="B674:F674"/>
    <mergeCell ref="B675:F675"/>
    <mergeCell ref="B676:F676"/>
    <mergeCell ref="B677:F677"/>
    <mergeCell ref="B678:F678"/>
    <mergeCell ref="B667:F667"/>
    <mergeCell ref="B668:F668"/>
    <mergeCell ref="B669:F669"/>
    <mergeCell ref="B670:F670"/>
    <mergeCell ref="B671:F671"/>
    <mergeCell ref="B672:F672"/>
    <mergeCell ref="B634:F634"/>
    <mergeCell ref="B635:F635"/>
    <mergeCell ref="B636:F636"/>
    <mergeCell ref="B637:F637"/>
    <mergeCell ref="B638:F638"/>
    <mergeCell ref="B639:F639"/>
    <mergeCell ref="B622:F622"/>
    <mergeCell ref="B623:F623"/>
    <mergeCell ref="B653:F653"/>
    <mergeCell ref="B654:F654"/>
    <mergeCell ref="B655:F655"/>
    <mergeCell ref="B656:F656"/>
    <mergeCell ref="B657:F657"/>
    <mergeCell ref="B640:F640"/>
    <mergeCell ref="B641:F641"/>
    <mergeCell ref="B642:F642"/>
    <mergeCell ref="B643:F643"/>
    <mergeCell ref="B644:F644"/>
    <mergeCell ref="B645:F645"/>
    <mergeCell ref="B646:F646"/>
    <mergeCell ref="B647:F647"/>
    <mergeCell ref="B648:F648"/>
    <mergeCell ref="B631:F631"/>
    <mergeCell ref="B632:F632"/>
    <mergeCell ref="B633:F633"/>
    <mergeCell ref="B761:F761"/>
    <mergeCell ref="B762:F762"/>
    <mergeCell ref="B624:F624"/>
    <mergeCell ref="B625:F625"/>
    <mergeCell ref="B626:F626"/>
    <mergeCell ref="B627:F627"/>
    <mergeCell ref="B628:F628"/>
    <mergeCell ref="B629:F629"/>
    <mergeCell ref="B630:F630"/>
    <mergeCell ref="B734:F734"/>
    <mergeCell ref="B735:F735"/>
    <mergeCell ref="B736:F736"/>
    <mergeCell ref="B725:F725"/>
    <mergeCell ref="B726:F726"/>
    <mergeCell ref="B727:F727"/>
    <mergeCell ref="B728:F728"/>
    <mergeCell ref="B729:F729"/>
    <mergeCell ref="B730:F730"/>
    <mergeCell ref="B731:F731"/>
    <mergeCell ref="B732:F732"/>
    <mergeCell ref="B733:F733"/>
    <mergeCell ref="B716:F716"/>
    <mergeCell ref="B717:F717"/>
    <mergeCell ref="B718:F718"/>
    <mergeCell ref="B719:F719"/>
    <mergeCell ref="B720:F720"/>
    <mergeCell ref="B721:F721"/>
    <mergeCell ref="B722:F722"/>
    <mergeCell ref="B723:F723"/>
    <mergeCell ref="B724:F724"/>
    <mergeCell ref="B707:F707"/>
    <mergeCell ref="B708:F708"/>
    <mergeCell ref="B759:F759"/>
    <mergeCell ref="B760:F760"/>
    <mergeCell ref="B701:F701"/>
    <mergeCell ref="B702:F702"/>
    <mergeCell ref="B703:F703"/>
    <mergeCell ref="B704:F704"/>
    <mergeCell ref="B705:F705"/>
    <mergeCell ref="B706:F706"/>
    <mergeCell ref="B689:F689"/>
    <mergeCell ref="B690:F690"/>
    <mergeCell ref="B691:F691"/>
    <mergeCell ref="B692:F692"/>
    <mergeCell ref="B693:F693"/>
    <mergeCell ref="B694:F694"/>
    <mergeCell ref="B695:F695"/>
    <mergeCell ref="B696:F696"/>
    <mergeCell ref="B697:F697"/>
    <mergeCell ref="B709:F709"/>
    <mergeCell ref="B710:F710"/>
    <mergeCell ref="B601:F601"/>
    <mergeCell ref="B602:F602"/>
    <mergeCell ref="B603:F603"/>
    <mergeCell ref="B604:F604"/>
    <mergeCell ref="B605:F605"/>
    <mergeCell ref="B606:F606"/>
    <mergeCell ref="B607:F607"/>
    <mergeCell ref="B608:F608"/>
    <mergeCell ref="B609:F609"/>
    <mergeCell ref="B610:F610"/>
    <mergeCell ref="B611:F611"/>
    <mergeCell ref="B612:F612"/>
    <mergeCell ref="B613:F613"/>
    <mergeCell ref="B614:F614"/>
    <mergeCell ref="B615:F615"/>
    <mergeCell ref="B616:F616"/>
    <mergeCell ref="B752:F752"/>
    <mergeCell ref="B617:F617"/>
    <mergeCell ref="B618:F618"/>
    <mergeCell ref="B658:F658"/>
    <mergeCell ref="B659:F659"/>
    <mergeCell ref="B660:F660"/>
    <mergeCell ref="B661:F661"/>
    <mergeCell ref="B662:F662"/>
    <mergeCell ref="B663:F663"/>
    <mergeCell ref="B664:F664"/>
    <mergeCell ref="B665:F665"/>
    <mergeCell ref="B666:F666"/>
    <mergeCell ref="B649:F649"/>
    <mergeCell ref="B650:F650"/>
    <mergeCell ref="B651:F651"/>
    <mergeCell ref="B652:F652"/>
    <mergeCell ref="A296:C296"/>
    <mergeCell ref="A297:C297"/>
    <mergeCell ref="A298:C298"/>
    <mergeCell ref="A299:C299"/>
    <mergeCell ref="A300:C300"/>
    <mergeCell ref="A301:C301"/>
    <mergeCell ref="A302:C302"/>
    <mergeCell ref="A303:C303"/>
    <mergeCell ref="A304:C304"/>
    <mergeCell ref="A287:C287"/>
    <mergeCell ref="A288:C288"/>
    <mergeCell ref="A289:C289"/>
    <mergeCell ref="A290:C290"/>
    <mergeCell ref="A291:C291"/>
    <mergeCell ref="A292:C292"/>
    <mergeCell ref="A293:C293"/>
    <mergeCell ref="A294:C294"/>
    <mergeCell ref="A295:C295"/>
    <mergeCell ref="A283:C283"/>
    <mergeCell ref="A284:C284"/>
    <mergeCell ref="A285:C285"/>
    <mergeCell ref="A286:C286"/>
    <mergeCell ref="A211:C211"/>
    <mergeCell ref="A212:C212"/>
    <mergeCell ref="A213:C213"/>
    <mergeCell ref="A214:C214"/>
    <mergeCell ref="A215:C215"/>
    <mergeCell ref="A216:C216"/>
    <mergeCell ref="A217:C217"/>
    <mergeCell ref="A218:C218"/>
    <mergeCell ref="A277:C277"/>
    <mergeCell ref="A261:C261"/>
    <mergeCell ref="A241:C241"/>
    <mergeCell ref="A242:C242"/>
    <mergeCell ref="A243:C243"/>
    <mergeCell ref="A226:C226"/>
    <mergeCell ref="A227:C227"/>
    <mergeCell ref="A228:C228"/>
    <mergeCell ref="A229:C229"/>
    <mergeCell ref="A230:C230"/>
    <mergeCell ref="A231:C231"/>
    <mergeCell ref="A232:C232"/>
    <mergeCell ref="A233:C233"/>
    <mergeCell ref="A234:C234"/>
    <mergeCell ref="A208:C208"/>
    <mergeCell ref="A209:C209"/>
    <mergeCell ref="A210:C210"/>
    <mergeCell ref="A193:C193"/>
    <mergeCell ref="A194:C194"/>
    <mergeCell ref="A195:C195"/>
    <mergeCell ref="A196:C196"/>
    <mergeCell ref="A197:C197"/>
    <mergeCell ref="A198:C198"/>
    <mergeCell ref="A199:C199"/>
    <mergeCell ref="A200:C200"/>
    <mergeCell ref="A201:C201"/>
    <mergeCell ref="A278:C278"/>
    <mergeCell ref="A279:C279"/>
    <mergeCell ref="A280:C280"/>
    <mergeCell ref="A281:C281"/>
    <mergeCell ref="A282:C282"/>
    <mergeCell ref="A191:C191"/>
    <mergeCell ref="A192:C192"/>
    <mergeCell ref="A175:C175"/>
    <mergeCell ref="A176:C176"/>
    <mergeCell ref="A177:C177"/>
    <mergeCell ref="A178:C178"/>
    <mergeCell ref="A179:C179"/>
    <mergeCell ref="A180:C180"/>
    <mergeCell ref="A181:C181"/>
    <mergeCell ref="A182:C182"/>
    <mergeCell ref="A183:C183"/>
    <mergeCell ref="A202:C202"/>
    <mergeCell ref="A203:C203"/>
    <mergeCell ref="A204:C204"/>
    <mergeCell ref="A205:C205"/>
    <mergeCell ref="A206:C206"/>
    <mergeCell ref="A207:C207"/>
    <mergeCell ref="A174:C174"/>
    <mergeCell ref="A157:C157"/>
    <mergeCell ref="A158:C158"/>
    <mergeCell ref="A159:C159"/>
    <mergeCell ref="A160:C160"/>
    <mergeCell ref="A161:C161"/>
    <mergeCell ref="A162:C162"/>
    <mergeCell ref="A163:C163"/>
    <mergeCell ref="A164:C164"/>
    <mergeCell ref="A165:C165"/>
    <mergeCell ref="A184:C184"/>
    <mergeCell ref="A185:C185"/>
    <mergeCell ref="A186:C186"/>
    <mergeCell ref="A187:C187"/>
    <mergeCell ref="A188:C188"/>
    <mergeCell ref="A189:C189"/>
    <mergeCell ref="A190:C190"/>
    <mergeCell ref="A156:C156"/>
    <mergeCell ref="A253:C253"/>
    <mergeCell ref="A254:C254"/>
    <mergeCell ref="A255:C255"/>
    <mergeCell ref="A256:C256"/>
    <mergeCell ref="A257:C257"/>
    <mergeCell ref="A258:C258"/>
    <mergeCell ref="A259:C259"/>
    <mergeCell ref="A260:C260"/>
    <mergeCell ref="A244:C244"/>
    <mergeCell ref="A245:C245"/>
    <mergeCell ref="A246:C246"/>
    <mergeCell ref="A247:C247"/>
    <mergeCell ref="A248:C248"/>
    <mergeCell ref="A249:C249"/>
    <mergeCell ref="A250:C250"/>
    <mergeCell ref="A251:C251"/>
    <mergeCell ref="A252:C252"/>
    <mergeCell ref="A235:C235"/>
    <mergeCell ref="A236:C236"/>
    <mergeCell ref="A237:C237"/>
    <mergeCell ref="A238:C238"/>
    <mergeCell ref="A239:C239"/>
    <mergeCell ref="A240:C240"/>
    <mergeCell ref="A166:C166"/>
    <mergeCell ref="A167:C167"/>
    <mergeCell ref="A168:C168"/>
    <mergeCell ref="A169:C169"/>
    <mergeCell ref="A170:C170"/>
    <mergeCell ref="A171:C171"/>
    <mergeCell ref="A172:C172"/>
    <mergeCell ref="A173:C173"/>
    <mergeCell ref="B124:C124"/>
    <mergeCell ref="D124:F124"/>
    <mergeCell ref="A219:C219"/>
    <mergeCell ref="A220:C220"/>
    <mergeCell ref="A221:C221"/>
    <mergeCell ref="A222:C222"/>
    <mergeCell ref="A223:C223"/>
    <mergeCell ref="A224:C224"/>
    <mergeCell ref="A225:C225"/>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B119:C119"/>
    <mergeCell ref="D119:F119"/>
    <mergeCell ref="B120:C120"/>
    <mergeCell ref="D120:F120"/>
    <mergeCell ref="B121:C121"/>
    <mergeCell ref="D121:F121"/>
    <mergeCell ref="B122:C122"/>
    <mergeCell ref="D122:F122"/>
    <mergeCell ref="B123:C123"/>
    <mergeCell ref="D123:F123"/>
    <mergeCell ref="B114:C114"/>
    <mergeCell ref="D114:F114"/>
    <mergeCell ref="B115:C115"/>
    <mergeCell ref="D115:F115"/>
    <mergeCell ref="B116:C116"/>
    <mergeCell ref="D116:F116"/>
    <mergeCell ref="B117:C117"/>
    <mergeCell ref="D117:F117"/>
    <mergeCell ref="B118:C118"/>
    <mergeCell ref="D118:F118"/>
    <mergeCell ref="B109:C109"/>
    <mergeCell ref="D109:F109"/>
    <mergeCell ref="B110:C110"/>
    <mergeCell ref="D110:F110"/>
    <mergeCell ref="B111:C111"/>
    <mergeCell ref="D111:F111"/>
    <mergeCell ref="B112:C112"/>
    <mergeCell ref="D112:F112"/>
    <mergeCell ref="B113:C113"/>
    <mergeCell ref="D113:F113"/>
    <mergeCell ref="B97:C97"/>
    <mergeCell ref="D97:F97"/>
    <mergeCell ref="B98:C98"/>
    <mergeCell ref="D98:F98"/>
    <mergeCell ref="B99:C99"/>
    <mergeCell ref="D99:F99"/>
    <mergeCell ref="B100:C100"/>
    <mergeCell ref="D100:F100"/>
    <mergeCell ref="B108:C108"/>
    <mergeCell ref="D108:F108"/>
    <mergeCell ref="B92:C92"/>
    <mergeCell ref="D92:F92"/>
    <mergeCell ref="B93:C93"/>
    <mergeCell ref="D93:F93"/>
    <mergeCell ref="B94:C94"/>
    <mergeCell ref="D94:F94"/>
    <mergeCell ref="B95:C95"/>
    <mergeCell ref="D95:F95"/>
    <mergeCell ref="B96:C96"/>
    <mergeCell ref="D96:F96"/>
    <mergeCell ref="B54:C54"/>
    <mergeCell ref="D54:F54"/>
    <mergeCell ref="B70:C70"/>
    <mergeCell ref="D70:F70"/>
    <mergeCell ref="B71:C71"/>
    <mergeCell ref="D71:F71"/>
    <mergeCell ref="B72:C72"/>
    <mergeCell ref="D72:F72"/>
    <mergeCell ref="B73:C73"/>
    <mergeCell ref="D73:F73"/>
    <mergeCell ref="B91:C91"/>
    <mergeCell ref="D91:F91"/>
    <mergeCell ref="B62:C62"/>
    <mergeCell ref="D62:F62"/>
    <mergeCell ref="B61:C61"/>
    <mergeCell ref="D61:F61"/>
    <mergeCell ref="B69:C69"/>
    <mergeCell ref="D69:F69"/>
    <mergeCell ref="B68:C68"/>
    <mergeCell ref="D68:F68"/>
    <mergeCell ref="D57:F57"/>
    <mergeCell ref="D58:F58"/>
    <mergeCell ref="B50:C50"/>
    <mergeCell ref="D50:F50"/>
    <mergeCell ref="B51:C51"/>
    <mergeCell ref="D51:F51"/>
    <mergeCell ref="B52:C52"/>
    <mergeCell ref="D52:F52"/>
    <mergeCell ref="B53:C53"/>
    <mergeCell ref="D53:F53"/>
    <mergeCell ref="B34:C34"/>
    <mergeCell ref="D34:F34"/>
    <mergeCell ref="B35:C35"/>
    <mergeCell ref="D35:F35"/>
    <mergeCell ref="B36:C36"/>
    <mergeCell ref="D36:F36"/>
    <mergeCell ref="B47:C47"/>
    <mergeCell ref="D47:F47"/>
    <mergeCell ref="B48:C48"/>
    <mergeCell ref="D48:F48"/>
    <mergeCell ref="B37:C37"/>
    <mergeCell ref="D37:F37"/>
    <mergeCell ref="B42:C42"/>
    <mergeCell ref="D42:F42"/>
    <mergeCell ref="B41:C41"/>
    <mergeCell ref="D41:F41"/>
    <mergeCell ref="B40:C40"/>
    <mergeCell ref="D40:F40"/>
    <mergeCell ref="B39:C39"/>
    <mergeCell ref="D39:F39"/>
    <mergeCell ref="B38:C38"/>
    <mergeCell ref="D38:F38"/>
    <mergeCell ref="B988:F988"/>
    <mergeCell ref="B989:F989"/>
    <mergeCell ref="B990:F990"/>
    <mergeCell ref="B1186:F1186"/>
    <mergeCell ref="B1187:F1187"/>
    <mergeCell ref="B1188:F1188"/>
    <mergeCell ref="B29:C29"/>
    <mergeCell ref="D29:F29"/>
    <mergeCell ref="B30:C30"/>
    <mergeCell ref="D30:F30"/>
    <mergeCell ref="B31:C31"/>
    <mergeCell ref="D31:F31"/>
    <mergeCell ref="B32:C32"/>
    <mergeCell ref="D32:F32"/>
    <mergeCell ref="B33:C33"/>
    <mergeCell ref="D33:F33"/>
    <mergeCell ref="B107:C107"/>
    <mergeCell ref="D107:F107"/>
    <mergeCell ref="B125:C125"/>
    <mergeCell ref="D125:F125"/>
    <mergeCell ref="D80:F80"/>
    <mergeCell ref="B79:C79"/>
    <mergeCell ref="D79:F79"/>
    <mergeCell ref="B104:C104"/>
    <mergeCell ref="D104:F104"/>
    <mergeCell ref="B103:C103"/>
    <mergeCell ref="D103:F103"/>
    <mergeCell ref="B102:C102"/>
    <mergeCell ref="D102:F102"/>
    <mergeCell ref="D86:F86"/>
    <mergeCell ref="B87:C87"/>
    <mergeCell ref="D87:F87"/>
    <mergeCell ref="B1200:F1200"/>
    <mergeCell ref="B1201:F1201"/>
    <mergeCell ref="B1202:F1202"/>
    <mergeCell ref="B1383:F1383"/>
    <mergeCell ref="B1384:F1384"/>
    <mergeCell ref="B1382:F1382"/>
    <mergeCell ref="B1171:F1171"/>
    <mergeCell ref="B1172:F1172"/>
    <mergeCell ref="B1173:F1173"/>
    <mergeCell ref="B1194:F1194"/>
    <mergeCell ref="B1195:F1195"/>
    <mergeCell ref="B1196:F1196"/>
    <mergeCell ref="B1197:F1197"/>
    <mergeCell ref="B1198:F1198"/>
    <mergeCell ref="B1199:F1199"/>
    <mergeCell ref="B1174:F1174"/>
    <mergeCell ref="B1175:F1175"/>
    <mergeCell ref="B1191:F1191"/>
    <mergeCell ref="B1192:F1192"/>
    <mergeCell ref="B1193:F1193"/>
    <mergeCell ref="B1176:F1176"/>
    <mergeCell ref="B1177:F1177"/>
    <mergeCell ref="B1178:F1178"/>
    <mergeCell ref="B1179:F1179"/>
    <mergeCell ref="B1360:F1360"/>
    <mergeCell ref="B1361:F1361"/>
    <mergeCell ref="B1362:F1362"/>
    <mergeCell ref="B1363:F1363"/>
    <mergeCell ref="B1364:F1364"/>
    <mergeCell ref="B1365:F1365"/>
    <mergeCell ref="B1366:F1366"/>
    <mergeCell ref="B1367:F1367"/>
    <mergeCell ref="B1385:F1385"/>
    <mergeCell ref="B1386:F1386"/>
    <mergeCell ref="B1387:F1387"/>
    <mergeCell ref="B1388:F1388"/>
    <mergeCell ref="B1389:F1389"/>
    <mergeCell ref="B1390:F1390"/>
    <mergeCell ref="B1395:F1395"/>
    <mergeCell ref="B1396:F1396"/>
    <mergeCell ref="B1397:F1397"/>
    <mergeCell ref="B1391:F1391"/>
    <mergeCell ref="B1392:F1392"/>
    <mergeCell ref="B1393:F1393"/>
    <mergeCell ref="B1394:F1394"/>
    <mergeCell ref="B1789:F1789"/>
    <mergeCell ref="B2011:F2011"/>
    <mergeCell ref="B1790:F1790"/>
    <mergeCell ref="B1791:F1791"/>
    <mergeCell ref="B2007:F2007"/>
    <mergeCell ref="B2008:F2008"/>
    <mergeCell ref="B2009:F2009"/>
    <mergeCell ref="B2010:F2010"/>
    <mergeCell ref="B1407:F1407"/>
    <mergeCell ref="B1408:F1408"/>
    <mergeCell ref="B1409:F1409"/>
    <mergeCell ref="B1410:F1410"/>
    <mergeCell ref="B1411:F1411"/>
    <mergeCell ref="B1412:F1412"/>
    <mergeCell ref="B1610:F1610"/>
    <mergeCell ref="B1611:F1611"/>
    <mergeCell ref="B1413:F1413"/>
    <mergeCell ref="B1609:F1609"/>
    <mergeCell ref="B1415:F1415"/>
    <mergeCell ref="B2225:F2225"/>
    <mergeCell ref="B1819:F1819"/>
    <mergeCell ref="B1820:F1820"/>
    <mergeCell ref="B1821:F1821"/>
    <mergeCell ref="B1822:F1822"/>
    <mergeCell ref="B1823:F1823"/>
    <mergeCell ref="B2015:F2015"/>
    <mergeCell ref="B2016:F2016"/>
    <mergeCell ref="B2017:F2017"/>
    <mergeCell ref="B2018:F2018"/>
    <mergeCell ref="B2019:F2019"/>
    <mergeCell ref="B2020:F2020"/>
    <mergeCell ref="B2021:F2021"/>
    <mergeCell ref="B2022:F2022"/>
    <mergeCell ref="B2023:F2023"/>
    <mergeCell ref="B2024:F2024"/>
    <mergeCell ref="B2215:F2215"/>
    <mergeCell ref="B2216:F2216"/>
    <mergeCell ref="B2217:F2217"/>
    <mergeCell ref="B2218:F2218"/>
    <mergeCell ref="B2220:F2220"/>
    <mergeCell ref="B1989:F1989"/>
    <mergeCell ref="B2193:F2193"/>
    <mergeCell ref="B2194:F2194"/>
    <mergeCell ref="B2195:F2195"/>
    <mergeCell ref="B2196:F2196"/>
    <mergeCell ref="B2197:F2197"/>
    <mergeCell ref="B2198:F2198"/>
    <mergeCell ref="B2199:F2199"/>
    <mergeCell ref="B2200:F2200"/>
    <mergeCell ref="B2201:F2201"/>
    <mergeCell ref="B2006:F2006"/>
    <mergeCell ref="B2168:F2168"/>
    <mergeCell ref="B2169:F2169"/>
    <mergeCell ref="B2221:F2221"/>
    <mergeCell ref="B2222:F2222"/>
    <mergeCell ref="B2223:F2223"/>
    <mergeCell ref="B2224:F2224"/>
    <mergeCell ref="B1990:F1990"/>
    <mergeCell ref="B1991:F1991"/>
    <mergeCell ref="B1992:F1992"/>
    <mergeCell ref="B1993:F1993"/>
    <mergeCell ref="B1994:F1994"/>
    <mergeCell ref="B1995:F1995"/>
    <mergeCell ref="B1996:F1996"/>
    <mergeCell ref="B1997:F1997"/>
    <mergeCell ref="B1998:F1998"/>
    <mergeCell ref="B2202:F2202"/>
    <mergeCell ref="B2203:F2203"/>
    <mergeCell ref="B2204:F2204"/>
    <mergeCell ref="B2205:F2205"/>
    <mergeCell ref="B2206:F2206"/>
    <mergeCell ref="B2207:F2207"/>
    <mergeCell ref="B2208:F2208"/>
    <mergeCell ref="B2012:F2012"/>
    <mergeCell ref="B2213:F2213"/>
    <mergeCell ref="B2214:F2214"/>
    <mergeCell ref="B2210:F2210"/>
    <mergeCell ref="B2126:F2126"/>
    <mergeCell ref="B2127:F2127"/>
    <mergeCell ref="B2188:F2188"/>
    <mergeCell ref="B2189:F2189"/>
    <mergeCell ref="B2190:F2190"/>
    <mergeCell ref="B2191:F2191"/>
    <mergeCell ref="B1604:F1604"/>
    <mergeCell ref="B1586:F1586"/>
    <mergeCell ref="B1587:F1587"/>
    <mergeCell ref="B1598:F1598"/>
    <mergeCell ref="B1599:F1599"/>
    <mergeCell ref="B1600:F1600"/>
    <mergeCell ref="B1601:F1601"/>
    <mergeCell ref="B1602:F1602"/>
    <mergeCell ref="B1414:F1414"/>
    <mergeCell ref="B1398:F1398"/>
    <mergeCell ref="B1399:F1399"/>
    <mergeCell ref="B1400:F1400"/>
    <mergeCell ref="B1401:F1401"/>
    <mergeCell ref="B1402:F1402"/>
    <mergeCell ref="B1403:F1403"/>
    <mergeCell ref="B1404:F1404"/>
    <mergeCell ref="B1405:F1405"/>
    <mergeCell ref="B1406:F1406"/>
    <mergeCell ref="B1561:F1561"/>
    <mergeCell ref="B1562:F1562"/>
    <mergeCell ref="B1502:F1502"/>
    <mergeCell ref="B1572:F1572"/>
    <mergeCell ref="B1573:F1573"/>
    <mergeCell ref="B1574:F1574"/>
    <mergeCell ref="B1575:F1575"/>
    <mergeCell ref="B1576:F1576"/>
    <mergeCell ref="B1577:F1577"/>
    <mergeCell ref="B1578:F1578"/>
    <mergeCell ref="B1579:F1579"/>
    <mergeCell ref="B1580:F1580"/>
    <mergeCell ref="B1563:F1563"/>
    <mergeCell ref="B1564:F1564"/>
    <mergeCell ref="B1809:F1809"/>
    <mergeCell ref="B1189:F1189"/>
    <mergeCell ref="B1190:F1190"/>
    <mergeCell ref="B991:F991"/>
    <mergeCell ref="B995:F995"/>
    <mergeCell ref="B996:F996"/>
    <mergeCell ref="B997:F997"/>
    <mergeCell ref="B998:F998"/>
    <mergeCell ref="B999:F999"/>
    <mergeCell ref="B1000:F1000"/>
    <mergeCell ref="B1001:F1001"/>
    <mergeCell ref="B1002:F1002"/>
    <mergeCell ref="B1180:F1180"/>
    <mergeCell ref="B1181:F1181"/>
    <mergeCell ref="B1182:F1182"/>
    <mergeCell ref="B1183:F1183"/>
    <mergeCell ref="B1184:F1184"/>
    <mergeCell ref="B1185:F1185"/>
    <mergeCell ref="B1140:F1140"/>
    <mergeCell ref="B1792:F1792"/>
    <mergeCell ref="B1793:F1793"/>
    <mergeCell ref="B1794:F1794"/>
    <mergeCell ref="B1416:F1416"/>
    <mergeCell ref="B1417:F1417"/>
    <mergeCell ref="B1612:F1612"/>
    <mergeCell ref="B1613:F1613"/>
    <mergeCell ref="B1614:F1614"/>
    <mergeCell ref="B1615:F1615"/>
    <mergeCell ref="B1616:F1616"/>
    <mergeCell ref="B1617:F1617"/>
    <mergeCell ref="B1618:F1618"/>
    <mergeCell ref="B1588:F1588"/>
    <mergeCell ref="B962:F962"/>
    <mergeCell ref="B963:F963"/>
    <mergeCell ref="B964:F964"/>
    <mergeCell ref="A801:F801"/>
    <mergeCell ref="B965:F965"/>
    <mergeCell ref="B966:F966"/>
    <mergeCell ref="B967:F967"/>
    <mergeCell ref="B968:F968"/>
    <mergeCell ref="B973:F973"/>
    <mergeCell ref="B974:F974"/>
    <mergeCell ref="B1802:F1802"/>
    <mergeCell ref="B1803:F1803"/>
    <mergeCell ref="B1804:F1804"/>
    <mergeCell ref="B1805:F1805"/>
    <mergeCell ref="B1806:F1806"/>
    <mergeCell ref="B1807:F1807"/>
    <mergeCell ref="B1808:F1808"/>
    <mergeCell ref="B1589:F1589"/>
    <mergeCell ref="B1590:F1590"/>
    <mergeCell ref="B1591:F1591"/>
    <mergeCell ref="B1592:F1592"/>
    <mergeCell ref="B1593:F1593"/>
    <mergeCell ref="B1594:F1594"/>
    <mergeCell ref="B1585:F1585"/>
    <mergeCell ref="B1605:F1605"/>
    <mergeCell ref="B1606:F1606"/>
    <mergeCell ref="B1607:F1607"/>
    <mergeCell ref="B1608:F1608"/>
    <mergeCell ref="B1595:F1595"/>
    <mergeCell ref="B1596:F1596"/>
    <mergeCell ref="B1597:F1597"/>
    <mergeCell ref="B1603:F1603"/>
    <mergeCell ref="B2261:F2261"/>
    <mergeCell ref="B2262:F2262"/>
    <mergeCell ref="B2263:F2263"/>
    <mergeCell ref="B2264:F2264"/>
    <mergeCell ref="B1810:F1810"/>
    <mergeCell ref="B1811:F1811"/>
    <mergeCell ref="B788:F788"/>
    <mergeCell ref="B789:F789"/>
    <mergeCell ref="B790:F790"/>
    <mergeCell ref="B791:F791"/>
    <mergeCell ref="B792:F792"/>
    <mergeCell ref="B793:F793"/>
    <mergeCell ref="B794:F794"/>
    <mergeCell ref="B1418:F1418"/>
    <mergeCell ref="B2013:F2013"/>
    <mergeCell ref="B2014:F2014"/>
    <mergeCell ref="B2000:F2000"/>
    <mergeCell ref="B2001:F2001"/>
    <mergeCell ref="B2002:F2002"/>
    <mergeCell ref="B2003:F2003"/>
    <mergeCell ref="B2004:F2004"/>
    <mergeCell ref="B2005:F2005"/>
    <mergeCell ref="B1795:F1795"/>
    <mergeCell ref="B1796:F1796"/>
    <mergeCell ref="B2247:F2247"/>
    <mergeCell ref="B2248:F2248"/>
    <mergeCell ref="B2249:F2249"/>
    <mergeCell ref="B2250:F2250"/>
    <mergeCell ref="B2251:F2251"/>
    <mergeCell ref="B2252:F2252"/>
    <mergeCell ref="B2244:F2244"/>
    <mergeCell ref="B1813:F1813"/>
    <mergeCell ref="A2245:F2245"/>
    <mergeCell ref="B2246:C2246"/>
    <mergeCell ref="A2238:F2238"/>
    <mergeCell ref="B2239:C2239"/>
    <mergeCell ref="B2240:F2240"/>
    <mergeCell ref="B2241:F2241"/>
    <mergeCell ref="B2242:F2242"/>
    <mergeCell ref="B2243:F2243"/>
    <mergeCell ref="B1999:F1999"/>
    <mergeCell ref="B2259:F2259"/>
    <mergeCell ref="B2260:F2260"/>
    <mergeCell ref="B2253:F2253"/>
    <mergeCell ref="B2254:F2254"/>
    <mergeCell ref="B2255:F2255"/>
    <mergeCell ref="B2256:F2256"/>
    <mergeCell ref="B2257:F2257"/>
    <mergeCell ref="B2258:F2258"/>
    <mergeCell ref="B2233:F2233"/>
    <mergeCell ref="A2234:F2234"/>
    <mergeCell ref="B2235:C2235"/>
    <mergeCell ref="B2236:F2236"/>
    <mergeCell ref="B2237:F2237"/>
    <mergeCell ref="B2227:F2227"/>
    <mergeCell ref="B2228:F2228"/>
    <mergeCell ref="B2229:F2229"/>
    <mergeCell ref="B2230:F2230"/>
    <mergeCell ref="B2219:F2219"/>
    <mergeCell ref="B2209:F2209"/>
    <mergeCell ref="B2211:F2211"/>
    <mergeCell ref="B2212:F2212"/>
    <mergeCell ref="B2166:F2166"/>
    <mergeCell ref="B2167:F2167"/>
    <mergeCell ref="A2275:F2275"/>
    <mergeCell ref="A2276:F2276"/>
    <mergeCell ref="A2269:F2269"/>
    <mergeCell ref="B2270:F2270"/>
    <mergeCell ref="B2271:F2271"/>
    <mergeCell ref="B2272:F2272"/>
    <mergeCell ref="B2265:F2265"/>
    <mergeCell ref="A2266:F2266"/>
    <mergeCell ref="B2267:F2267"/>
    <mergeCell ref="B2268:F2268"/>
    <mergeCell ref="B2274:F2274"/>
    <mergeCell ref="B2273:F2273"/>
    <mergeCell ref="B592:F592"/>
    <mergeCell ref="B593:F593"/>
    <mergeCell ref="B594:F594"/>
    <mergeCell ref="A595:F595"/>
    <mergeCell ref="B1203:F1203"/>
    <mergeCell ref="B1204:F1204"/>
    <mergeCell ref="B1205:F1205"/>
    <mergeCell ref="B1206:F1206"/>
    <mergeCell ref="B1207:F1207"/>
    <mergeCell ref="B796:F796"/>
    <mergeCell ref="B795:F795"/>
    <mergeCell ref="B975:F975"/>
    <mergeCell ref="B976:F976"/>
    <mergeCell ref="B977:F977"/>
    <mergeCell ref="B978:F978"/>
    <mergeCell ref="B979:F979"/>
    <mergeCell ref="B980:F980"/>
    <mergeCell ref="B981:F981"/>
    <mergeCell ref="B982:F982"/>
    <mergeCell ref="B983:F983"/>
    <mergeCell ref="B2231:F2231"/>
    <mergeCell ref="B2232:F2232"/>
    <mergeCell ref="B2025:F2025"/>
    <mergeCell ref="B2226:F2226"/>
    <mergeCell ref="B596:C596"/>
    <mergeCell ref="B597:F597"/>
    <mergeCell ref="B598:F598"/>
    <mergeCell ref="B599:F599"/>
    <mergeCell ref="B1621:C1621"/>
    <mergeCell ref="B1622:F1622"/>
    <mergeCell ref="B1623:F1623"/>
    <mergeCell ref="B1214:F1214"/>
    <mergeCell ref="B1215:F1215"/>
    <mergeCell ref="B1216:F1216"/>
    <mergeCell ref="B1217:F1217"/>
    <mergeCell ref="B1797:F1797"/>
    <mergeCell ref="B1798:F1798"/>
    <mergeCell ref="B1799:F1799"/>
    <mergeCell ref="B1800:F1800"/>
    <mergeCell ref="B1801:F1801"/>
    <mergeCell ref="B1824:F1824"/>
    <mergeCell ref="A600:F600"/>
    <mergeCell ref="B769:F769"/>
    <mergeCell ref="B770:F770"/>
    <mergeCell ref="B771:F771"/>
    <mergeCell ref="B1812:F1812"/>
    <mergeCell ref="B1814:F1814"/>
    <mergeCell ref="B1815:F1815"/>
    <mergeCell ref="B1816:F1816"/>
    <mergeCell ref="B1817:F1817"/>
    <mergeCell ref="B1818:F1818"/>
    <mergeCell ref="B799:F799"/>
    <mergeCell ref="B772:F772"/>
    <mergeCell ref="B773:F773"/>
    <mergeCell ref="B774:F774"/>
    <mergeCell ref="B782:F782"/>
    <mergeCell ref="B783:F783"/>
    <mergeCell ref="B737:F737"/>
    <mergeCell ref="B738:F738"/>
    <mergeCell ref="B739:F739"/>
    <mergeCell ref="B740:F740"/>
    <mergeCell ref="B741:F741"/>
    <mergeCell ref="B742:F742"/>
    <mergeCell ref="B743:F743"/>
    <mergeCell ref="B744:F744"/>
    <mergeCell ref="B745:F745"/>
    <mergeCell ref="B746:F746"/>
    <mergeCell ref="B747:F747"/>
    <mergeCell ref="B748:F748"/>
    <mergeCell ref="B749:F749"/>
    <mergeCell ref="B750:F750"/>
    <mergeCell ref="B751:F751"/>
    <mergeCell ref="B763:F763"/>
    <mergeCell ref="B764:F764"/>
    <mergeCell ref="B765:F765"/>
    <mergeCell ref="B766:F766"/>
    <mergeCell ref="B767:F767"/>
    <mergeCell ref="B768:F768"/>
    <mergeCell ref="B753:F753"/>
    <mergeCell ref="B754:F754"/>
    <mergeCell ref="B755:F755"/>
    <mergeCell ref="B756:F756"/>
    <mergeCell ref="B757:F757"/>
    <mergeCell ref="B758:F758"/>
    <mergeCell ref="B591:F591"/>
    <mergeCell ref="B335:F335"/>
    <mergeCell ref="B343:F343"/>
    <mergeCell ref="B344:F344"/>
    <mergeCell ref="A346:B346"/>
    <mergeCell ref="C346:F346"/>
    <mergeCell ref="B341:F341"/>
    <mergeCell ref="B579:F579"/>
    <mergeCell ref="B569:F569"/>
    <mergeCell ref="B570:F570"/>
    <mergeCell ref="B571:F571"/>
    <mergeCell ref="B572:F572"/>
    <mergeCell ref="B573:F573"/>
    <mergeCell ref="B588:F588"/>
    <mergeCell ref="B581:F581"/>
    <mergeCell ref="B582:F582"/>
    <mergeCell ref="B24:F24"/>
    <mergeCell ref="B342:F342"/>
    <mergeCell ref="B337:F337"/>
    <mergeCell ref="B336:F336"/>
    <mergeCell ref="B339:F339"/>
    <mergeCell ref="B558:F558"/>
    <mergeCell ref="B559:F559"/>
    <mergeCell ref="B561:F561"/>
    <mergeCell ref="A560:F560"/>
    <mergeCell ref="B457:F457"/>
    <mergeCell ref="B557:F557"/>
    <mergeCell ref="A347:F347"/>
    <mergeCell ref="B350:F350"/>
    <mergeCell ref="B349:F349"/>
    <mergeCell ref="B348:F348"/>
    <mergeCell ref="A352:F352"/>
    <mergeCell ref="B586:F586"/>
    <mergeCell ref="B587:F587"/>
    <mergeCell ref="A589:F589"/>
    <mergeCell ref="A590:F590"/>
    <mergeCell ref="B7:F7"/>
    <mergeCell ref="A8:F8"/>
    <mergeCell ref="B9:F9"/>
    <mergeCell ref="B10:F10"/>
    <mergeCell ref="B11:F11"/>
    <mergeCell ref="B12:F12"/>
    <mergeCell ref="A14:F14"/>
    <mergeCell ref="B22:F22"/>
    <mergeCell ref="A23:F23"/>
    <mergeCell ref="A19:F19"/>
    <mergeCell ref="B21:F21"/>
    <mergeCell ref="B13:F13"/>
    <mergeCell ref="B15:F15"/>
    <mergeCell ref="B16:F16"/>
    <mergeCell ref="B17:F17"/>
    <mergeCell ref="A18:F18"/>
    <mergeCell ref="B353:F353"/>
    <mergeCell ref="A351:F351"/>
    <mergeCell ref="A340:F340"/>
    <mergeCell ref="B338:F338"/>
    <mergeCell ref="B128:F128"/>
    <mergeCell ref="B129:F129"/>
    <mergeCell ref="A130:F130"/>
    <mergeCell ref="B131:F131"/>
    <mergeCell ref="D56:F56"/>
    <mergeCell ref="D43:F43"/>
    <mergeCell ref="D44:F44"/>
    <mergeCell ref="B26:C26"/>
    <mergeCell ref="B1619:F1619"/>
    <mergeCell ref="B1208:F1208"/>
    <mergeCell ref="B1209:F1209"/>
    <mergeCell ref="B1210:F1210"/>
    <mergeCell ref="B1211:F1211"/>
    <mergeCell ref="B1212:F1212"/>
    <mergeCell ref="B1213:F1213"/>
    <mergeCell ref="B992:F992"/>
    <mergeCell ref="B993:F993"/>
    <mergeCell ref="B994:F994"/>
    <mergeCell ref="B775:F775"/>
    <mergeCell ref="B776:F776"/>
    <mergeCell ref="B777:F777"/>
    <mergeCell ref="B778:F778"/>
    <mergeCell ref="B779:F779"/>
    <mergeCell ref="B780:F780"/>
    <mergeCell ref="B781:F781"/>
    <mergeCell ref="B787:F787"/>
    <mergeCell ref="B984:F984"/>
    <mergeCell ref="B985:F985"/>
    <mergeCell ref="B986:F986"/>
    <mergeCell ref="B987:F987"/>
    <mergeCell ref="B784:F784"/>
    <mergeCell ref="B785:F785"/>
    <mergeCell ref="B786:F786"/>
    <mergeCell ref="B798:F798"/>
    <mergeCell ref="B797:F797"/>
    <mergeCell ref="B969:F969"/>
    <mergeCell ref="B970:F970"/>
    <mergeCell ref="B971:F971"/>
    <mergeCell ref="B972:F972"/>
    <mergeCell ref="B800:F800"/>
    <mergeCell ref="B46:C46"/>
    <mergeCell ref="B66:C66"/>
    <mergeCell ref="B101:C101"/>
    <mergeCell ref="B106:C106"/>
    <mergeCell ref="D25:F25"/>
    <mergeCell ref="D26:F26"/>
    <mergeCell ref="D27:F27"/>
    <mergeCell ref="D28:F28"/>
    <mergeCell ref="B583:F583"/>
    <mergeCell ref="B584:F584"/>
    <mergeCell ref="B585:F585"/>
    <mergeCell ref="B442:F442"/>
    <mergeCell ref="B443:F443"/>
    <mergeCell ref="B444:F444"/>
    <mergeCell ref="B445:F445"/>
    <mergeCell ref="B446:F446"/>
    <mergeCell ref="B127:F127"/>
    <mergeCell ref="B580:F580"/>
    <mergeCell ref="B27:C27"/>
    <mergeCell ref="B28:C28"/>
    <mergeCell ref="B43:C43"/>
    <mergeCell ref="B44:C44"/>
    <mergeCell ref="D59:F59"/>
    <mergeCell ref="D60:F60"/>
    <mergeCell ref="B88:C88"/>
    <mergeCell ref="D88:F88"/>
    <mergeCell ref="B89:C89"/>
    <mergeCell ref="D89:F89"/>
    <mergeCell ref="B90:C90"/>
    <mergeCell ref="D90:F90"/>
    <mergeCell ref="B49:C49"/>
    <mergeCell ref="D49:F49"/>
    <mergeCell ref="D75:F75"/>
    <mergeCell ref="B77:C77"/>
    <mergeCell ref="B78:C78"/>
    <mergeCell ref="B83:C83"/>
    <mergeCell ref="B85:C85"/>
    <mergeCell ref="D85:F85"/>
    <mergeCell ref="B82:C82"/>
    <mergeCell ref="D82:F82"/>
    <mergeCell ref="D5:F5"/>
    <mergeCell ref="B574:F574"/>
    <mergeCell ref="B575:F575"/>
    <mergeCell ref="B576:F576"/>
    <mergeCell ref="B577:F577"/>
    <mergeCell ref="B578:F578"/>
    <mergeCell ref="B354:F354"/>
    <mergeCell ref="A355:F355"/>
    <mergeCell ref="B356:C356"/>
    <mergeCell ref="A357:F357"/>
    <mergeCell ref="B568:F568"/>
    <mergeCell ref="B358:F358"/>
    <mergeCell ref="B458:F458"/>
    <mergeCell ref="B562:F562"/>
    <mergeCell ref="B563:F563"/>
    <mergeCell ref="B564:F564"/>
    <mergeCell ref="A565:F565"/>
    <mergeCell ref="A566:F566"/>
    <mergeCell ref="B567:F567"/>
    <mergeCell ref="B20:F20"/>
    <mergeCell ref="A333:F333"/>
    <mergeCell ref="A334:F334"/>
    <mergeCell ref="A126:F126"/>
    <mergeCell ref="B25:C25"/>
    <mergeCell ref="A306:C306"/>
    <mergeCell ref="A307:C307"/>
    <mergeCell ref="A323:C323"/>
    <mergeCell ref="A324:C324"/>
    <mergeCell ref="A325:C325"/>
    <mergeCell ref="A326:C326"/>
    <mergeCell ref="A327:C327"/>
    <mergeCell ref="A328:C328"/>
    <mergeCell ref="B55:C55"/>
    <mergeCell ref="B56:C56"/>
    <mergeCell ref="B57:C57"/>
    <mergeCell ref="B84:C84"/>
    <mergeCell ref="B86:C86"/>
    <mergeCell ref="D46:F46"/>
    <mergeCell ref="D55:F55"/>
    <mergeCell ref="B58:C58"/>
    <mergeCell ref="B59:C59"/>
    <mergeCell ref="B60:C60"/>
    <mergeCell ref="B63:C63"/>
    <mergeCell ref="B67:C67"/>
    <mergeCell ref="B76:C76"/>
    <mergeCell ref="B64:C64"/>
    <mergeCell ref="B65:C65"/>
    <mergeCell ref="D64:F64"/>
    <mergeCell ref="D65:F65"/>
    <mergeCell ref="D63:F63"/>
    <mergeCell ref="D66:F66"/>
    <mergeCell ref="D67:F67"/>
    <mergeCell ref="D76:F76"/>
    <mergeCell ref="B74:C74"/>
    <mergeCell ref="D74:F74"/>
    <mergeCell ref="B75:C75"/>
    <mergeCell ref="A330:C330"/>
    <mergeCell ref="A308:C308"/>
    <mergeCell ref="A309:C309"/>
    <mergeCell ref="A310:C310"/>
    <mergeCell ref="A311:C311"/>
    <mergeCell ref="A312:C312"/>
    <mergeCell ref="A313:C313"/>
    <mergeCell ref="A331:C331"/>
    <mergeCell ref="A314:C314"/>
    <mergeCell ref="A315:C315"/>
    <mergeCell ref="A316:C316"/>
    <mergeCell ref="A317:C317"/>
    <mergeCell ref="A318:C318"/>
    <mergeCell ref="A319:C319"/>
    <mergeCell ref="A320:C320"/>
    <mergeCell ref="A321:C321"/>
    <mergeCell ref="A322:C322"/>
    <mergeCell ref="A329:C329"/>
    <mergeCell ref="A2:F4"/>
    <mergeCell ref="A332:C332"/>
    <mergeCell ref="A45:F45"/>
    <mergeCell ref="D101:F101"/>
    <mergeCell ref="D106:F106"/>
    <mergeCell ref="B105:C105"/>
    <mergeCell ref="D105:F105"/>
    <mergeCell ref="A132:C132"/>
    <mergeCell ref="A262:C262"/>
    <mergeCell ref="A263:C263"/>
    <mergeCell ref="A264:C264"/>
    <mergeCell ref="A265:C265"/>
    <mergeCell ref="A266:C266"/>
    <mergeCell ref="A267:C267"/>
    <mergeCell ref="A268:C268"/>
    <mergeCell ref="A269:C269"/>
    <mergeCell ref="A270:C270"/>
    <mergeCell ref="A271:C271"/>
    <mergeCell ref="A272:C272"/>
    <mergeCell ref="A273:C273"/>
    <mergeCell ref="A274:C274"/>
    <mergeCell ref="A275:C275"/>
    <mergeCell ref="A276:C276"/>
    <mergeCell ref="A305:C305"/>
    <mergeCell ref="B81:C81"/>
    <mergeCell ref="D81:F81"/>
    <mergeCell ref="B80:C80"/>
    <mergeCell ref="D77:F77"/>
    <mergeCell ref="D78:F78"/>
    <mergeCell ref="D83:F83"/>
    <mergeCell ref="D84:F84"/>
  </mergeCells>
  <phoneticPr fontId="21" type="noConversion"/>
  <printOptions horizontalCentered="1"/>
  <pageMargins left="0.51181102362204722" right="0.51181102362204722" top="0.86614173228346458" bottom="0.94488188976377963" header="0.39370078740157483" footer="0.47244094488188981"/>
  <pageSetup paperSize="9" scale="99" orientation="portrait" r:id="rId1"/>
  <colBreaks count="1" manualBreakCount="1">
    <brk id="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국문</vt:lpstr>
      <vt:lpstr>국문!Print_Area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Bluegene</dc:creator>
  <cp:lastModifiedBy>박 건민</cp:lastModifiedBy>
  <cp:lastPrinted>2023-01-06T05:17:24Z</cp:lastPrinted>
  <dcterms:created xsi:type="dcterms:W3CDTF">2013-05-07T05:45:12Z</dcterms:created>
  <dcterms:modified xsi:type="dcterms:W3CDTF">2026-05-22T03:54:41Z</dcterms:modified>
</cp:coreProperties>
</file>